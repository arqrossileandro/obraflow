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Unidades compartidas\CERO\5. PRODUCCION\4. PLANES DE TRABAJO\2. SERENA FOLK\"/>
    </mc:Choice>
  </mc:AlternateContent>
  <xr:revisionPtr revIDLastSave="0" documentId="13_ncr:1_{CC3D61BE-D597-42CE-A0AF-A16520A00EB0}" xr6:coauthVersionLast="47" xr6:coauthVersionMax="47" xr10:uidLastSave="{00000000-0000-0000-0000-000000000000}"/>
  <bookViews>
    <workbookView xWindow="-120" yWindow="-120" windowWidth="29040" windowHeight="15720" tabRatio="728" xr2:uid="{00000000-000D-0000-FFFF-FFFF00000000}"/>
  </bookViews>
  <sheets>
    <sheet name="LISTA DE LLENADAS" sheetId="1" r:id="rId1"/>
    <sheet name="COMPLETO 13 MODULOS" sheetId="5" state="hidden" r:id="rId2"/>
    <sheet name="GENERAL 11-06" sheetId="6" state="hidden" r:id="rId3"/>
    <sheet name="MODULO 10-11-12 271025 1° TRIM " sheetId="7" state="hidden" r:id="rId4"/>
    <sheet name="MODULO 10 Y 11 | 090625" sheetId="8" state="hidden" r:id="rId5"/>
    <sheet name="MODULO 12 09-06" sheetId="9" state="hidden" r:id="rId6"/>
    <sheet name="MODULO 10-11-12 271025" sheetId="10" state="hidden" r:id="rId7"/>
    <sheet name="RESUMEN ALBAÑILERIA" sheetId="11" state="hidden" r:id="rId8"/>
    <sheet name="MODULOS 4-5-6-7-8-9-13" sheetId="15" state="hidden" r:id="rId9"/>
    <sheet name="PLAN SEMANAL 02122025" sheetId="16" state="hidden" r:id="rId10"/>
    <sheet name="PLAN SEMANAL" sheetId="17" state="hidden" r:id="rId11"/>
    <sheet name=" PRODUCCION 3004" sheetId="18" state="hidden" r:id="rId12"/>
    <sheet name="GENERAL" sheetId="19" state="hidden" r:id="rId13"/>
    <sheet name=" PRODUCCION 2702" sheetId="20" state="hidden" r:id="rId14"/>
    <sheet name=" PRODUCCION 0502" sheetId="21" state="hidden" r:id="rId15"/>
    <sheet name=" PRODUCCION 1812" sheetId="22" state="hidden" r:id="rId16"/>
    <sheet name="ESQUEMA DE TRABAJO" sheetId="23" state="hidden" r:id="rId17"/>
    <sheet name=" PRODU" sheetId="24" state="hidden" r:id="rId18"/>
    <sheet name="PRODUCCION" sheetId="25" state="hidden" r:id="rId19"/>
    <sheet name="LISTADO FALTANTES" sheetId="26" state="hidden" r:id="rId20"/>
    <sheet name="SUPERADO" sheetId="27" state="hidden" r:id="rId21"/>
  </sheets>
  <definedNames>
    <definedName name="_xlnm.Print_Area" localSheetId="0">'LISTA DE LLENADAS'!$A$1:$J$217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1" roundtripDataChecksum="L0jjRzN2NQ/gtLw5KZRmKiocpux518z89+28d0RB4sE="/>
    </ext>
  </extLst>
</workbook>
</file>

<file path=xl/calcChain.xml><?xml version="1.0" encoding="utf-8"?>
<calcChain xmlns="http://schemas.openxmlformats.org/spreadsheetml/2006/main">
  <c r="C45" i="1" l="1"/>
  <c r="C44" i="1"/>
  <c r="C43" i="1"/>
  <c r="C42" i="1"/>
  <c r="C41" i="1"/>
  <c r="C40" i="1"/>
  <c r="C39" i="1"/>
  <c r="C38" i="1"/>
  <c r="C37" i="1"/>
  <c r="C34" i="1"/>
  <c r="C33" i="1"/>
  <c r="C32" i="1"/>
  <c r="C31" i="1"/>
  <c r="C30" i="1"/>
  <c r="C29" i="1"/>
  <c r="C28" i="1"/>
  <c r="C27" i="1"/>
  <c r="C26" i="1"/>
  <c r="C22" i="1"/>
  <c r="C21" i="1"/>
  <c r="C20" i="1"/>
  <c r="C19" i="1"/>
  <c r="C18" i="1"/>
  <c r="C17" i="1"/>
  <c r="C16" i="1"/>
  <c r="C15" i="1"/>
  <c r="C14" i="1"/>
  <c r="C11" i="1"/>
  <c r="C10" i="1"/>
  <c r="C9" i="1"/>
  <c r="C8" i="1"/>
  <c r="C7" i="1"/>
  <c r="C6" i="1"/>
  <c r="C5" i="1"/>
  <c r="C4" i="1"/>
  <c r="C3" i="1"/>
  <c r="C101" i="1"/>
  <c r="C170" i="1"/>
  <c r="C205" i="1"/>
  <c r="C216" i="1"/>
  <c r="C215" i="1"/>
  <c r="C214" i="1"/>
  <c r="C213" i="1"/>
  <c r="C212" i="1"/>
  <c r="C211" i="1"/>
  <c r="C210" i="1"/>
  <c r="C209" i="1"/>
  <c r="C208" i="1"/>
  <c r="C204" i="1"/>
  <c r="C203" i="1"/>
  <c r="C202" i="1"/>
  <c r="C201" i="1"/>
  <c r="C200" i="1"/>
  <c r="C199" i="1"/>
  <c r="C198" i="1"/>
  <c r="C197" i="1"/>
  <c r="C193" i="1"/>
  <c r="C192" i="1"/>
  <c r="C191" i="1"/>
  <c r="C190" i="1"/>
  <c r="C189" i="1"/>
  <c r="C188" i="1"/>
  <c r="C187" i="1"/>
  <c r="C186" i="1"/>
  <c r="C185" i="1"/>
  <c r="C182" i="1"/>
  <c r="C181" i="1"/>
  <c r="C180" i="1"/>
  <c r="C179" i="1"/>
  <c r="C178" i="1"/>
  <c r="C177" i="1"/>
  <c r="C176" i="1"/>
  <c r="C175" i="1"/>
  <c r="C174" i="1"/>
  <c r="C169" i="1"/>
  <c r="C168" i="1"/>
  <c r="C167" i="1"/>
  <c r="C166" i="1"/>
  <c r="C165" i="1"/>
  <c r="C164" i="1"/>
  <c r="C163" i="1"/>
  <c r="C162" i="1"/>
  <c r="C159" i="1"/>
  <c r="C158" i="1"/>
  <c r="C157" i="1"/>
  <c r="C156" i="1"/>
  <c r="C155" i="1"/>
  <c r="C154" i="1"/>
  <c r="C153" i="1"/>
  <c r="C152" i="1"/>
  <c r="C151" i="1"/>
  <c r="H160" i="1" s="1"/>
  <c r="C147" i="1"/>
  <c r="C146" i="1"/>
  <c r="C145" i="1"/>
  <c r="C144" i="1"/>
  <c r="C143" i="1"/>
  <c r="C142" i="1"/>
  <c r="C141" i="1"/>
  <c r="C140" i="1"/>
  <c r="C139" i="1"/>
  <c r="C136" i="1"/>
  <c r="C135" i="1"/>
  <c r="C134" i="1"/>
  <c r="C133" i="1"/>
  <c r="C132" i="1"/>
  <c r="C131" i="1"/>
  <c r="C130" i="1"/>
  <c r="C129" i="1"/>
  <c r="C128" i="1"/>
  <c r="C124" i="1"/>
  <c r="C123" i="1"/>
  <c r="C122" i="1"/>
  <c r="C121" i="1"/>
  <c r="C120" i="1"/>
  <c r="C119" i="1"/>
  <c r="C118" i="1"/>
  <c r="C117" i="1"/>
  <c r="C116" i="1"/>
  <c r="C113" i="1"/>
  <c r="C112" i="1"/>
  <c r="C111" i="1"/>
  <c r="C110" i="1"/>
  <c r="C109" i="1"/>
  <c r="C108" i="1"/>
  <c r="C107" i="1"/>
  <c r="C106" i="1"/>
  <c r="C105" i="1"/>
  <c r="C90" i="1"/>
  <c r="C89" i="1"/>
  <c r="C88" i="1"/>
  <c r="C87" i="1"/>
  <c r="C86" i="1"/>
  <c r="C85" i="1"/>
  <c r="C84" i="1"/>
  <c r="C83" i="1"/>
  <c r="C82" i="1"/>
  <c r="C79" i="1"/>
  <c r="C78" i="1"/>
  <c r="C77" i="1"/>
  <c r="C76" i="1"/>
  <c r="C75" i="1"/>
  <c r="C74" i="1"/>
  <c r="C73" i="1"/>
  <c r="C72" i="1"/>
  <c r="C71" i="1"/>
  <c r="C67" i="1"/>
  <c r="C66" i="1"/>
  <c r="C65" i="1"/>
  <c r="C64" i="1"/>
  <c r="C63" i="1"/>
  <c r="C62" i="1"/>
  <c r="C61" i="1"/>
  <c r="C60" i="1"/>
  <c r="C59" i="1"/>
  <c r="H68" i="1" s="1"/>
  <c r="C56" i="1"/>
  <c r="C55" i="1"/>
  <c r="C54" i="1"/>
  <c r="C53" i="1"/>
  <c r="C52" i="1"/>
  <c r="C51" i="1"/>
  <c r="C50" i="1"/>
  <c r="C49" i="1"/>
  <c r="C48" i="1"/>
  <c r="C95" i="1"/>
  <c r="C96" i="1"/>
  <c r="C97" i="1"/>
  <c r="C98" i="1"/>
  <c r="C99" i="1"/>
  <c r="C100" i="1"/>
  <c r="C94" i="1"/>
  <c r="C93" i="1"/>
  <c r="H102" i="1" s="1"/>
  <c r="H35" i="1" l="1"/>
  <c r="H46" i="1"/>
  <c r="E12" i="1"/>
  <c r="H23" i="1"/>
  <c r="C12" i="1"/>
  <c r="E46" i="1"/>
  <c r="H12" i="1"/>
  <c r="E23" i="1"/>
  <c r="C23" i="1"/>
  <c r="C35" i="1"/>
  <c r="H114" i="1"/>
  <c r="E35" i="1"/>
  <c r="C46" i="1"/>
  <c r="H148" i="1"/>
  <c r="H171" i="1"/>
  <c r="H183" i="1"/>
  <c r="H91" i="1"/>
  <c r="H206" i="1"/>
  <c r="H217" i="1"/>
  <c r="H80" i="1"/>
  <c r="E160" i="1"/>
  <c r="H194" i="1"/>
  <c r="E80" i="1"/>
  <c r="E91" i="1"/>
  <c r="C125" i="1"/>
  <c r="C137" i="1"/>
  <c r="C160" i="1"/>
  <c r="E102" i="1"/>
  <c r="E125" i="1"/>
  <c r="E171" i="1"/>
  <c r="C102" i="1"/>
  <c r="E137" i="1"/>
  <c r="C68" i="1"/>
  <c r="C183" i="1"/>
  <c r="H125" i="1"/>
  <c r="C80" i="1"/>
  <c r="E194" i="1"/>
  <c r="C91" i="1"/>
  <c r="H137" i="1"/>
  <c r="C114" i="1"/>
  <c r="C217" i="1"/>
  <c r="E206" i="1"/>
  <c r="C148" i="1"/>
  <c r="E57" i="1"/>
  <c r="C194" i="1"/>
  <c r="E68" i="1"/>
  <c r="E217" i="1"/>
  <c r="C206" i="1"/>
  <c r="E183" i="1"/>
  <c r="C171" i="1"/>
  <c r="E148" i="1"/>
  <c r="E114" i="1"/>
  <c r="H57" i="1"/>
  <c r="C57" i="1"/>
  <c r="AL16" i="19"/>
  <c r="AX16" i="19" s="1"/>
  <c r="AY16" i="19" s="1"/>
  <c r="X16" i="19"/>
  <c r="R16" i="19"/>
  <c r="AV16" i="19" s="1"/>
  <c r="AR12" i="19"/>
  <c r="AO12" i="19"/>
  <c r="AX12" i="19" s="1"/>
  <c r="AL12" i="19"/>
  <c r="AV12" i="19" s="1"/>
  <c r="AY12" i="19" l="1"/>
  <c r="AU16" i="19"/>
  <c r="AU12" i="19"/>
</calcChain>
</file>

<file path=xl/sharedStrings.xml><?xml version="1.0" encoding="utf-8"?>
<sst xmlns="http://schemas.openxmlformats.org/spreadsheetml/2006/main" count="2977" uniqueCount="823">
  <si>
    <t>FECHAS DE LLENADAS SERENA</t>
  </si>
  <si>
    <t>MAYO</t>
  </si>
  <si>
    <t>CONTRATISTA</t>
  </si>
  <si>
    <t>Base 1</t>
  </si>
  <si>
    <t>Base 2</t>
  </si>
  <si>
    <t>Losa s/P.B.</t>
  </si>
  <si>
    <t>Losa s/garaje</t>
  </si>
  <si>
    <t>M5</t>
  </si>
  <si>
    <t>WALTER</t>
  </si>
  <si>
    <t>Losa s/acceso duplex</t>
  </si>
  <si>
    <t>M4</t>
  </si>
  <si>
    <t>Losa s/estar</t>
  </si>
  <si>
    <t>M7</t>
  </si>
  <si>
    <t>Losa s/dormi 1</t>
  </si>
  <si>
    <t>Losa s/dormi 2</t>
  </si>
  <si>
    <t>M8</t>
  </si>
  <si>
    <t>M13</t>
  </si>
  <si>
    <t>PEDRO</t>
  </si>
  <si>
    <t>M6</t>
  </si>
  <si>
    <t>JUNIO</t>
  </si>
  <si>
    <t>M3</t>
  </si>
  <si>
    <t>M9</t>
  </si>
  <si>
    <t>PB M8</t>
  </si>
  <si>
    <t>M2</t>
  </si>
  <si>
    <t>M1</t>
  </si>
  <si>
    <t>JULIO</t>
  </si>
  <si>
    <t>AGOSTO</t>
  </si>
  <si>
    <t>SEPTIEMBRE</t>
  </si>
  <si>
    <t>TAREAS</t>
  </si>
  <si>
    <t>3 SEMANA</t>
  </si>
  <si>
    <t>4 SEMANA</t>
  </si>
  <si>
    <t>1 SEMANA</t>
  </si>
  <si>
    <t>2 SEMANA</t>
  </si>
  <si>
    <t>LOGISTICA</t>
  </si>
  <si>
    <t>OBRA GRIS - HORMIGON</t>
  </si>
  <si>
    <t>11 JORNALES</t>
  </si>
  <si>
    <t>12 JORNALES</t>
  </si>
  <si>
    <t>9 JORNALES</t>
  </si>
  <si>
    <t>15 JORNALES</t>
  </si>
  <si>
    <t>10 JORNALES</t>
  </si>
  <si>
    <t>Doblado y armado de fundaciones 2 AMBIENTES</t>
  </si>
  <si>
    <t>Armado de tabiques de dif de niveles + troncos COCHERA + fundacion escalera exterior</t>
  </si>
  <si>
    <t xml:space="preserve"> Armado de vigas + compatacion de COCHERA + contrapiso de cocheras y 2 ambientes + tronco escalera ext y losa de arranque</t>
  </si>
  <si>
    <t>Armado de tabiques + columas de DORMI 1 + losa y vigas de CUBIERTA 1</t>
  </si>
  <si>
    <t xml:space="preserve">Armado de tabiques + columas de DORMI 2 + losa y vigas de CUBIERTA 2 </t>
  </si>
  <si>
    <t>DURLOCK</t>
  </si>
  <si>
    <t xml:space="preserve">ELECTRICISTA </t>
  </si>
  <si>
    <t>PLOMERO</t>
  </si>
  <si>
    <t>Aº Aº</t>
  </si>
  <si>
    <t>EQUIPO DE ROSARIO - MODULO 12</t>
  </si>
  <si>
    <t>JORNALES</t>
  </si>
  <si>
    <t>5 SEMANA</t>
  </si>
  <si>
    <t>EQUIPO 3 COLOCACIONES</t>
  </si>
  <si>
    <t xml:space="preserve">SERENA FOLK </t>
  </si>
  <si>
    <t>OCTUBRE</t>
  </si>
  <si>
    <t>DICIEMBRE</t>
  </si>
  <si>
    <t>ENERO</t>
  </si>
  <si>
    <t>FEBRERO</t>
  </si>
  <si>
    <t>MARZO</t>
  </si>
  <si>
    <t>ABRIL</t>
  </si>
  <si>
    <t>NOVIEMBRE</t>
  </si>
  <si>
    <t>1 Quincena</t>
  </si>
  <si>
    <t>2 Quincena</t>
  </si>
  <si>
    <t>3 Quincena</t>
  </si>
  <si>
    <t>4 Quincena</t>
  </si>
  <si>
    <t xml:space="preserve">1 SEMANA </t>
  </si>
  <si>
    <t xml:space="preserve">2 SEMANA - 10 DE FEBRERO  </t>
  </si>
  <si>
    <t xml:space="preserve">3 SEMANA - 17 DE FEBRERO </t>
  </si>
  <si>
    <t xml:space="preserve">4 SEMANA - 24 DE FEBRERO </t>
  </si>
  <si>
    <t>MOVIMIENTO DE SUELO</t>
  </si>
  <si>
    <t xml:space="preserve">1 CAMION DE BASURA + BOBCAT
</t>
  </si>
  <si>
    <t>MAQUINA - 
SECTOR AMENITIES
7 dias</t>
  </si>
  <si>
    <t>MODULOS 2 Y 3 
8 DIAS</t>
  </si>
  <si>
    <t>CALLE - 2° TRAMO DE L</t>
  </si>
  <si>
    <t>MAQUINA - 
MODULO 1
4 dias</t>
  </si>
  <si>
    <t>CALLE - 1° TRAMO DE L</t>
  </si>
  <si>
    <t>AMENITIES</t>
  </si>
  <si>
    <t>MODULO 1</t>
  </si>
  <si>
    <t>HORMIGON - WALTER - EQUIPO 3 - 10 PERSONAS</t>
  </si>
  <si>
    <t>HORMIGON - WALTER - EQUIPO 1 - 10 PERSONAS</t>
  </si>
  <si>
    <t>MODULO 4 Y 5</t>
  </si>
  <si>
    <t>3 JORNALES</t>
  </si>
  <si>
    <t>30 jornales</t>
  </si>
  <si>
    <t>22 JORNALES</t>
  </si>
  <si>
    <t xml:space="preserve">18 JORNALES </t>
  </si>
  <si>
    <t>MODULO 6 Y 7</t>
  </si>
  <si>
    <t>6 JORNALES</t>
  </si>
  <si>
    <t>MODULO 8 Y 9</t>
  </si>
  <si>
    <t xml:space="preserve"> JORNALES</t>
  </si>
  <si>
    <t>MODULO 13</t>
  </si>
  <si>
    <t>Doblado y armado de fundaciones 1 
(2 Ambientes)</t>
  </si>
  <si>
    <t>Contrapiso 2 amb
Contrapiso cochera
Fundacion escales exteriores</t>
  </si>
  <si>
    <t>MOVIMIENTO DE SUELOS</t>
  </si>
  <si>
    <t>Diciembre</t>
  </si>
  <si>
    <t xml:space="preserve"> </t>
  </si>
  <si>
    <t xml:space="preserve">Compra de materiales + pedido de perforaciones </t>
  </si>
  <si>
    <t xml:space="preserve">Maquina contratada </t>
  </si>
  <si>
    <t>Maquina contratada  + resolver con municipalidad</t>
  </si>
  <si>
    <t xml:space="preserve">Armado de instalacion de obra: tableros principales + 3 tableros moviles de obra + perforaciones </t>
  </si>
  <si>
    <t xml:space="preserve">Movimiento de arena + tosca - IMPORTANTE ANTES DE LA LLENADA </t>
  </si>
  <si>
    <t xml:space="preserve">Mejoramiento de calle publica + calle interna </t>
  </si>
  <si>
    <t xml:space="preserve">Compactacion - pedido de maquina + compactadora </t>
  </si>
  <si>
    <t>MODULOS 1</t>
  </si>
  <si>
    <t>HORMIGON - WALTER - EQUIPO 2 - 10 PERSONAS</t>
  </si>
  <si>
    <t>SI SUMAMOS 3 DEL EQUIPO 3</t>
  </si>
  <si>
    <t>AISLACIONES EXTERIORES</t>
  </si>
  <si>
    <t>LLENAR CONTRAPISO EXTERIOR</t>
  </si>
  <si>
    <t xml:space="preserve">AISLACIONES INTERIORES
</t>
  </si>
  <si>
    <t>CONTRAPISO-CARPETAS INTERIORES 100%</t>
  </si>
  <si>
    <t>MAMPOSTERIA - ENCHAPE - REVOQUE BRIMAX</t>
  </si>
  <si>
    <t xml:space="preserve">DURLOCK - PANELERIA Y CIELORRASO </t>
  </si>
  <si>
    <t>PISOS - REVESTIMIENTOS - ZOCALOS</t>
  </si>
  <si>
    <t>PLOMERIA CONTRAPISO</t>
  </si>
  <si>
    <t>PLOMERIA PARED</t>
  </si>
  <si>
    <t>ELECTRICIDAD EN CONTRAPISO</t>
  </si>
  <si>
    <t>ELECTRICIDAD EN PARED</t>
  </si>
  <si>
    <t>CARPINTERIAS</t>
  </si>
  <si>
    <t>Colocacion de cajas + corrugados de Losa s/cocheras + tabiques de cocheras</t>
  </si>
  <si>
    <t xml:space="preserve">Colocacion de cajas + corrugados de Losa s/cocheras + tabiques sector cocina </t>
  </si>
  <si>
    <t>PRE-INST AA</t>
  </si>
  <si>
    <t>MODULOS 2-3</t>
  </si>
  <si>
    <t>SI SUMAMOS 7, DEL EQUIPO 3</t>
  </si>
  <si>
    <t>PLOMERIA - PASES EN HORMIGON</t>
  </si>
  <si>
    <t>ELECTRICIDAD EN HORMIGON</t>
  </si>
  <si>
    <t>MODULOS 4-5</t>
  </si>
  <si>
    <t>MODULOS 6-7</t>
  </si>
  <si>
    <t>MODULOS 8-9</t>
  </si>
  <si>
    <t>MODULOS 10-11</t>
  </si>
  <si>
    <t>W -E2</t>
  </si>
  <si>
    <r>
      <rPr>
        <b/>
        <sz val="12"/>
        <color rgb="FFC55A11"/>
        <rFont val="Calibri"/>
        <family val="2"/>
      </rPr>
      <t xml:space="preserve"> WALTER - EQUIPO 4 (ALBAÑILES)
</t>
    </r>
    <r>
      <rPr>
        <b/>
        <sz val="12"/>
        <color rgb="FFFFFF00"/>
        <rFont val="Calibri"/>
        <family val="2"/>
      </rPr>
      <t>INCORPORAR</t>
    </r>
    <r>
      <rPr>
        <b/>
        <sz val="12"/>
        <color rgb="FFC55A1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TERCEIZADO?</t>
    </r>
  </si>
  <si>
    <r>
      <rPr>
        <b/>
        <sz val="12"/>
        <color theme="1"/>
        <rFont val="Calibri"/>
        <family val="2"/>
      </rPr>
      <t xml:space="preserve">AISLACIONES INTERIORES
</t>
    </r>
    <r>
      <rPr>
        <b/>
        <sz val="12"/>
        <color rgb="FFFF0000"/>
        <rFont val="Calibri"/>
        <family val="2"/>
      </rPr>
      <t>DEFINIR GAS + PLOMERO</t>
    </r>
  </si>
  <si>
    <r>
      <rPr>
        <b/>
        <sz val="12"/>
        <color theme="1"/>
        <rFont val="Calibri"/>
        <family val="2"/>
      </rPr>
      <t xml:space="preserve">CARPETAS INTERIORES 100%
</t>
    </r>
    <r>
      <rPr>
        <b/>
        <sz val="12"/>
        <color rgb="FFFF0000"/>
        <rFont val="Calibri"/>
        <family val="2"/>
      </rPr>
      <t>DEFINIR GAS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+ PLOMERO</t>
    </r>
  </si>
  <si>
    <t>LIMPIEZA</t>
  </si>
  <si>
    <t>PARA ESTO NECESITO DEFINICION DE QUIEN VA A SER EL PLOMERO + QUE SE HARA CON EL GAS</t>
  </si>
  <si>
    <t>MODULOS 12 -RAMON</t>
  </si>
  <si>
    <t>R- E2</t>
  </si>
  <si>
    <r>
      <rPr>
        <b/>
        <sz val="12"/>
        <color rgb="FFC55A11"/>
        <rFont val="Calibri"/>
        <family val="2"/>
      </rPr>
      <t xml:space="preserve"> RAMON - EQUIPO 4 (ALBAÑILES)
</t>
    </r>
    <r>
      <rPr>
        <b/>
        <sz val="12"/>
        <color rgb="FFFFFF00"/>
        <rFont val="Calibri"/>
        <family val="2"/>
      </rPr>
      <t>INCORPORAR</t>
    </r>
    <r>
      <rPr>
        <b/>
        <sz val="12"/>
        <color rgb="FFC55A1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TERCEIZADO?</t>
    </r>
  </si>
  <si>
    <r>
      <rPr>
        <b/>
        <sz val="12"/>
        <color theme="1"/>
        <rFont val="Calibri"/>
        <family val="2"/>
      </rPr>
      <t xml:space="preserve">AISLACIONES INTERIORES
</t>
    </r>
    <r>
      <rPr>
        <b/>
        <sz val="12"/>
        <color rgb="FFFF0000"/>
        <rFont val="Calibri"/>
        <family val="2"/>
      </rPr>
      <t>DEFINIR GAS + PLOMERO</t>
    </r>
  </si>
  <si>
    <r>
      <rPr>
        <b/>
        <sz val="12"/>
        <color theme="1"/>
        <rFont val="Calibri"/>
        <family val="2"/>
      </rPr>
      <t xml:space="preserve">CARPETAS INTERIORES 100%
</t>
    </r>
    <r>
      <rPr>
        <b/>
        <sz val="12"/>
        <color rgb="FFFF0000"/>
        <rFont val="Calibri"/>
        <family val="2"/>
      </rPr>
      <t>DEFINIR GAS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+ PLOMERO</t>
    </r>
  </si>
  <si>
    <t>MODULOS 13 - RAMON</t>
  </si>
  <si>
    <t>HORMIGON - RAMON - EQUIPO 1 - 5 PERSONAS</t>
  </si>
  <si>
    <t>RAMON - EQUIPO 2 - 7 PERSONAS</t>
  </si>
  <si>
    <t>CONTRAPISO - CARPETA EXT + IMPERMEABILIZACION + CARPETA INT</t>
  </si>
  <si>
    <t>ELECT PASES</t>
  </si>
  <si>
    <t>ELECT X CONTRAPISO</t>
  </si>
  <si>
    <t>ELECTRICAS EN MAMPOSTERIA</t>
  </si>
  <si>
    <t>TENDIDO DESAGUES</t>
  </si>
  <si>
    <t>TENDIDO AGUA</t>
  </si>
  <si>
    <t>MODULOS 10 Y 11</t>
  </si>
  <si>
    <t>MOV SUELO</t>
  </si>
  <si>
    <t>12/6 estan desencofrando losa sobre cochera de M11</t>
  </si>
  <si>
    <t>desencofrado el 2 amb de M11 + sobre cochera M10 + ordenadas las maderas</t>
  </si>
  <si>
    <t>DESENCOFRADOS</t>
  </si>
  <si>
    <t>Armado de tabiques + columas de PB cocina3 amb. + losa y vigas s/cocina 3 ambientes</t>
  </si>
  <si>
    <t xml:space="preserve">Llenado de tabiques + columas de estar 3 amb. + losa y vigas s/estar 3 ambientes </t>
  </si>
  <si>
    <t>CONTRAPISO - CARPETA</t>
  </si>
  <si>
    <t>Colocacion de cajas + corrugados de Losa s/cocheras + tabiques sector estar 3 ambientes</t>
  </si>
  <si>
    <t>Colocacion de desagues por tabique de cocheras</t>
  </si>
  <si>
    <t xml:space="preserve">Colocacion de cajas + corrugados sector cocina </t>
  </si>
  <si>
    <t>Colocacion de cajas - sector estar 3 ambientes</t>
  </si>
  <si>
    <t>MEDIR</t>
  </si>
  <si>
    <t>CHINA</t>
  </si>
  <si>
    <t>COLOCAR</t>
  </si>
  <si>
    <t>Colocacion de preinstalaciones</t>
  </si>
  <si>
    <t>MODULOS 12</t>
  </si>
  <si>
    <t>MOV DE SUELO</t>
  </si>
  <si>
    <t>Armado de tabiques + columas metalicas + losa y vigas s/cochera</t>
  </si>
  <si>
    <t>HORMIGON</t>
  </si>
  <si>
    <t xml:space="preserve">2 SEMANA </t>
  </si>
  <si>
    <t xml:space="preserve">3 SEMANA </t>
  </si>
  <si>
    <t xml:space="preserve">4 SEMANA </t>
  </si>
  <si>
    <t xml:space="preserve">MODULOS 10-11 </t>
  </si>
  <si>
    <t>ALBAÑILERIA</t>
  </si>
  <si>
    <r>
      <rPr>
        <b/>
        <sz val="24"/>
        <color rgb="FFC55A11"/>
        <rFont val="Calibri"/>
        <family val="2"/>
      </rPr>
      <t xml:space="preserve"> WALTER - EQUIPO 4 (ALBAÑILES)
</t>
    </r>
    <r>
      <rPr>
        <b/>
        <sz val="24"/>
        <color rgb="FFFFFF00"/>
        <rFont val="Calibri"/>
        <family val="2"/>
      </rPr>
      <t>INCORPORAR</t>
    </r>
    <r>
      <rPr>
        <b/>
        <sz val="24"/>
        <color rgb="FFC55A11"/>
        <rFont val="Calibri"/>
        <family val="2"/>
      </rPr>
      <t xml:space="preserve">
</t>
    </r>
    <r>
      <rPr>
        <b/>
        <sz val="26"/>
        <color rgb="FFFF0000"/>
        <rFont val="Calibri"/>
        <family val="2"/>
      </rPr>
      <t>TERCEIZADO?</t>
    </r>
  </si>
  <si>
    <r>
      <rPr>
        <b/>
        <sz val="18"/>
        <color theme="1"/>
        <rFont val="Calibri"/>
        <family val="2"/>
      </rPr>
      <t xml:space="preserve">AISLACIONES INTERIORES
</t>
    </r>
    <r>
      <rPr>
        <b/>
        <sz val="18"/>
        <color rgb="FFFF0000"/>
        <rFont val="Calibri"/>
        <family val="2"/>
      </rPr>
      <t>DEFINIR</t>
    </r>
    <r>
      <rPr>
        <b/>
        <sz val="18"/>
        <color rgb="FFFF0000"/>
        <rFont val="Calibri"/>
        <family val="2"/>
      </rPr>
      <t xml:space="preserve"> GAS + PLOMERO</t>
    </r>
  </si>
  <si>
    <r>
      <rPr>
        <b/>
        <sz val="18"/>
        <color theme="1"/>
        <rFont val="Calibri"/>
        <family val="2"/>
      </rPr>
      <t xml:space="preserve">CARPETAS INTERIORES 100%
</t>
    </r>
    <r>
      <rPr>
        <b/>
        <sz val="18"/>
        <color rgb="FFFF0000"/>
        <rFont val="Calibri"/>
        <family val="2"/>
      </rPr>
      <t>DEFINIR GAS</t>
    </r>
    <r>
      <rPr>
        <b/>
        <sz val="18"/>
        <color theme="1"/>
        <rFont val="Calibri"/>
        <family val="2"/>
      </rPr>
      <t xml:space="preserve"> </t>
    </r>
    <r>
      <rPr>
        <b/>
        <sz val="18"/>
        <color rgb="FFFF0000"/>
        <rFont val="Calibri"/>
        <family val="2"/>
      </rPr>
      <t>+ PLOMERO</t>
    </r>
  </si>
  <si>
    <r>
      <rPr>
        <b/>
        <sz val="18"/>
        <color theme="1"/>
        <rFont val="Calibri"/>
        <family val="2"/>
      </rPr>
      <t>Cañeria por contrapiso</t>
    </r>
    <r>
      <rPr>
        <sz val="18"/>
        <color theme="1"/>
        <rFont val="Calibri"/>
        <family val="2"/>
      </rPr>
      <t xml:space="preserve">
EN CONTRAPISO
Dejar chicotes</t>
    </r>
  </si>
  <si>
    <r>
      <rPr>
        <b/>
        <sz val="18"/>
        <color theme="1"/>
        <rFont val="Calibri"/>
        <family val="2"/>
      </rPr>
      <t xml:space="preserve">Agua F-C
Desagues 
EN CONTRAPISO
</t>
    </r>
    <r>
      <rPr>
        <sz val="18"/>
        <color theme="1"/>
        <rFont val="Calibri"/>
        <family val="2"/>
      </rPr>
      <t>Dejar chicotes</t>
    </r>
  </si>
  <si>
    <t>BRIMAX MAMPOSTERIA
240 x 2</t>
  </si>
  <si>
    <t>ENCHAPE 
115M2 X 2</t>
  </si>
  <si>
    <t>BRIMAX REVOQUES
1190m2</t>
  </si>
  <si>
    <t>DURLOCK TABIQUERIA
240M2 X 2</t>
  </si>
  <si>
    <t>DURLOCK ENCHAPE
115M2 X 2</t>
  </si>
  <si>
    <t>CIELORRASO
DURLOCK / YESO?
72m2</t>
  </si>
  <si>
    <r>
      <rPr>
        <b/>
        <sz val="18"/>
        <color theme="0"/>
        <rFont val="Calibri"/>
        <family val="2"/>
      </rPr>
      <t xml:space="preserve">PISOS X 2
</t>
    </r>
    <r>
      <rPr>
        <sz val="14"/>
        <color theme="0"/>
        <rFont val="Calibri"/>
        <family val="2"/>
      </rPr>
      <t>int: 337 m2
ext: 296m2
zoc int: 140ml
zoc ext: 70ml</t>
    </r>
  </si>
  <si>
    <r>
      <rPr>
        <b/>
        <sz val="18"/>
        <color theme="0"/>
        <rFont val="Calibri"/>
        <family val="2"/>
      </rPr>
      <t xml:space="preserve">REVESTIMIENTOS X 2
</t>
    </r>
    <r>
      <rPr>
        <sz val="14"/>
        <color theme="0"/>
        <rFont val="Calibri"/>
        <family val="2"/>
      </rPr>
      <t xml:space="preserve">cocina: 15,2m2
baño: 187 m2
refrac: </t>
    </r>
  </si>
  <si>
    <t>Medir</t>
  </si>
  <si>
    <t>Colocar</t>
  </si>
  <si>
    <t>PRESUPUESTAR</t>
  </si>
  <si>
    <t>MATERIALES</t>
  </si>
  <si>
    <t>MODULOS 12 - RAMON</t>
  </si>
  <si>
    <r>
      <rPr>
        <b/>
        <sz val="24"/>
        <color rgb="FFC55A11"/>
        <rFont val="Calibri"/>
        <family val="2"/>
      </rPr>
      <t xml:space="preserve">RAMON - EQUIPO 4 (ALBAÑILES)
</t>
    </r>
    <r>
      <rPr>
        <b/>
        <sz val="24"/>
        <color rgb="FFFFFF00"/>
        <rFont val="Calibri"/>
        <family val="2"/>
      </rPr>
      <t>INCORPORAR</t>
    </r>
    <r>
      <rPr>
        <b/>
        <sz val="26"/>
        <color rgb="FFFF0000"/>
        <rFont val="Calibri"/>
        <family val="2"/>
      </rPr>
      <t xml:space="preserve">
TERCEIZADO?</t>
    </r>
  </si>
  <si>
    <r>
      <rPr>
        <b/>
        <sz val="18"/>
        <color theme="1"/>
        <rFont val="Calibri"/>
        <family val="2"/>
      </rPr>
      <t xml:space="preserve">AISLACIONES INTERIORES
</t>
    </r>
    <r>
      <rPr>
        <b/>
        <sz val="18"/>
        <color rgb="FFFF0000"/>
        <rFont val="Calibri"/>
        <family val="2"/>
      </rPr>
      <t>DEFINIR</t>
    </r>
    <r>
      <rPr>
        <b/>
        <sz val="18"/>
        <color rgb="FFFF0000"/>
        <rFont val="Calibri"/>
        <family val="2"/>
      </rPr>
      <t xml:space="preserve"> GAS + PLOMERO</t>
    </r>
  </si>
  <si>
    <r>
      <rPr>
        <b/>
        <sz val="18"/>
        <color theme="1"/>
        <rFont val="Calibri"/>
        <family val="2"/>
      </rPr>
      <t xml:space="preserve">CARPETAS INTERIORES 100%
</t>
    </r>
    <r>
      <rPr>
        <b/>
        <sz val="18"/>
        <color rgb="FFFF0000"/>
        <rFont val="Calibri"/>
        <family val="2"/>
      </rPr>
      <t>DEFINIR GAS</t>
    </r>
    <r>
      <rPr>
        <b/>
        <sz val="18"/>
        <color theme="1"/>
        <rFont val="Calibri"/>
        <family val="2"/>
      </rPr>
      <t xml:space="preserve"> </t>
    </r>
    <r>
      <rPr>
        <b/>
        <sz val="18"/>
        <color rgb="FFFF0000"/>
        <rFont val="Calibri"/>
        <family val="2"/>
      </rPr>
      <t>+ PLOMERO</t>
    </r>
  </si>
  <si>
    <r>
      <rPr>
        <b/>
        <sz val="18"/>
        <color theme="1"/>
        <rFont val="Calibri"/>
        <family val="2"/>
      </rPr>
      <t>Cañeria por contrapiso</t>
    </r>
    <r>
      <rPr>
        <sz val="18"/>
        <color theme="1"/>
        <rFont val="Calibri"/>
        <family val="2"/>
      </rPr>
      <t xml:space="preserve">
EN CONTRAPISO
Dejar chicotes</t>
    </r>
  </si>
  <si>
    <r>
      <rPr>
        <b/>
        <sz val="18"/>
        <color theme="1"/>
        <rFont val="Calibri"/>
        <family val="2"/>
      </rPr>
      <t xml:space="preserve">Agua F-C
Desagues 
EN CONTRAPISO
</t>
    </r>
    <r>
      <rPr>
        <sz val="18"/>
        <color theme="1"/>
        <rFont val="Calibri"/>
        <family val="2"/>
      </rPr>
      <t>Dejar chicotes</t>
    </r>
  </si>
  <si>
    <r>
      <rPr>
        <b/>
        <sz val="18"/>
        <color theme="0"/>
        <rFont val="Calibri"/>
        <family val="2"/>
      </rPr>
      <t xml:space="preserve">PISOS X 2
</t>
    </r>
    <r>
      <rPr>
        <sz val="14"/>
        <color theme="0"/>
        <rFont val="Calibri"/>
        <family val="2"/>
      </rPr>
      <t>int: 337 m2
ext: 296m2
zoc int: 140ml
zoc ext: 70ml</t>
    </r>
  </si>
  <si>
    <r>
      <rPr>
        <b/>
        <sz val="18"/>
        <color theme="0"/>
        <rFont val="Calibri"/>
        <family val="2"/>
      </rPr>
      <t xml:space="preserve">REVESTIMIENTOS X 2
</t>
    </r>
    <r>
      <rPr>
        <sz val="14"/>
        <color theme="0"/>
        <rFont val="Calibri"/>
        <family val="2"/>
      </rPr>
      <t xml:space="preserve">cocina: 15,2m2
baño: 187 m2
refrac: </t>
    </r>
  </si>
  <si>
    <t>Semana 1</t>
  </si>
  <si>
    <t>Semana 2</t>
  </si>
  <si>
    <t>Semana 3</t>
  </si>
  <si>
    <t>Semana 4</t>
  </si>
  <si>
    <t>MOV DE SUELO + COMPACTACION PARA EXTENSION COCHERAS</t>
  </si>
  <si>
    <t>09/07 DESENCONFRADO DE LOSA SOBRE COCINA</t>
  </si>
  <si>
    <t>29/07 DESENCONFRADO DE LOSA SOBRE ESTAR</t>
  </si>
  <si>
    <t>08/08 DESENCONFRADO DE CUBIERTA 1</t>
  </si>
  <si>
    <t>25/08 DESENCOFRADO DE CUBIERTA 2</t>
  </si>
  <si>
    <t>10/09 TODAS LAS ESCALERAS DESENCOFRADAS</t>
  </si>
  <si>
    <t>18/09 TODAS LAS BARANDAS DESENCOFRADAS</t>
  </si>
  <si>
    <t>OBRA GRIS-HORMIGON  
WALTER LOPEZ - MODULO 10 + 11</t>
  </si>
  <si>
    <t xml:space="preserve">Atraso en el comienzo por falta de mteriales + documentacion </t>
  </si>
  <si>
    <t>20 JORNALES</t>
  </si>
  <si>
    <t xml:space="preserve">15 JORNALES </t>
  </si>
  <si>
    <t>7 JORNALES</t>
  </si>
  <si>
    <t>2 tramos de esc int + Fundacion Esc Exterior
27/07 - 08/08</t>
  </si>
  <si>
    <t>3er tramo esc int + escaera exterior
10/08 - 16/08</t>
  </si>
  <si>
    <t>Baranda escalera exterior
20/08 - 26/10</t>
  </si>
  <si>
    <t>SACAR LO QUE CORRESPONDE A ESTENSION COCHERA</t>
  </si>
  <si>
    <t xml:space="preserve">Presupuestos + compra de materiales para refaccionar casa </t>
  </si>
  <si>
    <t xml:space="preserve">Equipo de WALTER </t>
  </si>
  <si>
    <r>
      <rPr>
        <sz val="16"/>
        <color rgb="FF1E4E79"/>
        <rFont val="Calibri"/>
        <family val="2"/>
      </rPr>
      <t xml:space="preserve">WALTER LOPEZ </t>
    </r>
    <r>
      <rPr>
        <sz val="16"/>
        <color theme="1"/>
        <rFont val="Calibri"/>
        <family val="2"/>
      </rPr>
      <t>- REPLANTEO MODULO 10 - 11 y 12  -  EQUIPO 5 PERSONAS + CAPATAZ</t>
    </r>
  </si>
  <si>
    <r>
      <rPr>
        <sz val="16"/>
        <color rgb="FF1E4E79"/>
        <rFont val="Calibri"/>
        <family val="2"/>
      </rPr>
      <t xml:space="preserve">WALTER LOPEZ </t>
    </r>
    <r>
      <rPr>
        <sz val="16"/>
        <color theme="1"/>
        <rFont val="Calibri"/>
        <family val="2"/>
      </rPr>
      <t xml:space="preserve">- MODULO 10  y 11 - EQUIPO 10 PERSONAS + CAPATAZ </t>
    </r>
  </si>
  <si>
    <t>10/06 Llenado de tabiques + columas de PB cocina3 amb. + losa y vigas s/cocina 3 ambientes</t>
  </si>
  <si>
    <t>SE PODRIA HABER LLENADO EL 25 PERO NO TENIA TURNO LA HORMIGONERA</t>
  </si>
  <si>
    <t>01/07 Llenado de tabiques + columas de estar 3 amb. + losa y vigas s/estar 3 ambientes</t>
  </si>
  <si>
    <t>11/07 Llenado de tabiques + columas de DORMI 1 + losa y vigas de CUBIERTA 1</t>
  </si>
  <si>
    <t>26/07 Llenado de tabiques + columas de DORMI 2 + losa y vigas de CUBIERTA 2</t>
  </si>
  <si>
    <t>09/08 Llenado escaleras  int</t>
  </si>
  <si>
    <t>19/08 Llenado esc ext y extension cocheras + 3er tramo esc int</t>
  </si>
  <si>
    <t>27/08 Llenado escaleras ext + troncos extension cocheras</t>
  </si>
  <si>
    <t xml:space="preserve">7 personas </t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</si>
  <si>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10/06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</si>
  <si>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</si>
  <si>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</si>
  <si>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12/07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</si>
  <si>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</si>
  <si>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</si>
  <si>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</si>
  <si>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</si>
  <si>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rgb="FFFF0000"/>
        <rFont val="Calibri"/>
        <family val="2"/>
      </rPr>
      <t>ATRASO</t>
    </r>
    <r>
      <rPr>
        <sz val="14"/>
        <color rgb="FFFF0000"/>
        <rFont val="Calibri"/>
        <family val="2"/>
      </rPr>
      <t>- M10 LLENO EL 15/7
Falta personal y los domingos no trabajan completo</t>
    </r>
  </si>
  <si>
    <r>
      <rPr>
        <b/>
        <sz val="14"/>
        <color rgb="FFFF0000"/>
        <rFont val="Calibri"/>
        <family val="2"/>
      </rPr>
      <t>ATRASO</t>
    </r>
    <r>
      <rPr>
        <sz val="14"/>
        <color rgb="FFFF0000"/>
        <rFont val="Calibri"/>
        <family val="2"/>
      </rPr>
      <t>- M12 llena el 30/07 y el M11 a confirmar.
Falta personal y los domingos no trabajan completo</t>
    </r>
  </si>
  <si>
    <t>TALVES SE LLENA EL 16 CON m12 Y CUBIERTA 2</t>
  </si>
  <si>
    <t>CONTRAPISO - CARPETA X 2</t>
  </si>
  <si>
    <t>4 JORNALES</t>
  </si>
  <si>
    <t>5 JORNALES</t>
  </si>
  <si>
    <t>LOSA RADIANTE ELECTRICA</t>
  </si>
  <si>
    <t>CONTRAPISOS INTERIORES M10
25/8 arranca</t>
  </si>
  <si>
    <t xml:space="preserve">CONTRAPISOS INTERIORES M11
</t>
  </si>
  <si>
    <t>CARPETAS INTERIORES M10</t>
  </si>
  <si>
    <t>CARPETAS INTERIORES M11</t>
  </si>
  <si>
    <t>CONTRAPISOS + CARPETAS EXTERIORES</t>
  </si>
  <si>
    <t>06/09 Llenado de contrapisos interiores</t>
  </si>
  <si>
    <t>SE POSPONEN LOS INTERIORES. SE HAVE SOLO LA CUBIERTA</t>
  </si>
  <si>
    <t xml:space="preserve">Bruto </t>
  </si>
  <si>
    <t>BRUTO ELECTRICISTA</t>
  </si>
  <si>
    <t>Colocacion de cajas + corrugados de Losa cubierta 1 + tabiques sector dormi 1</t>
  </si>
  <si>
    <t>Colocacion de cajas + corrugados de Losa cubierta 2, + tabiques sector dormi 2</t>
  </si>
  <si>
    <t xml:space="preserve">Por contrapiso </t>
  </si>
  <si>
    <t xml:space="preserve">Colocacion de cajas + corrugados por tabiqueria de durlock </t>
  </si>
  <si>
    <t xml:space="preserve">FINALIZAR 27/06 </t>
  </si>
  <si>
    <t>FINALIZAR 08/07</t>
  </si>
  <si>
    <t>FINALIZAR 25/07</t>
  </si>
  <si>
    <t>?????</t>
  </si>
  <si>
    <t>Bruto</t>
  </si>
  <si>
    <t>FINO PLOMERO</t>
  </si>
  <si>
    <t>Colocacion de cajas + corrugados sector dormi 1</t>
  </si>
  <si>
    <t>Colocacion de cajas + corrugados sector dormi 2</t>
  </si>
  <si>
    <t xml:space="preserve">Colocacion de desagues </t>
  </si>
  <si>
    <t>Provision de agua</t>
  </si>
  <si>
    <t>11 m2 x jornar 1 of + 0,5 ay
--
29m2 x jor 3 of+1ay</t>
  </si>
  <si>
    <t>9 Jornales</t>
  </si>
  <si>
    <t>MAMPOSTERIA M10</t>
  </si>
  <si>
    <t>MAMPOSTERIA M11</t>
  </si>
  <si>
    <t>17m2 x Jorn 1of + 0,5ay
--
45m2 x jorn 3of + 1ay</t>
  </si>
  <si>
    <t>5 Jornales</t>
  </si>
  <si>
    <t>ENCHAPE DE M10 - M11</t>
  </si>
  <si>
    <t>PREYECTAR YESO
3 of + 1 ay
--
50 m2 x jor</t>
  </si>
  <si>
    <t>11 Jornales</t>
  </si>
  <si>
    <t>REVOQEU M10</t>
  </si>
  <si>
    <t>REVOQEU M11</t>
  </si>
  <si>
    <t>EQUIPO DE 3 OFICIALES + 1 AYUDANTE</t>
  </si>
  <si>
    <t>ESTRUCTURA TABIQUERIA M10 - 11
29m2 x jornal</t>
  </si>
  <si>
    <t>PLACAS  TABIQUERIA M10 - 11
29m2 x jornal</t>
  </si>
  <si>
    <t>3 Jornales</t>
  </si>
  <si>
    <t>ESTRUCTURA ENCHAPE M10-11
39m2 x jornal</t>
  </si>
  <si>
    <t>PLACAS ENCHAPE M10-11
39m2 x jornal</t>
  </si>
  <si>
    <t>2 PERSONAS 
3 of + 1 ayudante
EN SECO</t>
  </si>
  <si>
    <t>2 PERSONAS 
1 ARMADOR 1 COLOCADOR</t>
  </si>
  <si>
    <t>con DURLOCK 9,6m2 x jornal - 1 persona</t>
  </si>
  <si>
    <t>6 Jornales</t>
  </si>
  <si>
    <t>CIELORRASO M10 - M11
34m2 x jornal</t>
  </si>
  <si>
    <r>
      <rPr>
        <b/>
        <sz val="18"/>
        <color theme="0"/>
        <rFont val="Calibri"/>
        <family val="2"/>
      </rPr>
      <t xml:space="preserve">PISOS X 2
</t>
    </r>
    <r>
      <rPr>
        <sz val="14"/>
        <color theme="0"/>
        <rFont val="Calibri"/>
        <family val="2"/>
      </rPr>
      <t>int: 337 m2
ext: 296m2
zoc int: 140ml
zoc ext: 70ml</t>
    </r>
  </si>
  <si>
    <t>70m2 x Jornal
75ml de zoc x jorn</t>
  </si>
  <si>
    <t>Colocacion en pisos M10</t>
  </si>
  <si>
    <t>Colocacion en pisos M11</t>
  </si>
  <si>
    <t>zocalos M10</t>
  </si>
  <si>
    <t>zocalos M11</t>
  </si>
  <si>
    <r>
      <rPr>
        <b/>
        <sz val="18"/>
        <color theme="0"/>
        <rFont val="Calibri"/>
        <family val="2"/>
      </rPr>
      <t xml:space="preserve">REVESTIMIENTOS X 2
</t>
    </r>
    <r>
      <rPr>
        <sz val="14"/>
        <color theme="0"/>
        <rFont val="Calibri"/>
        <family val="2"/>
      </rPr>
      <t xml:space="preserve">cocina: 15,2m2
baño: 187 m2
refrac: </t>
    </r>
  </si>
  <si>
    <t xml:space="preserve">18m2 x Jornal
</t>
  </si>
  <si>
    <t>revestimientos M10</t>
  </si>
  <si>
    <t>Ffino AºAº</t>
  </si>
  <si>
    <t>OBRA GRIS - RAMON - MODULO 12</t>
  </si>
  <si>
    <t>FIN LLENADAS M12</t>
  </si>
  <si>
    <t xml:space="preserve">Armado tabiques + columas de PB cocina3 amb. + losa y vigas s/cocina 3 ambientes </t>
  </si>
  <si>
    <t>Armado de tabiques + columas de estar 3 amb. + losa y vigas s/estar 3 ambientes 
12/07 - 29/07</t>
  </si>
  <si>
    <t>Armado de tabiques + columas de DORMI 1 + losa y vigas CUBIERTA 1 
31/07 - 15/08</t>
  </si>
  <si>
    <t>Armado de tabiques + columas de DORMI 2 + losa y vigas CUBIERTA 2 
19/08 - 04/09</t>
  </si>
  <si>
    <t>2 tramos de escaleras interiores
06/09 - 17/09</t>
  </si>
  <si>
    <t>Fundaciones esc ext y extension cocheras + 3er tramo esc int
19/09 - 26/10</t>
  </si>
  <si>
    <t>escaleras ext + troncos extension cocheras
29/09 - 06/10</t>
  </si>
  <si>
    <t>barandas escaleras ext + losa expansion cochera
8/10 - 16/10</t>
  </si>
  <si>
    <t>18/06 Llenado de tabiques + columas metalicas + losa y vigas s/cochera</t>
  </si>
  <si>
    <t xml:space="preserve">11/07 Llenado de tabiques + columas de PB cocina3 amb. + losa y vigas s/cocina 3 ambientes </t>
  </si>
  <si>
    <t>30/8 LLENA</t>
  </si>
  <si>
    <t>16/08 Llenado de tabiques + columas de DORMI 1 + losa y vigas CUBIERTA 2 + segundo tramo esc duplex</t>
  </si>
  <si>
    <t>05/09 Llenado de tabiques + columas de DORMI 2 + losa y vigas CUBIERTA 1 +tercer tramo esc duplex</t>
  </si>
  <si>
    <t>18/09 Llenado escaleras  int</t>
  </si>
  <si>
    <t>27/10 Llenado esc ext y extension cocheras + 3er tramo esc int</t>
  </si>
  <si>
    <t>7/10 Llenado escaleras ext + troncos extension cocheras</t>
  </si>
  <si>
    <t>17/10 Llenado barandas escaleras ext + losa expansion cochera</t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</si>
  <si>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</si>
  <si>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</si>
  <si>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</si>
  <si>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</si>
  <si>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</si>
  <si>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</si>
  <si>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</si>
  <si>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</si>
  <si>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r>
      <rPr>
        <b/>
        <sz val="14"/>
        <color theme="0"/>
        <rFont val="Calibri"/>
        <family val="2"/>
      </rPr>
      <t xml:space="preserve">ARRANCO </t>
    </r>
    <r>
      <rPr>
        <b/>
        <sz val="14"/>
        <color rgb="FFFFFF00"/>
        <rFont val="Calibri"/>
        <family val="2"/>
      </rPr>
      <t>XX/XX</t>
    </r>
    <r>
      <rPr>
        <b/>
        <sz val="14"/>
        <color theme="0"/>
        <rFont val="Calibri"/>
        <family val="2"/>
      </rPr>
      <t xml:space="preserve"> - </t>
    </r>
    <r>
      <rPr>
        <b/>
        <sz val="14"/>
        <color rgb="FFFFFF00"/>
        <rFont val="Calibri"/>
        <family val="2"/>
      </rPr>
      <t xml:space="preserve">DURO X JORNALES </t>
    </r>
    <r>
      <rPr>
        <b/>
        <sz val="14"/>
        <color theme="0"/>
        <rFont val="Calibri"/>
        <family val="2"/>
      </rPr>
      <t xml:space="preserve">- FECHA FIN </t>
    </r>
    <r>
      <rPr>
        <b/>
        <sz val="14"/>
        <color rgb="FFFFFF00"/>
        <rFont val="Calibri"/>
        <family val="2"/>
      </rPr>
      <t>XX/XX</t>
    </r>
  </si>
  <si>
    <t>CONTRAPISOS INTERIORES
29/08 - 1/09</t>
  </si>
  <si>
    <t>CARPETAS</t>
  </si>
  <si>
    <t>02/09 Llenado de contrapisos interiores</t>
  </si>
  <si>
    <r>
      <rPr>
        <b/>
        <sz val="18"/>
        <color theme="0"/>
        <rFont val="Calibri"/>
        <family val="2"/>
      </rPr>
      <t xml:space="preserve">PISOS X 2
</t>
    </r>
    <r>
      <rPr>
        <sz val="14"/>
        <color theme="0"/>
        <rFont val="Calibri"/>
        <family val="2"/>
      </rPr>
      <t>int: 337 m2
ext: 296m2
zoc int: 140ml
zoc ext: 70ml</t>
    </r>
  </si>
  <si>
    <r>
      <rPr>
        <b/>
        <sz val="18"/>
        <color theme="0"/>
        <rFont val="Calibri"/>
        <family val="2"/>
      </rPr>
      <t xml:space="preserve">REVESTIMIENTOS X 2
</t>
    </r>
    <r>
      <rPr>
        <sz val="14"/>
        <color theme="0"/>
        <rFont val="Calibri"/>
        <family val="2"/>
      </rPr>
      <t xml:space="preserve">cocina: 15,2m2
baño: 187 m2
refrac: </t>
    </r>
  </si>
  <si>
    <t>Colocacion de preinstalaciones + caños de cobre</t>
  </si>
  <si>
    <t>MODULOS 10-11-12</t>
  </si>
  <si>
    <t>Maquillaje exterios - 2 of
Puntos
Contrapiso
Fajas
Carpetas</t>
  </si>
  <si>
    <t xml:space="preserve">MAQUILLAJE Y PUNTOS
</t>
  </si>
  <si>
    <t>Llenar contrapisos
Cubiertas, estar duplex</t>
  </si>
  <si>
    <t>Llenar contrapisos
niveles con instalaciones</t>
  </si>
  <si>
    <t>Fajas interiores
AISLACIONES</t>
  </si>
  <si>
    <t>CARPETAS INTERIORES 100%</t>
  </si>
  <si>
    <r>
      <rPr>
        <b/>
        <sz val="18"/>
        <color theme="1"/>
        <rFont val="Calibri"/>
        <family val="2"/>
      </rPr>
      <t xml:space="preserve">Cañeria por contrapiso
</t>
    </r>
    <r>
      <rPr>
        <sz val="18"/>
        <color theme="1"/>
        <rFont val="Calibri"/>
        <family val="2"/>
      </rPr>
      <t xml:space="preserve">
EN CONTRAPISO
Dejar chicotes</t>
    </r>
  </si>
  <si>
    <r>
      <rPr>
        <b/>
        <sz val="18"/>
        <color theme="1"/>
        <rFont val="Calibri"/>
        <family val="2"/>
      </rPr>
      <t xml:space="preserve">Agua F-C
Desagues 
EN CONTRAPISO
</t>
    </r>
    <r>
      <rPr>
        <sz val="18"/>
        <color theme="1"/>
        <rFont val="Calibri"/>
        <family val="2"/>
      </rPr>
      <t>Dejar chicotes</t>
    </r>
  </si>
  <si>
    <r>
      <rPr>
        <b/>
        <sz val="18"/>
        <color theme="0"/>
        <rFont val="Calibri"/>
        <family val="2"/>
      </rPr>
      <t xml:space="preserve">PISOS X 2
</t>
    </r>
    <r>
      <rPr>
        <sz val="14"/>
        <color theme="0"/>
        <rFont val="Calibri"/>
        <family val="2"/>
      </rPr>
      <t>int: 337 m2
ext: 296m2
zoc int: 140ml
zoc ext: 70ml</t>
    </r>
  </si>
  <si>
    <r>
      <rPr>
        <b/>
        <sz val="18"/>
        <color theme="0"/>
        <rFont val="Calibri"/>
        <family val="2"/>
      </rPr>
      <t xml:space="preserve">REVESTIMIENTOS X 2
</t>
    </r>
    <r>
      <rPr>
        <sz val="14"/>
        <color theme="0"/>
        <rFont val="Calibri"/>
        <family val="2"/>
      </rPr>
      <t xml:space="preserve">cocina: 15,2m2
baño: 187 m2
refrac: </t>
    </r>
  </si>
  <si>
    <t>A - EQUIPO 1 MAMPOSTERIA</t>
  </si>
  <si>
    <t>A - EQUIPO 2 CONTRAPISOS</t>
  </si>
  <si>
    <t>MODULO 2</t>
  </si>
  <si>
    <t>MODULO 3</t>
  </si>
  <si>
    <t>MODULO 4</t>
  </si>
  <si>
    <t>MODULO 5</t>
  </si>
  <si>
    <t>MODULO 6</t>
  </si>
  <si>
    <t>|</t>
  </si>
  <si>
    <t>MODULO 7</t>
  </si>
  <si>
    <t>MODULO 8</t>
  </si>
  <si>
    <t>MODULO 9</t>
  </si>
  <si>
    <t xml:space="preserve">MODULO 10 </t>
  </si>
  <si>
    <t>MODULO 11</t>
  </si>
  <si>
    <t>MODULO 12</t>
  </si>
  <si>
    <t>EXTERIOR</t>
  </si>
  <si>
    <t>PLOMERIA - TIRADA EXTERIOR</t>
  </si>
  <si>
    <t>ESPACIOS COMUNES</t>
  </si>
  <si>
    <r>
      <rPr>
        <b/>
        <sz val="22"/>
        <color theme="1"/>
        <rFont val="Calibri"/>
        <family val="2"/>
      </rPr>
      <t>LIMPIEZA</t>
    </r>
    <r>
      <rPr>
        <sz val="22"/>
        <color theme="1"/>
        <rFont val="Calibri"/>
        <family val="2"/>
      </rPr>
      <t xml:space="preserve"> entre M10 - 11 - 12</t>
    </r>
  </si>
  <si>
    <r>
      <rPr>
        <b/>
        <sz val="22"/>
        <color theme="1"/>
        <rFont val="Calibri"/>
        <family val="2"/>
      </rPr>
      <t>MAQUINA -</t>
    </r>
    <r>
      <rPr>
        <sz val="22"/>
        <color theme="1"/>
        <rFont val="Calibri"/>
        <family val="2"/>
      </rPr>
      <t xml:space="preserve"> 
Movimiento de </t>
    </r>
    <r>
      <rPr>
        <b/>
        <sz val="22"/>
        <color theme="1"/>
        <rFont val="Calibri"/>
        <family val="2"/>
      </rPr>
      <t>ARENA</t>
    </r>
    <r>
      <rPr>
        <sz val="22"/>
        <color theme="1"/>
        <rFont val="Calibri"/>
        <family val="2"/>
      </rPr>
      <t xml:space="preserve"> entr M10 - 11 - 12</t>
    </r>
  </si>
  <si>
    <t>Completar calle hasta M9 y M10</t>
  </si>
  <si>
    <r>
      <rPr>
        <b/>
        <sz val="22"/>
        <color theme="1"/>
        <rFont val="Calibri"/>
        <family val="2"/>
      </rPr>
      <t>MAQUINA -</t>
    </r>
    <r>
      <rPr>
        <sz val="22"/>
        <color theme="1"/>
        <rFont val="Calibri"/>
        <family val="2"/>
      </rPr>
      <t xml:space="preserve"> 
Relleno Fund 1 M4 y Fund 2 M5
</t>
    </r>
  </si>
  <si>
    <r>
      <rPr>
        <b/>
        <sz val="22"/>
        <color theme="1"/>
        <rFont val="Calibri"/>
        <family val="2"/>
      </rPr>
      <t>MAQUINA -</t>
    </r>
    <r>
      <rPr>
        <sz val="22"/>
        <color theme="1"/>
        <rFont val="Calibri"/>
        <family val="2"/>
      </rPr>
      <t xml:space="preserve"> 
</t>
    </r>
    <r>
      <rPr>
        <b/>
        <sz val="22"/>
        <color theme="1"/>
        <rFont val="Calibri"/>
        <family val="2"/>
      </rPr>
      <t>SECTOR AMENITIES??</t>
    </r>
  </si>
  <si>
    <t>COMIENZA EJECICION AMENITIES</t>
  </si>
  <si>
    <r>
      <rPr>
        <b/>
        <sz val="28"/>
        <color theme="7"/>
        <rFont val="Calibri"/>
        <family val="2"/>
      </rPr>
      <t xml:space="preserve">GRUPO 2 
</t>
    </r>
    <r>
      <rPr>
        <b/>
        <sz val="28"/>
        <color theme="0"/>
        <rFont val="Calibri"/>
        <family val="2"/>
      </rPr>
      <t xml:space="preserve">
6 PERSONAS ROTAN CON TERMINACIONES HA M10 y M11</t>
    </r>
  </si>
  <si>
    <t>ESTE GRUPO VA A ESTAR CON 
CONTRAPISOS DE M10 y M11</t>
  </si>
  <si>
    <r>
      <rPr>
        <b/>
        <sz val="22"/>
        <color theme="1"/>
        <rFont val="Calibri"/>
        <family val="2"/>
      </rPr>
      <t xml:space="preserve">M4 </t>
    </r>
    <r>
      <rPr>
        <sz val="22"/>
        <color theme="1"/>
        <rFont val="Calibri"/>
        <family val="2"/>
      </rPr>
      <t xml:space="preserve">Fundacion 1 </t>
    </r>
    <r>
      <rPr>
        <b/>
        <sz val="22"/>
        <color theme="1"/>
        <rFont val="Calibri"/>
        <family val="2"/>
      </rPr>
      <t xml:space="preserve">
M5</t>
    </r>
    <r>
      <rPr>
        <sz val="22"/>
        <color theme="1"/>
        <rFont val="Calibri"/>
        <family val="2"/>
      </rPr>
      <t xml:space="preserve"> fundacion 2  + Ajuste
</t>
    </r>
  </si>
  <si>
    <r>
      <rPr>
        <b/>
        <sz val="22"/>
        <color theme="1"/>
        <rFont val="Calibri"/>
        <family val="2"/>
      </rPr>
      <t xml:space="preserve"> M4</t>
    </r>
    <r>
      <rPr>
        <sz val="22"/>
        <color theme="1"/>
        <rFont val="Calibri"/>
        <family val="2"/>
      </rPr>
      <t xml:space="preserve">  Fundacion 2 + Ajuste
</t>
    </r>
    <r>
      <rPr>
        <b/>
        <sz val="22"/>
        <color theme="1"/>
        <rFont val="Calibri"/>
        <family val="2"/>
      </rPr>
      <t xml:space="preserve"> M5</t>
    </r>
    <r>
      <rPr>
        <sz val="22"/>
        <color theme="1"/>
        <rFont val="Calibri"/>
        <family val="2"/>
      </rPr>
      <t xml:space="preserve"> contrapiso 2 ambientes</t>
    </r>
  </si>
  <si>
    <r>
      <rPr>
        <b/>
        <sz val="22"/>
        <color theme="1"/>
        <rFont val="Calibri"/>
        <family val="2"/>
      </rPr>
      <t xml:space="preserve"> M4</t>
    </r>
    <r>
      <rPr>
        <sz val="22"/>
        <color theme="1"/>
        <rFont val="Calibri"/>
        <family val="2"/>
      </rPr>
      <t xml:space="preserve">  contrapiso 2 ambientes y cochera + fundacion escaleras ext
</t>
    </r>
    <r>
      <rPr>
        <b/>
        <sz val="22"/>
        <color theme="1"/>
        <rFont val="Calibri"/>
        <family val="2"/>
      </rPr>
      <t xml:space="preserve"> M5</t>
    </r>
    <r>
      <rPr>
        <sz val="22"/>
        <color theme="1"/>
        <rFont val="Calibri"/>
        <family val="2"/>
      </rPr>
      <t xml:space="preserve"> contrapiso cochera + fundacion escaleras ext</t>
    </r>
  </si>
  <si>
    <t>Llenan 30/10</t>
  </si>
  <si>
    <t>Llenan 
tentativo  14/11</t>
  </si>
  <si>
    <t>Llenan 
tentativo  1/12</t>
  </si>
  <si>
    <r>
      <rPr>
        <b/>
        <sz val="28"/>
        <color theme="7"/>
        <rFont val="Calibri"/>
        <family val="2"/>
      </rPr>
      <t>GRUPO 2</t>
    </r>
    <r>
      <rPr>
        <b/>
        <sz val="28"/>
        <color theme="0"/>
        <rFont val="Calibri"/>
        <family val="2"/>
      </rPr>
      <t xml:space="preserve">
10 PERSONAS FIJAS</t>
    </r>
  </si>
  <si>
    <r>
      <rPr>
        <b/>
        <sz val="22"/>
        <color theme="1"/>
        <rFont val="Calibri"/>
        <family val="2"/>
      </rPr>
      <t>M6</t>
    </r>
    <r>
      <rPr>
        <sz val="22"/>
        <color theme="1"/>
        <rFont val="Calibri"/>
        <family val="2"/>
      </rPr>
      <t xml:space="preserve"> Contrapiso 2 ambientes y cochera
</t>
    </r>
    <r>
      <rPr>
        <b/>
        <sz val="22"/>
        <color theme="1"/>
        <rFont val="Calibri"/>
        <family val="2"/>
      </rPr>
      <t>M7</t>
    </r>
    <r>
      <rPr>
        <sz val="22"/>
        <color theme="1"/>
        <rFont val="Calibri"/>
        <family val="2"/>
      </rPr>
      <t xml:space="preserve"> Contrapiso cochera</t>
    </r>
  </si>
  <si>
    <r>
      <rPr>
        <sz val="22"/>
        <color theme="1"/>
        <rFont val="Calibri"/>
        <family val="2"/>
      </rPr>
      <t xml:space="preserve"> </t>
    </r>
    <r>
      <rPr>
        <b/>
        <sz val="22"/>
        <color theme="1"/>
        <rFont val="Calibri"/>
        <family val="2"/>
      </rPr>
      <t xml:space="preserve">M7 </t>
    </r>
    <r>
      <rPr>
        <sz val="22"/>
        <color theme="1"/>
        <rFont val="Calibri"/>
        <family val="2"/>
      </rPr>
      <t>Contrapiso 2 amb</t>
    </r>
  </si>
  <si>
    <r>
      <rPr>
        <b/>
        <sz val="22"/>
        <color theme="1"/>
        <rFont val="Calibri"/>
        <family val="2"/>
      </rPr>
      <t xml:space="preserve"> M6</t>
    </r>
    <r>
      <rPr>
        <sz val="22"/>
        <color theme="1"/>
        <rFont val="Calibri"/>
        <family val="2"/>
      </rPr>
      <t xml:space="preserve">  fundacion escaleras ext
</t>
    </r>
    <r>
      <rPr>
        <b/>
        <sz val="22"/>
        <color theme="1"/>
        <rFont val="Calibri"/>
        <family val="2"/>
      </rPr>
      <t xml:space="preserve"> M7</t>
    </r>
    <r>
      <rPr>
        <sz val="22"/>
        <color theme="1"/>
        <rFont val="Calibri"/>
        <family val="2"/>
      </rPr>
      <t xml:space="preserve">  fundacion escaleras ext</t>
    </r>
  </si>
  <si>
    <r>
      <rPr>
        <sz val="22"/>
        <color theme="1"/>
        <rFont val="Calibri"/>
        <family val="2"/>
      </rPr>
      <t>Armado de tabiques y columnas PB 2 ambientes + armado de losa y vigas s/ pb</t>
    </r>
    <r>
      <rPr>
        <b/>
        <sz val="22"/>
        <color theme="1"/>
        <rFont val="Calibri"/>
        <family val="2"/>
      </rPr>
      <t xml:space="preserve"> 2 ambientes </t>
    </r>
    <r>
      <rPr>
        <sz val="22"/>
        <color theme="1"/>
        <rFont val="Calibri"/>
        <family val="2"/>
      </rPr>
      <t xml:space="preserve">
</t>
    </r>
    <r>
      <rPr>
        <b/>
        <sz val="22"/>
        <color rgb="FFC00000"/>
        <rFont val="Calibri"/>
        <family val="2"/>
      </rPr>
      <t>TENDRIA QUE IR ESCALERA EXTERIOR</t>
    </r>
  </si>
  <si>
    <r>
      <rPr>
        <sz val="22"/>
        <color theme="1"/>
        <rFont val="Calibri"/>
        <family val="2"/>
      </rPr>
      <t xml:space="preserve">Armado de tabiques y columna metalicas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armado de losa y vigas s/</t>
    </r>
    <r>
      <rPr>
        <b/>
        <sz val="22"/>
        <color theme="1"/>
        <rFont val="Calibri"/>
        <family val="2"/>
      </rPr>
      <t>Cocheras</t>
    </r>
    <r>
      <rPr>
        <b/>
        <sz val="24"/>
        <color theme="1"/>
        <rFont val="Calibri"/>
        <family val="2"/>
      </rPr>
      <t xml:space="preserve"> 
+</t>
    </r>
    <r>
      <rPr>
        <sz val="22"/>
        <color theme="1"/>
        <rFont val="Calibri"/>
        <family val="2"/>
      </rPr>
      <t xml:space="preserve"> primer tramo de escaler duplex
</t>
    </r>
  </si>
  <si>
    <r>
      <rPr>
        <sz val="22"/>
        <color theme="1"/>
        <rFont val="Calibri"/>
        <family val="2"/>
      </rPr>
      <t xml:space="preserve">Armado de tabiques + columas de ACCESO DUPLEX 3 amb.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sobre ACCESO DUPLEX 3 ambientes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segundo tramo esc int + Fundacion escaleras exteriores</t>
    </r>
  </si>
  <si>
    <r>
      <rPr>
        <sz val="22"/>
        <color theme="1"/>
        <rFont val="Calibri"/>
        <family val="2"/>
      </rPr>
      <t xml:space="preserve">Llenado de tabiques y columas de estar DUPLEX 3 amb.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s/ DUPLEX 3 ambientes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tercer tramo escalera int</t>
    </r>
  </si>
  <si>
    <r>
      <rPr>
        <sz val="22"/>
        <color theme="1"/>
        <rFont val="Calibri"/>
        <family val="2"/>
      </rPr>
      <t xml:space="preserve">Armado de tabiques y columas de DORMI 1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de CUBIERTA 1</t>
    </r>
  </si>
  <si>
    <r>
      <rPr>
        <sz val="22"/>
        <color theme="1"/>
        <rFont val="Calibri"/>
        <family val="2"/>
      </rPr>
      <t xml:space="preserve">Armado de tabiques y columas de DORMI 2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de CUBIERTA 2 </t>
    </r>
  </si>
  <si>
    <t>Llenan 
tentativo  07/02</t>
  </si>
  <si>
    <r>
      <rPr>
        <b/>
        <sz val="28"/>
        <color rgb="FFFF0000"/>
        <rFont val="Calibri"/>
        <family val="2"/>
      </rPr>
      <t xml:space="preserve">GRUPO 1 
</t>
    </r>
    <r>
      <rPr>
        <b/>
        <sz val="28"/>
        <color theme="0"/>
        <rFont val="Calibri"/>
        <family val="2"/>
      </rPr>
      <t xml:space="preserve">
10 PERSONAS FIJAS</t>
    </r>
  </si>
  <si>
    <r>
      <rPr>
        <sz val="22"/>
        <color theme="1"/>
        <rFont val="Calibri"/>
        <family val="2"/>
      </rPr>
      <t>Armado de tabiques y columnas PB 2 ambientes + armado de losa y vigas s/ pb</t>
    </r>
    <r>
      <rPr>
        <b/>
        <sz val="22"/>
        <color theme="1"/>
        <rFont val="Calibri"/>
        <family val="2"/>
      </rPr>
      <t xml:space="preserve"> 2 ambientes </t>
    </r>
    <r>
      <rPr>
        <sz val="22"/>
        <color theme="1"/>
        <rFont val="Calibri"/>
        <family val="2"/>
      </rPr>
      <t xml:space="preserve">
</t>
    </r>
    <r>
      <rPr>
        <b/>
        <sz val="22"/>
        <color rgb="FFC00000"/>
        <rFont val="Calibri"/>
        <family val="2"/>
      </rPr>
      <t>TENDRIA QUE IR ESCALERA EXTERIOR</t>
    </r>
  </si>
  <si>
    <r>
      <rPr>
        <sz val="22"/>
        <color theme="1"/>
        <rFont val="Calibri"/>
        <family val="2"/>
      </rPr>
      <t xml:space="preserve">Armado de tabiques y columna metalicas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armado de losa y vigas s/</t>
    </r>
    <r>
      <rPr>
        <b/>
        <sz val="22"/>
        <color theme="1"/>
        <rFont val="Calibri"/>
        <family val="2"/>
      </rPr>
      <t>Cocheras</t>
    </r>
    <r>
      <rPr>
        <b/>
        <sz val="24"/>
        <color theme="1"/>
        <rFont val="Calibri"/>
        <family val="2"/>
      </rPr>
      <t xml:space="preserve"> 
+</t>
    </r>
    <r>
      <rPr>
        <sz val="22"/>
        <color theme="1"/>
        <rFont val="Calibri"/>
        <family val="2"/>
      </rPr>
      <t xml:space="preserve"> primer tramo de escaler duplex
</t>
    </r>
  </si>
  <si>
    <r>
      <rPr>
        <sz val="22"/>
        <color theme="1"/>
        <rFont val="Calibri"/>
        <family val="2"/>
      </rPr>
      <t xml:space="preserve">Armado de tabiques + columas de ACCESO DUPLEX 3 amb.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sobre ACCESO DUPLEX 3 ambientes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segundo tramo esc int + Fundacion escaleras exteriores</t>
    </r>
  </si>
  <si>
    <r>
      <rPr>
        <sz val="22"/>
        <color theme="1"/>
        <rFont val="Calibri"/>
        <family val="2"/>
      </rPr>
      <t xml:space="preserve">Llenado de tabiques y columas de estar DUPLEX 3 amb.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s/ DUPLEX 3 ambientes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tercer tramo escalera int</t>
    </r>
  </si>
  <si>
    <r>
      <rPr>
        <sz val="22"/>
        <color theme="1"/>
        <rFont val="Calibri"/>
        <family val="2"/>
      </rPr>
      <t xml:space="preserve">Armado de tabiques y columas de DORMI 1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de CUBIERTA 1</t>
    </r>
  </si>
  <si>
    <r>
      <rPr>
        <sz val="22"/>
        <color theme="1"/>
        <rFont val="Calibri"/>
        <family val="2"/>
      </rPr>
      <t xml:space="preserve">Armado de tabiques y columas de DORMI 2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de CUBIERTA 2 </t>
    </r>
  </si>
  <si>
    <t>Llenan 
tentativo  17/11</t>
  </si>
  <si>
    <t>Llenan 
tentativo  15/12</t>
  </si>
  <si>
    <t>24-25-26/12 y 31-1-2/1 no los conte
FIESTAS</t>
  </si>
  <si>
    <t>Llenan 
tentativo  16/01</t>
  </si>
  <si>
    <t>16-17 / 05 no los conte
CARNAVAL</t>
  </si>
  <si>
    <t>Llenan 
tentativo  28/02</t>
  </si>
  <si>
    <t>Llenan 
tentativo  19/03</t>
  </si>
  <si>
    <t>MODULO 13 (RAMON)</t>
  </si>
  <si>
    <r>
      <rPr>
        <sz val="22"/>
        <color theme="1"/>
        <rFont val="Calibri"/>
        <family val="2"/>
      </rPr>
      <t xml:space="preserve">Doblado y armado de fundaciones 2 (cochera) 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Tabique de ajuste</t>
    </r>
  </si>
  <si>
    <r>
      <rPr>
        <sz val="22"/>
        <color theme="1"/>
        <rFont val="Calibri"/>
        <family val="2"/>
      </rPr>
      <t>Armado de tabiques y columnas PB 2 ambientes + armado de losa y vigas s/ pb</t>
    </r>
    <r>
      <rPr>
        <b/>
        <sz val="22"/>
        <color theme="1"/>
        <rFont val="Calibri"/>
        <family val="2"/>
      </rPr>
      <t xml:space="preserve"> 2 ambientes </t>
    </r>
    <r>
      <rPr>
        <sz val="22"/>
        <color theme="1"/>
        <rFont val="Calibri"/>
        <family val="2"/>
      </rPr>
      <t xml:space="preserve">
</t>
    </r>
    <r>
      <rPr>
        <b/>
        <sz val="22"/>
        <color rgb="FFC00000"/>
        <rFont val="Calibri"/>
        <family val="2"/>
      </rPr>
      <t>TENDRIA QUE IR ESCALERA EXTERIOR</t>
    </r>
  </si>
  <si>
    <r>
      <rPr>
        <sz val="22"/>
        <color theme="1"/>
        <rFont val="Calibri"/>
        <family val="2"/>
      </rPr>
      <t xml:space="preserve">Armado de tabiques y columna metalicas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armado de losa y vigas s/</t>
    </r>
    <r>
      <rPr>
        <b/>
        <sz val="22"/>
        <color theme="1"/>
        <rFont val="Calibri"/>
        <family val="2"/>
      </rPr>
      <t>Cocheras</t>
    </r>
    <r>
      <rPr>
        <b/>
        <sz val="24"/>
        <color theme="1"/>
        <rFont val="Calibri"/>
        <family val="2"/>
      </rPr>
      <t xml:space="preserve"> 
+</t>
    </r>
    <r>
      <rPr>
        <sz val="22"/>
        <color theme="1"/>
        <rFont val="Calibri"/>
        <family val="2"/>
      </rPr>
      <t xml:space="preserve"> primer tramo de escaler duplex
</t>
    </r>
  </si>
  <si>
    <r>
      <rPr>
        <sz val="22"/>
        <color theme="1"/>
        <rFont val="Calibri"/>
        <family val="2"/>
      </rPr>
      <t xml:space="preserve">Armado de tabiques + columas de ACCESO DUPLEX 3 amb.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sobre ACCESO DUPLEX 3 ambientes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segundo tramo esc int + Fundacion escaleras exteriores</t>
    </r>
  </si>
  <si>
    <r>
      <rPr>
        <sz val="22"/>
        <color theme="1"/>
        <rFont val="Calibri"/>
        <family val="2"/>
      </rPr>
      <t xml:space="preserve">Llenado de tabiques y columas de estar DUPLEX 3 amb.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s/ DUPLEX 3 ambientes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tercer tramo escalera int</t>
    </r>
  </si>
  <si>
    <r>
      <rPr>
        <sz val="22"/>
        <color theme="1"/>
        <rFont val="Calibri"/>
        <family val="2"/>
      </rPr>
      <t xml:space="preserve">Armado de tabiques y columas de DORMI 1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de CUBIERTA 1</t>
    </r>
  </si>
  <si>
    <r>
      <rPr>
        <sz val="22"/>
        <color theme="1"/>
        <rFont val="Calibri"/>
        <family val="2"/>
      </rPr>
      <t xml:space="preserve">Armado de tabiques y columas de DORMI 2 
</t>
    </r>
    <r>
      <rPr>
        <b/>
        <sz val="24"/>
        <color theme="1"/>
        <rFont val="Calibri"/>
        <family val="2"/>
      </rPr>
      <t>+</t>
    </r>
    <r>
      <rPr>
        <sz val="22"/>
        <color theme="1"/>
        <rFont val="Calibri"/>
        <family val="2"/>
      </rPr>
      <t xml:space="preserve"> losa y vigas de CUBIERTA 2 </t>
    </r>
  </si>
  <si>
    <t>Llenan 
tentativo  27/01</t>
  </si>
  <si>
    <t>3 jornales</t>
  </si>
  <si>
    <t>NIVELACION ENTRE M10-11-12</t>
  </si>
  <si>
    <t>PROLONGAR Y MEJOR CALLE CENTRAL</t>
  </si>
  <si>
    <t xml:space="preserve">MODULO 4 </t>
  </si>
  <si>
    <t>MALLA EN CONTRAPISO 2 AMB</t>
  </si>
  <si>
    <t>MALLA EN COCHERA</t>
  </si>
  <si>
    <t>PASE DE PLUVIAL + CS COCHERA</t>
  </si>
  <si>
    <t>MODULO  5</t>
  </si>
  <si>
    <t>EXTENSION 4 AMB</t>
  </si>
  <si>
    <t>LLENAR CONTRAPISO COCHERA
ESTIMATIVO</t>
  </si>
  <si>
    <t>MALLA CONTRAPISO 4 AMB</t>
  </si>
  <si>
    <t>INSTALACION DEL 4 AMBIENTE</t>
  </si>
  <si>
    <t>AJUSTE MALLAS CONTRAPSIO COCHERA</t>
  </si>
  <si>
    <t>PASES PLENO - TABLERO 4 AMB</t>
  </si>
  <si>
    <t xml:space="preserve">MODULO 6 </t>
  </si>
  <si>
    <t>DOBLADO Y CHEQUEO DE ARMADO - AJUSTE DE ENCOFRADO</t>
  </si>
  <si>
    <t xml:space="preserve">LLENAR </t>
  </si>
  <si>
    <t>CHEQUEO DE PASES</t>
  </si>
  <si>
    <t>AJUSTE DE CAÑOS Y CAJAS</t>
  </si>
  <si>
    <t>MODULO 10</t>
  </si>
  <si>
    <t>FINALIZAR FAJAS CCARPINTERIA</t>
  </si>
  <si>
    <t>FINALIZAR MAQUILLAJE EXTERIOR</t>
  </si>
  <si>
    <t>DOBLADO DE FUNDACION 2</t>
  </si>
  <si>
    <t>LLENAR FUND 1 
ESTIMATIVO 19/11 - H21</t>
  </si>
  <si>
    <t>3/11 - 7-11</t>
  </si>
  <si>
    <t>10/11 - 15/11</t>
  </si>
  <si>
    <t>17/11 - 22/11</t>
  </si>
  <si>
    <t>24/11 - 29/11</t>
  </si>
  <si>
    <t>4 OFICIALES</t>
  </si>
  <si>
    <t>ARMADO DE FUNDACION 2 + TABIQUE DE AJUSTES</t>
  </si>
  <si>
    <t>LLENAR FUND 2 
ESTIMATIVO 19/11 - H21</t>
  </si>
  <si>
    <t>DESAGUE-AGUA 2 AMB</t>
  </si>
  <si>
    <t>PASES PLENO - TABLERO 2 AMB</t>
  </si>
  <si>
    <t>LLENAR CONTRAPISO COCHERA
ESTIMATIVO 19/11 - H21</t>
  </si>
  <si>
    <t>INSTALACION DEL 4 AMBIENTE ??</t>
  </si>
  <si>
    <t>INICIO FUNDACION ESCALERA EXTERIOR</t>
  </si>
  <si>
    <t>LLENAR ONTRAPISO?? - depende intalacion de 4 Amb - 
ESTIMATIVO 19/11 - H21</t>
  </si>
  <si>
    <t>10 OFIC</t>
  </si>
  <si>
    <t>LLENAR 18/11
H25</t>
  </si>
  <si>
    <t>LLENAR 18/11
H 25</t>
  </si>
  <si>
    <t>6 OF - 2 MAQ Y 4 CONT</t>
  </si>
  <si>
    <r>
      <rPr>
        <b/>
        <sz val="11"/>
        <color rgb="FFFFFF00"/>
        <rFont val="Calibri"/>
        <family val="2"/>
      </rPr>
      <t>TecMembrana</t>
    </r>
    <r>
      <rPr>
        <b/>
        <sz val="11"/>
        <color theme="1"/>
        <rFont val="Calibri"/>
        <family val="2"/>
      </rPr>
      <t xml:space="preserve"> + CONCRETO EN EXTERIORES</t>
    </r>
  </si>
  <si>
    <t>FIN PUNTOS EN CONTRAPISO EXT</t>
  </si>
  <si>
    <t>INICIO PUNTOS EN CONTRAPISO EXT</t>
  </si>
  <si>
    <t>LLENAR CONT EXT 
ESTIMATIVO 20/11 - H ALIVIANADO</t>
  </si>
  <si>
    <t>DESAGUES INTERIORES</t>
  </si>
  <si>
    <t>COMENZAR MAQUILLAJE EXTERIOR</t>
  </si>
  <si>
    <r>
      <rPr>
        <b/>
        <sz val="11"/>
        <color rgb="FFFFFF00"/>
        <rFont val="Calibri"/>
        <family val="2"/>
      </rPr>
      <t>TecMembrana</t>
    </r>
    <r>
      <rPr>
        <b/>
        <sz val="11"/>
        <color theme="1"/>
        <rFont val="Calibri"/>
        <family val="2"/>
      </rPr>
      <t xml:space="preserve"> + CONCRETO EN EXTERIORES</t>
    </r>
  </si>
  <si>
    <t>PUNTOS EN ESTAR Y DORMIS DUPLEX</t>
  </si>
  <si>
    <t>2 OF</t>
  </si>
  <si>
    <r>
      <rPr>
        <b/>
        <sz val="11"/>
        <color rgb="FFFFFF00"/>
        <rFont val="Calibri"/>
        <family val="2"/>
      </rPr>
      <t>TecMembrana</t>
    </r>
    <r>
      <rPr>
        <b/>
        <sz val="11"/>
        <color theme="1"/>
        <rFont val="Calibri"/>
        <family val="2"/>
      </rPr>
      <t xml:space="preserve"> + CONCRETO EN EXTERIORES</t>
    </r>
  </si>
  <si>
    <t>3 OF</t>
  </si>
  <si>
    <t>ARMADO DE FUNDACION 1</t>
  </si>
  <si>
    <t>PASE PLUVIAL (según niveles)</t>
  </si>
  <si>
    <t>RO PEDIR MEMBRANASS</t>
  </si>
  <si>
    <t>OBRA GRIS - WALTER LOPEZ - MODULO 10 + 11</t>
  </si>
  <si>
    <r>
      <rPr>
        <b/>
        <sz val="8"/>
        <color rgb="FF1E4E79"/>
        <rFont val="Calibri"/>
        <family val="2"/>
      </rPr>
      <t xml:space="preserve">WALTER LOPEZ </t>
    </r>
    <r>
      <rPr>
        <b/>
        <sz val="8"/>
        <color theme="1"/>
        <rFont val="Calibri"/>
        <family val="2"/>
      </rPr>
      <t>- REPLANTEO MODULO 10 - 11 y 12  -  EQUIPO 5 PERSONAS + CAPATAZ</t>
    </r>
  </si>
  <si>
    <r>
      <rPr>
        <b/>
        <sz val="12"/>
        <color rgb="FF1E4E79"/>
        <rFont val="Calibri"/>
        <family val="2"/>
      </rPr>
      <t xml:space="preserve">WALTER LOPEZ </t>
    </r>
    <r>
      <rPr>
        <b/>
        <sz val="12"/>
        <color theme="1"/>
        <rFont val="Calibri"/>
        <family val="2"/>
      </rPr>
      <t xml:space="preserve">- MODULO 10  y 11 - EQUIPO 10 PERSONAS + CAPATAZ </t>
    </r>
  </si>
  <si>
    <t>FIN OBRA GRIS</t>
  </si>
  <si>
    <t>Maquina 6 horas por bloque</t>
  </si>
  <si>
    <t>Pedido de maquina para compactacion 3 hs por bloque</t>
  </si>
  <si>
    <t>Pedido de columnas                    metalicas</t>
  </si>
  <si>
    <t>Descencofrado + retiro de madera - 2 personas</t>
  </si>
  <si>
    <t xml:space="preserve">Refaccion de vivienda </t>
  </si>
  <si>
    <r>
      <rPr>
        <sz val="12"/>
        <color theme="1"/>
        <rFont val="Calibri"/>
        <family val="2"/>
      </rPr>
      <t>Replanteo de modulo 10 y 11 -</t>
    </r>
    <r>
      <rPr>
        <b/>
        <sz val="12"/>
        <color theme="1"/>
        <rFont val="Calibri"/>
        <family val="2"/>
      </rPr>
      <t xml:space="preserve"> 3 jornales como maximo</t>
    </r>
  </si>
  <si>
    <r>
      <rPr>
        <b/>
        <sz val="12"/>
        <color rgb="FFFFD965"/>
        <rFont val="Calibri"/>
        <family val="2"/>
      </rPr>
      <t>Etapa 1  -</t>
    </r>
    <r>
      <rPr>
        <b/>
        <sz val="12"/>
        <color rgb="FFE59F9F"/>
        <rFont val="Calibri"/>
        <family val="2"/>
      </rPr>
      <t xml:space="preserve"> </t>
    </r>
    <r>
      <rPr>
        <b/>
        <sz val="12"/>
        <color rgb="FFFFFFFF"/>
        <rFont val="Calibri"/>
        <family val="2"/>
      </rPr>
      <t xml:space="preserve">Doblado de hierros + armado de tableros de fundaciones + doblado de hierros para tabiques - </t>
    </r>
    <r>
      <rPr>
        <b/>
        <sz val="12"/>
        <color rgb="FFC00000"/>
        <rFont val="Calibri"/>
        <family val="2"/>
      </rPr>
      <t xml:space="preserve"> </t>
    </r>
    <r>
      <rPr>
        <b/>
        <sz val="12"/>
        <color rgb="FFFFD965"/>
        <rFont val="Calibri"/>
        <family val="2"/>
      </rPr>
      <t>11 jornales</t>
    </r>
  </si>
  <si>
    <r>
      <rPr>
        <b/>
        <sz val="12"/>
        <color rgb="FFFFD965"/>
        <rFont val="Calibri"/>
        <family val="2"/>
      </rPr>
      <t>Etapa 2</t>
    </r>
    <r>
      <rPr>
        <b/>
        <sz val="12"/>
        <color rgb="FFC00000"/>
        <rFont val="Calibri"/>
        <family val="2"/>
      </rPr>
      <t xml:space="preserve"> </t>
    </r>
    <r>
      <rPr>
        <b/>
        <sz val="12"/>
        <color rgb="FFFFFFFF"/>
        <rFont val="Calibri"/>
        <family val="2"/>
      </rPr>
      <t>- Armado de tabiques + troncos- 1º - para llegar a nivel de contrapiso  -</t>
    </r>
    <r>
      <rPr>
        <b/>
        <sz val="12"/>
        <color rgb="FFFFD965"/>
        <rFont val="Calibri"/>
        <family val="2"/>
      </rPr>
      <t xml:space="preserve"> </t>
    </r>
    <r>
      <rPr>
        <b/>
        <sz val="12"/>
        <color rgb="FFFFD965"/>
        <rFont val="Calibri"/>
        <family val="2"/>
      </rPr>
      <t xml:space="preserve">10 jornales </t>
    </r>
  </si>
  <si>
    <r>
      <rPr>
        <b/>
        <sz val="12"/>
        <color rgb="FFFFD965"/>
        <rFont val="Calibri"/>
        <family val="2"/>
      </rPr>
      <t>Etapa 3</t>
    </r>
    <r>
      <rPr>
        <b/>
        <sz val="12"/>
        <color rgb="FFFFFFFF"/>
        <rFont val="Calibri"/>
        <family val="2"/>
      </rPr>
      <t xml:space="preserve"> - Armado de vigas + compatacion + contrapiso de cocheras + PB - </t>
    </r>
    <r>
      <rPr>
        <b/>
        <sz val="12"/>
        <color rgb="FFFFD965"/>
        <rFont val="Calibri"/>
        <family val="2"/>
      </rPr>
      <t>8 jornales</t>
    </r>
  </si>
  <si>
    <r>
      <rPr>
        <b/>
        <sz val="12"/>
        <color rgb="FFFFC000"/>
        <rFont val="Calibri"/>
        <family val="2"/>
      </rPr>
      <t xml:space="preserve">Etapa 4 </t>
    </r>
    <r>
      <rPr>
        <b/>
        <sz val="12"/>
        <color rgb="FFFFFFFF"/>
        <rFont val="Calibri"/>
        <family val="2"/>
      </rPr>
      <t>- Armado de tabiques y columnas PB 2 ambientes + armado de losa y vigas s/ pb 2 ambientes -</t>
    </r>
    <r>
      <rPr>
        <b/>
        <sz val="12"/>
        <color rgb="FFFFC000"/>
        <rFont val="Calibri"/>
        <family val="2"/>
      </rPr>
      <t xml:space="preserve"> 35 jornales</t>
    </r>
  </si>
  <si>
    <r>
      <rPr>
        <b/>
        <sz val="12"/>
        <color rgb="FFC00000"/>
        <rFont val="Calibri"/>
        <family val="2"/>
      </rPr>
      <t>Etapa 5</t>
    </r>
    <r>
      <rPr>
        <b/>
        <sz val="12"/>
        <color theme="1"/>
        <rFont val="Calibri"/>
        <family val="2"/>
      </rPr>
      <t xml:space="preserve"> - Armado de tabiques + columna metalicas de cochera + armado de losa y vigas s/Cocheras - 16 jornales</t>
    </r>
  </si>
  <si>
    <r>
      <rPr>
        <b/>
        <sz val="12"/>
        <color rgb="FFC00000"/>
        <rFont val="Calibri"/>
        <family val="2"/>
      </rPr>
      <t>Etapa 6</t>
    </r>
    <r>
      <rPr>
        <b/>
        <sz val="12"/>
        <color theme="1"/>
        <rFont val="Calibri"/>
        <family val="2"/>
      </rPr>
      <t xml:space="preserve"> - Armado de tabiques + columna P2 COCINA + armado de losa y vigas s/P2 cocina -         22 jornales</t>
    </r>
  </si>
  <si>
    <r>
      <rPr>
        <b/>
        <sz val="12"/>
        <color rgb="FFC00000"/>
        <rFont val="Calibri"/>
        <family val="2"/>
      </rPr>
      <t xml:space="preserve">Etapa 7 </t>
    </r>
    <r>
      <rPr>
        <b/>
        <sz val="12"/>
        <color theme="1"/>
        <rFont val="Calibri"/>
        <family val="2"/>
      </rPr>
      <t>- Armado de tabiques + columna P2 ESTAR + armado de losa y vigas s/P2 ESTAR - 16 jornales</t>
    </r>
  </si>
  <si>
    <r>
      <rPr>
        <b/>
        <sz val="12"/>
        <color rgb="FFC00000"/>
        <rFont val="Calibri"/>
        <family val="2"/>
      </rPr>
      <t xml:space="preserve">Etapa 8 </t>
    </r>
    <r>
      <rPr>
        <b/>
        <sz val="12"/>
        <color theme="1"/>
        <rFont val="Calibri"/>
        <family val="2"/>
      </rPr>
      <t>- Armado de tabiques + columna P2 DORMI 1 + armado de losa y vigas s/DORMI 1- 16 jornales</t>
    </r>
  </si>
  <si>
    <r>
      <rPr>
        <b/>
        <sz val="12"/>
        <color rgb="FFC00000"/>
        <rFont val="Calibri"/>
        <family val="2"/>
      </rPr>
      <t xml:space="preserve">Etapa 9 </t>
    </r>
    <r>
      <rPr>
        <b/>
        <sz val="12"/>
        <color theme="1"/>
        <rFont val="Calibri"/>
        <family val="2"/>
      </rPr>
      <t>- Armado de tabiques + columna P2 DORMI 2 + armado de losa y vigas s/DORMI 2 - 16 jornales</t>
    </r>
  </si>
  <si>
    <r>
      <rPr>
        <b/>
        <sz val="12"/>
        <color rgb="FFC00000"/>
        <rFont val="Calibri"/>
        <family val="2"/>
      </rPr>
      <t>Etapa 10</t>
    </r>
    <r>
      <rPr>
        <b/>
        <sz val="12"/>
        <color theme="1"/>
        <rFont val="Calibri"/>
        <family val="2"/>
      </rPr>
      <t xml:space="preserve"> - Llenado de contrapisos + carpetas de todos los niveles + carpetas exteriores + impermeabilizaciones -  3 personas - 15  jornales</t>
    </r>
  </si>
  <si>
    <r>
      <rPr>
        <b/>
        <sz val="14"/>
        <color rgb="FFC00000"/>
        <rFont val="Calibri"/>
        <family val="2"/>
      </rPr>
      <t>Etapa 11</t>
    </r>
    <r>
      <rPr>
        <b/>
        <sz val="14"/>
        <color theme="1"/>
        <rFont val="Calibri"/>
        <family val="2"/>
      </rPr>
      <t xml:space="preserve"> -  Colocacion de pisos, revestimientos + zocalos - 4 personas - 30 dias</t>
    </r>
  </si>
  <si>
    <t xml:space="preserve">24/02 - Llenado de zapatas de modulo 10 y 11 - 12 - 120,50 m3 </t>
  </si>
  <si>
    <t>10/03 - Llenado de tabiques y troncos para compensar NPT - F1 + F2</t>
  </si>
  <si>
    <t>18/03 - Llenado de vigas + contrapiso de cochera +2 ambientes</t>
  </si>
  <si>
    <t xml:space="preserve">23/04 - Llenado de tabiques + columnas  de PB 2 amb. + losa y vigas S/ 2 ambientes - </t>
  </si>
  <si>
    <r>
      <rPr>
        <b/>
        <sz val="11"/>
        <color rgb="FFFF0000"/>
        <rFont val="Calibri"/>
        <family val="2"/>
      </rPr>
      <t xml:space="preserve">10/05 </t>
    </r>
    <r>
      <rPr>
        <b/>
        <sz val="11"/>
        <color theme="1"/>
        <rFont val="Calibri"/>
        <family val="2"/>
      </rPr>
      <t>- Llenada de tabiques + columnas metalicas cocheras + losa y vigas S/ COCHERAS -</t>
    </r>
  </si>
  <si>
    <r>
      <rPr>
        <b/>
        <sz val="11"/>
        <color rgb="FFFF0000"/>
        <rFont val="Calibri"/>
        <family val="2"/>
      </rPr>
      <t xml:space="preserve">02/06 </t>
    </r>
    <r>
      <rPr>
        <b/>
        <sz val="11"/>
        <color theme="1"/>
        <rFont val="Calibri"/>
        <family val="2"/>
      </rPr>
      <t>- Llenada de tabiques + columnas P2 COCINA + losa y vigas S/ P2 cocina -</t>
    </r>
  </si>
  <si>
    <r>
      <rPr>
        <b/>
        <sz val="11"/>
        <color rgb="FFFF0000"/>
        <rFont val="Calibri"/>
        <family val="2"/>
      </rPr>
      <t xml:space="preserve">18/06 </t>
    </r>
    <r>
      <rPr>
        <b/>
        <sz val="11"/>
        <color theme="1"/>
        <rFont val="Calibri"/>
        <family val="2"/>
      </rPr>
      <t>- Llenada de tabiques + columnas P2 ESTAR + losa y vigas S/ P2 ESTAR -</t>
    </r>
  </si>
  <si>
    <r>
      <rPr>
        <b/>
        <sz val="11"/>
        <color rgb="FFFF0000"/>
        <rFont val="Calibri"/>
        <family val="2"/>
      </rPr>
      <t xml:space="preserve">04/07 </t>
    </r>
    <r>
      <rPr>
        <b/>
        <sz val="11"/>
        <color theme="1"/>
        <rFont val="Calibri"/>
        <family val="2"/>
      </rPr>
      <t>- Llenada de tabiques + columnas P2 DORMI 1 + losa y vigas S/ P2 DORMI 1 -</t>
    </r>
  </si>
  <si>
    <r>
      <rPr>
        <b/>
        <sz val="11"/>
        <color rgb="FFFF0000"/>
        <rFont val="Calibri"/>
        <family val="2"/>
      </rPr>
      <t xml:space="preserve">20/07 </t>
    </r>
    <r>
      <rPr>
        <b/>
        <sz val="11"/>
        <color theme="1"/>
        <rFont val="Calibri"/>
        <family val="2"/>
      </rPr>
      <t>- Llenada de tabiques + columnas P2 DORMI 2 + losa y vigas S/ P2 DORMI 2 -</t>
    </r>
  </si>
  <si>
    <r>
      <rPr>
        <b/>
        <sz val="11"/>
        <color rgb="FFFF0000"/>
        <rFont val="Calibri"/>
        <family val="2"/>
      </rPr>
      <t xml:space="preserve">Definir fecha </t>
    </r>
    <r>
      <rPr>
        <b/>
        <sz val="11"/>
        <color theme="1"/>
        <rFont val="Calibri"/>
        <family val="2"/>
      </rPr>
      <t>- Llenado de contrapisos + carpetas de todos los niveles - 04/08 termina este tarea</t>
    </r>
  </si>
  <si>
    <r>
      <rPr>
        <b/>
        <sz val="11"/>
        <color rgb="FFFF0000"/>
        <rFont val="Calibri"/>
        <family val="2"/>
      </rPr>
      <t xml:space="preserve">07/09 - </t>
    </r>
    <r>
      <rPr>
        <b/>
        <sz val="11"/>
        <color theme="1"/>
        <rFont val="Calibri"/>
        <family val="2"/>
      </rPr>
      <t>Finaliza tarea de colocacion - 4 personas</t>
    </r>
  </si>
  <si>
    <t xml:space="preserve">ETAPA TERMINACIONES - DURLOCK </t>
  </si>
  <si>
    <r>
      <rPr>
        <b/>
        <sz val="14"/>
        <color rgb="FF0070C0"/>
        <rFont val="Calibri"/>
        <family val="2"/>
      </rPr>
      <t>Etapa 1</t>
    </r>
    <r>
      <rPr>
        <b/>
        <sz val="14"/>
        <color rgb="FFC55A1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 xml:space="preserve">- Armado de estructura + colocacion de placas + masillado - tabiques + cielorrasos </t>
    </r>
  </si>
  <si>
    <t>Colocacion de cajas + corrugados de Losa s/cocheras + tabiques sector dormi 1</t>
  </si>
  <si>
    <t>Colocacion de cajas + corrugados de Losa s/cocheras + tabiques sector dormi 2</t>
  </si>
  <si>
    <t>Colocacion de desagues + provision de agua</t>
  </si>
  <si>
    <t xml:space="preserve">Equipo Rosario incompleto + media semana trabajo en OOST II por atraso en SF - </t>
  </si>
  <si>
    <r>
      <rPr>
        <b/>
        <sz val="12"/>
        <color rgb="FF1E4E79"/>
        <rFont val="Calibri"/>
        <family val="2"/>
      </rPr>
      <t>ROSARIO TOLEDO -</t>
    </r>
    <r>
      <rPr>
        <b/>
        <sz val="12"/>
        <color theme="1"/>
        <rFont val="Calibri"/>
        <family val="2"/>
      </rPr>
      <t xml:space="preserve"> MODULO 12 - EQUIPO 7 PERSONAS + CAPATAZ </t>
    </r>
  </si>
  <si>
    <t>Pedido de maquina para compactacion 4 hs por bloque</t>
  </si>
  <si>
    <t>De etapa 5 a etapa 10: 100 jornales - Si hay cambi de equipo - fins de agosto estamos terminando el hormigon de M.12</t>
  </si>
  <si>
    <r>
      <rPr>
        <sz val="12"/>
        <color theme="1"/>
        <rFont val="Calibri"/>
        <family val="2"/>
      </rPr>
      <t>Replanteo de modulo 12 -</t>
    </r>
    <r>
      <rPr>
        <b/>
        <sz val="12"/>
        <color theme="1"/>
        <rFont val="Calibri"/>
        <family val="2"/>
      </rPr>
      <t xml:space="preserve">              3 jornales como maximo</t>
    </r>
  </si>
  <si>
    <r>
      <rPr>
        <b/>
        <sz val="12"/>
        <color rgb="FFFFD965"/>
        <rFont val="Calibri"/>
        <family val="2"/>
      </rPr>
      <t>Etapa 1</t>
    </r>
    <r>
      <rPr>
        <b/>
        <sz val="12"/>
        <color rgb="FFE59F9F"/>
        <rFont val="Calibri"/>
        <family val="2"/>
      </rPr>
      <t xml:space="preserve"> </t>
    </r>
    <r>
      <rPr>
        <b/>
        <sz val="12"/>
        <color rgb="FFFFFFFF"/>
        <rFont val="Calibri"/>
        <family val="2"/>
      </rPr>
      <t xml:space="preserve">- Doblado de hierros + armado de tableros de FUNDACIONES 1 - </t>
    </r>
    <r>
      <rPr>
        <b/>
        <sz val="12"/>
        <color rgb="FFFFD965"/>
        <rFont val="Calibri"/>
        <family val="2"/>
      </rPr>
      <t>11 JORNALES</t>
    </r>
    <r>
      <rPr>
        <b/>
        <sz val="12"/>
        <color rgb="FFFFFFFF"/>
        <rFont val="Calibri"/>
        <family val="2"/>
      </rPr>
      <t xml:space="preserve"> - Equipo incompleto</t>
    </r>
  </si>
  <si>
    <r>
      <rPr>
        <b/>
        <sz val="12"/>
        <color rgb="FFFFD965"/>
        <rFont val="Calibri"/>
        <family val="2"/>
      </rPr>
      <t xml:space="preserve">Etapa 1 + 2 </t>
    </r>
    <r>
      <rPr>
        <b/>
        <sz val="12"/>
        <color rgb="FFFFFFFF"/>
        <rFont val="Calibri"/>
        <family val="2"/>
      </rPr>
      <t xml:space="preserve">-Armado de tabiques + troncos F1 - para llegar a nivel de contrapiso  - </t>
    </r>
    <r>
      <rPr>
        <b/>
        <sz val="12"/>
        <color rgb="FFFFD965"/>
        <rFont val="Calibri"/>
        <family val="2"/>
      </rPr>
      <t>10 jornales</t>
    </r>
    <r>
      <rPr>
        <b/>
        <sz val="12"/>
        <color theme="1"/>
        <rFont val="Calibri"/>
        <family val="2"/>
      </rPr>
      <t xml:space="preserve">  </t>
    </r>
    <r>
      <rPr>
        <b/>
        <sz val="12"/>
        <color rgb="FFFFFFFF"/>
        <rFont val="Calibri"/>
        <family val="2"/>
      </rPr>
      <t>troncos F1 + comenzar con armado de fundaciones 2</t>
    </r>
  </si>
  <si>
    <r>
      <rPr>
        <b/>
        <sz val="12"/>
        <color rgb="FFFFD965"/>
        <rFont val="Calibri"/>
        <family val="2"/>
      </rPr>
      <t>Etapa 1- 3</t>
    </r>
    <r>
      <rPr>
        <b/>
        <sz val="12"/>
        <color rgb="FFFFFFFF"/>
        <rFont val="Calibri"/>
        <family val="2"/>
      </rPr>
      <t xml:space="preserve"> - Fundaciones 2 + armado de vigas y contrapiso de  PB - </t>
    </r>
    <r>
      <rPr>
        <b/>
        <sz val="12"/>
        <color rgb="FFFFD965"/>
        <rFont val="Calibri"/>
        <family val="2"/>
      </rPr>
      <t>8 jornales</t>
    </r>
  </si>
  <si>
    <r>
      <rPr>
        <b/>
        <sz val="12"/>
        <color rgb="FFFFC000"/>
        <rFont val="Calibri"/>
        <family val="2"/>
      </rPr>
      <t xml:space="preserve">Etapa 3 </t>
    </r>
    <r>
      <rPr>
        <b/>
        <sz val="12"/>
        <color rgb="FFFFFFFF"/>
        <rFont val="Calibri"/>
        <family val="2"/>
      </rPr>
      <t xml:space="preserve">- Armado de vigas + compatacion + contrapiso de cochera - </t>
    </r>
    <r>
      <rPr>
        <b/>
        <sz val="12"/>
        <color rgb="FFFFC000"/>
        <rFont val="Calibri"/>
        <family val="2"/>
      </rPr>
      <t xml:space="preserve">9 jornales </t>
    </r>
  </si>
  <si>
    <r>
      <rPr>
        <b/>
        <sz val="12"/>
        <color rgb="FFFFC000"/>
        <rFont val="Calibri"/>
        <family val="2"/>
      </rPr>
      <t xml:space="preserve">Etapa 4 </t>
    </r>
    <r>
      <rPr>
        <b/>
        <sz val="12"/>
        <color rgb="FFFFFFFF"/>
        <rFont val="Calibri"/>
        <family val="2"/>
      </rPr>
      <t>- Armado de tabiques y columnas PB 2 ambientes + armado de losa y vigas s/ pb 2 ambientes -</t>
    </r>
    <r>
      <rPr>
        <b/>
        <sz val="12"/>
        <color rgb="FFFFC000"/>
        <rFont val="Calibri"/>
        <family val="2"/>
      </rPr>
      <t xml:space="preserve"> 35 jornales</t>
    </r>
  </si>
  <si>
    <r>
      <rPr>
        <b/>
        <sz val="12"/>
        <color rgb="FFC00000"/>
        <rFont val="Calibri"/>
        <family val="2"/>
      </rPr>
      <t xml:space="preserve">Etapa 5 </t>
    </r>
    <r>
      <rPr>
        <b/>
        <sz val="12"/>
        <color theme="1"/>
        <rFont val="Calibri"/>
        <family val="2"/>
      </rPr>
      <t>- Armado de tabiques + columna metalicas de cochera + armado de losa y vigas s/Cocheras - 16 jornales</t>
    </r>
  </si>
  <si>
    <r>
      <rPr>
        <b/>
        <sz val="12"/>
        <color rgb="FFC00000"/>
        <rFont val="Calibri"/>
        <family val="2"/>
      </rPr>
      <t>Etapa 6</t>
    </r>
    <r>
      <rPr>
        <b/>
        <sz val="12"/>
        <color theme="1"/>
        <rFont val="Calibri"/>
        <family val="2"/>
      </rPr>
      <t xml:space="preserve"> - Armado de tabiques + columna P2 COCINA + armado de losa y vigas s/P2 cocina -                                                                     22 jornales</t>
    </r>
  </si>
  <si>
    <r>
      <rPr>
        <b/>
        <sz val="12"/>
        <color rgb="FFC00000"/>
        <rFont val="Calibri"/>
        <family val="2"/>
      </rPr>
      <t xml:space="preserve">Etapa 7 </t>
    </r>
    <r>
      <rPr>
        <b/>
        <sz val="12"/>
        <color theme="1"/>
        <rFont val="Calibri"/>
        <family val="2"/>
      </rPr>
      <t>- Armado de tabiques + columna P2 ESTAR + armado de losa y vigas s/P2 ESTAR - 16 jornales</t>
    </r>
  </si>
  <si>
    <r>
      <rPr>
        <b/>
        <sz val="12"/>
        <color rgb="FFC00000"/>
        <rFont val="Calibri"/>
        <family val="2"/>
      </rPr>
      <t xml:space="preserve">Etapa 8 </t>
    </r>
    <r>
      <rPr>
        <b/>
        <sz val="12"/>
        <color theme="1"/>
        <rFont val="Calibri"/>
        <family val="2"/>
      </rPr>
      <t>- Armado de tabiques + columna P2 DORMI 1 + armado de losa y vigas s/DORMI 1- 16 jornales</t>
    </r>
  </si>
  <si>
    <r>
      <rPr>
        <b/>
        <sz val="12"/>
        <color rgb="FFC00000"/>
        <rFont val="Calibri"/>
        <family val="2"/>
      </rPr>
      <t xml:space="preserve">Etapa 9 </t>
    </r>
    <r>
      <rPr>
        <b/>
        <sz val="12"/>
        <color theme="1"/>
        <rFont val="Calibri"/>
        <family val="2"/>
      </rPr>
      <t>- Armado de tabiques + columna P2 DORMI 2 + armado de losa y vigas s/DORMI 2 - 16 jornales</t>
    </r>
  </si>
  <si>
    <r>
      <rPr>
        <b/>
        <sz val="12"/>
        <color rgb="FFC00000"/>
        <rFont val="Calibri"/>
        <family val="2"/>
      </rPr>
      <t>Etapa 10</t>
    </r>
    <r>
      <rPr>
        <b/>
        <sz val="12"/>
        <color theme="1"/>
        <rFont val="Calibri"/>
        <family val="2"/>
      </rPr>
      <t xml:space="preserve"> - Llenado de contrapisos + carpetas de todos los niveles + carpetas exteriores + impermeabilizaciones -  3 personas - 15  jornales</t>
    </r>
  </si>
  <si>
    <r>
      <rPr>
        <b/>
        <sz val="14"/>
        <color rgb="FFC00000"/>
        <rFont val="Calibri"/>
        <family val="2"/>
      </rPr>
      <t>Etapa 11</t>
    </r>
    <r>
      <rPr>
        <b/>
        <sz val="14"/>
        <color theme="1"/>
        <rFont val="Calibri"/>
        <family val="2"/>
      </rPr>
      <t xml:space="preserve"> -  Colocacion de pisos, revestimientos + zocalos - 4 personas - 30 dias</t>
    </r>
  </si>
  <si>
    <t>10/03 - Llenado de tabiques y troncos para compensar NPT - F1 -</t>
  </si>
  <si>
    <t xml:space="preserve">18/03 - Llenado F2 + cntrapiso de 2 ambientes </t>
  </si>
  <si>
    <t>31/03 - Llenado de contrapiso de cocheras -</t>
  </si>
  <si>
    <r>
      <rPr>
        <b/>
        <sz val="11"/>
        <color rgb="FFFF0000"/>
        <rFont val="Calibri"/>
        <family val="2"/>
      </rPr>
      <t xml:space="preserve">22/05 </t>
    </r>
    <r>
      <rPr>
        <b/>
        <sz val="11"/>
        <color theme="1"/>
        <rFont val="Calibri"/>
        <family val="2"/>
      </rPr>
      <t xml:space="preserve">-Llenado de tabiques + columnas  de PB 2 amb. + losa y vigas S/ 2 ambientes - </t>
    </r>
  </si>
  <si>
    <r>
      <rPr>
        <b/>
        <sz val="11"/>
        <color rgb="FFFF0000"/>
        <rFont val="Calibri"/>
        <family val="2"/>
      </rPr>
      <t xml:space="preserve">12/06 </t>
    </r>
    <r>
      <rPr>
        <b/>
        <sz val="11"/>
        <color theme="1"/>
        <rFont val="Calibri"/>
        <family val="2"/>
      </rPr>
      <t>- Llenada de tabiques + columnas metalicas cocheras + losa y vigas S/ COCHERAS -</t>
    </r>
  </si>
  <si>
    <r>
      <rPr>
        <b/>
        <sz val="11"/>
        <color rgb="FFFF0000"/>
        <rFont val="Calibri"/>
        <family val="2"/>
      </rPr>
      <t xml:space="preserve">10/07 </t>
    </r>
    <r>
      <rPr>
        <b/>
        <sz val="11"/>
        <color theme="1"/>
        <rFont val="Calibri"/>
        <family val="2"/>
      </rPr>
      <t>- Llenada de tabiques + columnas P2 COCINA + losa y vigas S/ P2 cocina -</t>
    </r>
  </si>
  <si>
    <r>
      <rPr>
        <b/>
        <sz val="11"/>
        <color rgb="FFFF0000"/>
        <rFont val="Calibri"/>
        <family val="2"/>
      </rPr>
      <t xml:space="preserve">31/07 </t>
    </r>
    <r>
      <rPr>
        <b/>
        <sz val="11"/>
        <color theme="1"/>
        <rFont val="Calibri"/>
        <family val="2"/>
      </rPr>
      <t>- Llenada de tabiques + columnas P2 DORMI 1 + losa y vigas S/ P2 DORMI 1 -</t>
    </r>
  </si>
  <si>
    <r>
      <rPr>
        <b/>
        <sz val="11"/>
        <color rgb="FFFF0000"/>
        <rFont val="Calibri"/>
        <family val="2"/>
      </rPr>
      <t xml:space="preserve">22/08 </t>
    </r>
    <r>
      <rPr>
        <b/>
        <sz val="11"/>
        <color theme="1"/>
        <rFont val="Calibri"/>
        <family val="2"/>
      </rPr>
      <t>- Llenada de tabiques + columnas P2 DORMI 1 + losa y vigas S/ P2 DORMI 1 -</t>
    </r>
  </si>
  <si>
    <r>
      <rPr>
        <b/>
        <sz val="11"/>
        <color rgb="FFFF0000"/>
        <rFont val="Calibri"/>
        <family val="2"/>
      </rPr>
      <t xml:space="preserve">12/09 </t>
    </r>
    <r>
      <rPr>
        <b/>
        <sz val="11"/>
        <color theme="1"/>
        <rFont val="Calibri"/>
        <family val="2"/>
      </rPr>
      <t>- Llenada de tabiques + columnas P2 DORMI 2 + losa y vigas S/ P2 DORMI 2 -</t>
    </r>
  </si>
  <si>
    <r>
      <rPr>
        <b/>
        <sz val="11"/>
        <color rgb="FFFF0000"/>
        <rFont val="Calibri"/>
        <family val="2"/>
      </rPr>
      <t xml:space="preserve">Definir fecha </t>
    </r>
    <r>
      <rPr>
        <b/>
        <sz val="11"/>
        <color theme="1"/>
        <rFont val="Calibri"/>
        <family val="2"/>
      </rPr>
      <t>- Llenado de contrapisos + carpetas de todos los niveles - 04/10 termina este tarea</t>
    </r>
  </si>
  <si>
    <r>
      <rPr>
        <b/>
        <sz val="11"/>
        <color rgb="FFFF0000"/>
        <rFont val="Calibri"/>
        <family val="2"/>
      </rPr>
      <t xml:space="preserve">07/09 - </t>
    </r>
    <r>
      <rPr>
        <b/>
        <sz val="11"/>
        <color theme="1"/>
        <rFont val="Calibri"/>
        <family val="2"/>
      </rPr>
      <t>Finaliza tarea de colocacion - 4 personas</t>
    </r>
  </si>
  <si>
    <r>
      <rPr>
        <b/>
        <sz val="14"/>
        <color rgb="FF0070C0"/>
        <rFont val="Calibri"/>
        <family val="2"/>
      </rPr>
      <t>Etapa 1</t>
    </r>
    <r>
      <rPr>
        <b/>
        <sz val="14"/>
        <color rgb="FFC55A1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 xml:space="preserve">- Armado de estructura + colocacion de placas + masillado - tabiques + cielorrasos </t>
    </r>
  </si>
  <si>
    <t>AREAS</t>
  </si>
  <si>
    <t>EQUIPOS</t>
  </si>
  <si>
    <t xml:space="preserve">ENERO </t>
  </si>
  <si>
    <t xml:space="preserve">FEBRERO </t>
  </si>
  <si>
    <t>EQUIPO ROSARIO/WALTER</t>
  </si>
  <si>
    <t>EQUIPO ROSARIO - EQUIPO 8 PERSONAS - MODULO 12</t>
  </si>
  <si>
    <t>TOTAL MODULO ROSARIO</t>
  </si>
  <si>
    <t>EQUIPO DE WALTER</t>
  </si>
  <si>
    <t>WALTER LOPEZ - EQUIPO 5 PERSONAS - MODULO 10</t>
  </si>
  <si>
    <t>TOTAL MODULO WALTER</t>
  </si>
  <si>
    <t>WALTER LOPEZ - EQUIPO 5 PERSONAS - MODULO 11</t>
  </si>
  <si>
    <t>WALTER LOPEZ - EQUIPO 5 PERSONAS - MODULO 8</t>
  </si>
  <si>
    <t>WALTER LOPEZ - EQUIPO 5 PERSONAS - MODULO 9</t>
  </si>
  <si>
    <t xml:space="preserve">  </t>
  </si>
  <si>
    <t>EQUIPO WALTER - MODULO 10 Y 11</t>
  </si>
  <si>
    <r>
      <rPr>
        <b/>
        <sz val="11"/>
        <color rgb="FF1E4E79"/>
        <rFont val="Calibri"/>
        <family val="2"/>
      </rPr>
      <t xml:space="preserve">WALTER LOPEZ </t>
    </r>
    <r>
      <rPr>
        <b/>
        <sz val="11"/>
        <color theme="1"/>
        <rFont val="Calibri"/>
        <family val="2"/>
      </rPr>
      <t>- REPLANTEO MODULO 10 - 11 y 12  -  EQUIPO 5 PERSONAS + CAPATAZ</t>
    </r>
  </si>
  <si>
    <r>
      <rPr>
        <b/>
        <sz val="12"/>
        <color rgb="FF1E4E79"/>
        <rFont val="Calibri"/>
        <family val="2"/>
      </rPr>
      <t xml:space="preserve">WALTER LOPEZ </t>
    </r>
    <r>
      <rPr>
        <b/>
        <sz val="12"/>
        <color theme="1"/>
        <rFont val="Calibri"/>
        <family val="2"/>
      </rPr>
      <t xml:space="preserve">- MODULO 10  y 11 - EQUIPO 12 PERSONAS + CAPATAZ </t>
    </r>
  </si>
  <si>
    <t xml:space="preserve">Recepcion de materiales para armado de modulos - </t>
  </si>
  <si>
    <t>Replanteo de modulo 10 y 11 -</t>
  </si>
  <si>
    <r>
      <rPr>
        <sz val="11"/>
        <color rgb="FFFFFFFF"/>
        <rFont val="Calibri"/>
        <family val="2"/>
      </rPr>
      <t xml:space="preserve">Doblado de hierros + armado de tableros de fundaciones + doblado de hierros para tabiques -  </t>
    </r>
    <r>
      <rPr>
        <b/>
        <sz val="11"/>
        <color rgb="FFFFFFFF"/>
        <rFont val="Calibri"/>
        <family val="2"/>
      </rPr>
      <t>11 jornales</t>
    </r>
  </si>
  <si>
    <r>
      <rPr>
        <sz val="12"/>
        <color theme="1"/>
        <rFont val="Calibri"/>
        <family val="2"/>
      </rPr>
      <t xml:space="preserve">Armado de tabiques + troncos- 1º - para llegar a nivel de contrapiso  - </t>
    </r>
    <r>
      <rPr>
        <b/>
        <sz val="12"/>
        <color theme="1"/>
        <rFont val="Calibri"/>
        <family val="2"/>
      </rPr>
      <t xml:space="preserve">10 jornales </t>
    </r>
  </si>
  <si>
    <r>
      <rPr>
        <sz val="11"/>
        <color theme="1"/>
        <rFont val="Calibri"/>
        <family val="2"/>
      </rPr>
      <t xml:space="preserve">Armado de vigas + compatacion + contrapiso de cocheras + PB            </t>
    </r>
    <r>
      <rPr>
        <b/>
        <sz val="11"/>
        <color theme="1"/>
        <rFont val="Calibri"/>
        <family val="2"/>
      </rPr>
      <t>6 jornales</t>
    </r>
  </si>
  <si>
    <r>
      <rPr>
        <sz val="11"/>
        <color theme="1"/>
        <rFont val="Calibri"/>
        <family val="2"/>
      </rPr>
      <t xml:space="preserve">Etapa 4 - armado de tabiques (rosa) + tabique cocheras - </t>
    </r>
    <r>
      <rPr>
        <b/>
        <sz val="11"/>
        <color theme="1"/>
        <rFont val="Calibri"/>
        <family val="2"/>
      </rPr>
      <t>15 jornales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</si>
  <si>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Calibri"/>
        <family val="2"/>
      </rPr>
      <t xml:space="preserve">Etapa 5 - Losa pb + tabiques y columnas 3 ambientes  - </t>
    </r>
    <r>
      <rPr>
        <b/>
        <sz val="11"/>
        <color theme="1"/>
        <rFont val="Calibri"/>
        <family val="2"/>
      </rPr>
      <t>12 jornales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</si>
  <si>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Calibri"/>
        <family val="2"/>
      </rPr>
      <t>Etapa 6 - Armado de losa + escalera (verde oscuro) -</t>
    </r>
    <r>
      <rPr>
        <b/>
        <sz val="11"/>
        <color theme="1"/>
        <rFont val="Calibri"/>
        <family val="2"/>
      </rPr>
      <t xml:space="preserve"> 12 jornales</t>
    </r>
  </si>
  <si>
    <r>
      <rPr>
        <sz val="11"/>
        <color theme="1"/>
        <rFont val="Calibri"/>
        <family val="2"/>
      </rPr>
      <t>Etapa 7 - armado  de columnas de PB 3 ambi. -</t>
    </r>
    <r>
      <rPr>
        <b/>
        <sz val="11"/>
        <color theme="1"/>
        <rFont val="Calibri"/>
        <family val="2"/>
      </rPr>
      <t xml:space="preserve"> 6 jornales</t>
    </r>
  </si>
  <si>
    <r>
      <rPr>
        <sz val="11"/>
        <color theme="1"/>
        <rFont val="Calibri"/>
        <family val="2"/>
      </rPr>
      <t xml:space="preserve">Etapa 8 - tabiques +  losa 3 amb. - </t>
    </r>
    <r>
      <rPr>
        <b/>
        <sz val="11"/>
        <color theme="1"/>
        <rFont val="Calibri"/>
        <family val="2"/>
      </rPr>
      <t>12 jornales</t>
    </r>
  </si>
  <si>
    <r>
      <rPr>
        <sz val="11"/>
        <color theme="1"/>
        <rFont val="Calibri"/>
        <family val="2"/>
      </rPr>
      <t xml:space="preserve">Etapa 9 - tabiques +  escaleras. - </t>
    </r>
    <r>
      <rPr>
        <b/>
        <sz val="11"/>
        <color theme="1"/>
        <rFont val="Calibri"/>
        <family val="2"/>
      </rPr>
      <t>12 jornales</t>
    </r>
  </si>
  <si>
    <r>
      <rPr>
        <sz val="11"/>
        <color theme="1"/>
        <rFont val="Calibri"/>
        <family val="2"/>
      </rPr>
      <t>Etapa 10 - losa de 3 ambientes-</t>
    </r>
    <r>
      <rPr>
        <b/>
        <sz val="11"/>
        <color theme="1"/>
        <rFont val="Calibri"/>
        <family val="2"/>
      </rPr>
      <t xml:space="preserve"> 7 jornales</t>
    </r>
  </si>
  <si>
    <r>
      <rPr>
        <sz val="11"/>
        <color theme="1"/>
        <rFont val="Calibri"/>
        <family val="2"/>
      </rPr>
      <t>Etapa 11 - losa de 3 ambientes-</t>
    </r>
    <r>
      <rPr>
        <b/>
        <sz val="11"/>
        <color theme="1"/>
        <rFont val="Calibri"/>
        <family val="2"/>
      </rPr>
      <t xml:space="preserve"> 7 jornales</t>
    </r>
  </si>
  <si>
    <r>
      <rPr>
        <sz val="11"/>
        <color theme="1"/>
        <rFont val="Calibri"/>
        <family val="2"/>
      </rPr>
      <t>Etapa 12 - Tabique grande de 3 amb. + escalera -</t>
    </r>
    <r>
      <rPr>
        <b/>
        <sz val="11"/>
        <color theme="1"/>
        <rFont val="Calibri"/>
        <family val="2"/>
      </rPr>
      <t xml:space="preserve"> 10 jornales</t>
    </r>
  </si>
  <si>
    <r>
      <rPr>
        <sz val="11"/>
        <color theme="1"/>
        <rFont val="Calibri"/>
        <family val="2"/>
      </rPr>
      <t>Etapa 13 - losa de 3 ambientes-</t>
    </r>
    <r>
      <rPr>
        <b/>
        <sz val="11"/>
        <color theme="1"/>
        <rFont val="Calibri"/>
        <family val="2"/>
      </rPr>
      <t xml:space="preserve"> 7 jornales</t>
    </r>
  </si>
  <si>
    <t>21/02 - Llenado de zapatas de modulo 10 - 11 y 12</t>
  </si>
  <si>
    <t>7/03 - Llenado de tabiques y troncos para compensar NPT</t>
  </si>
  <si>
    <t>31/03 - etapa 4 tabiques pb y cocheras tabiques -</t>
  </si>
  <si>
    <t>18/04 - etapa 5</t>
  </si>
  <si>
    <t>2/05 - Llenado de losa</t>
  </si>
  <si>
    <t>09/05 - Llenado columnas</t>
  </si>
  <si>
    <t>23/05 - Llenado columnas</t>
  </si>
  <si>
    <t xml:space="preserve">07/06 - Llenado tabiques + escaleras </t>
  </si>
  <si>
    <t>16/06 - Llenado de losa 3 amb.</t>
  </si>
  <si>
    <t>25/06 - Llenado de losa 3 amb.</t>
  </si>
  <si>
    <t xml:space="preserve">07/07 - Llenado tabiques + escaleras </t>
  </si>
  <si>
    <t>16/07 - Llenado de losa 3 amb.</t>
  </si>
  <si>
    <r>
      <rPr>
        <b/>
        <sz val="12"/>
        <color rgb="FF1E4E79"/>
        <rFont val="Calibri"/>
        <family val="2"/>
      </rPr>
      <t>ROSARIO TOLEDO -</t>
    </r>
    <r>
      <rPr>
        <b/>
        <sz val="12"/>
        <color theme="1"/>
        <rFont val="Calibri"/>
        <family val="2"/>
      </rPr>
      <t xml:space="preserve"> MODULO 10 - EQUIPO 6 PERSONAS + CAPATAZ </t>
    </r>
  </si>
  <si>
    <r>
      <rPr>
        <b/>
        <sz val="11"/>
        <color rgb="FFC00000"/>
        <rFont val="Calibri"/>
        <family val="2"/>
      </rPr>
      <t xml:space="preserve">IMPORTANTE: </t>
    </r>
    <r>
      <rPr>
        <sz val="11"/>
        <color theme="1"/>
        <rFont val="Calibri"/>
        <family val="2"/>
      </rPr>
      <t>Ver posibilidad de llenar fundaciones 2 con salva NPT de fundacion 1</t>
    </r>
  </si>
  <si>
    <t xml:space="preserve">Ver de compensar la llenada de contrapisos para empatar a Walter </t>
  </si>
  <si>
    <t>Replanteo de modulo 12</t>
  </si>
  <si>
    <t>Doblado de hierros + armado de tableros de fundaciones  1 - 11 JORNALES - Equipo incompleto</t>
  </si>
  <si>
    <r>
      <rPr>
        <sz val="12"/>
        <color theme="1"/>
        <rFont val="Calibri"/>
        <family val="2"/>
      </rPr>
      <t xml:space="preserve">Armado de tabiques + troncos- 1º - para llegar a nivel de contrapiso  - </t>
    </r>
    <r>
      <rPr>
        <b/>
        <sz val="12"/>
        <color theme="1"/>
        <rFont val="Calibri"/>
        <family val="2"/>
      </rPr>
      <t xml:space="preserve">10 jornales </t>
    </r>
    <r>
      <rPr>
        <sz val="12"/>
        <color theme="1"/>
        <rFont val="Calibri"/>
        <family val="2"/>
      </rPr>
      <t xml:space="preserve"> troncos- 1º + comenza con armado de fundaciones 2</t>
    </r>
  </si>
  <si>
    <r>
      <rPr>
        <sz val="11"/>
        <color theme="1"/>
        <rFont val="Calibri"/>
        <family val="2"/>
      </rPr>
      <t xml:space="preserve">Fundaciones 2  o tabique de compensacion + armado de vigas y contrapiso de  PB - </t>
    </r>
    <r>
      <rPr>
        <b/>
        <sz val="11"/>
        <color theme="1"/>
        <rFont val="Calibri"/>
        <family val="2"/>
      </rPr>
      <t>8 jornales</t>
    </r>
  </si>
  <si>
    <r>
      <rPr>
        <sz val="11"/>
        <color theme="1"/>
        <rFont val="Calibri"/>
        <family val="2"/>
      </rPr>
      <t xml:space="preserve">Etapa 4 - armado de tabiques (rosa) + tabique cocheras - </t>
    </r>
    <r>
      <rPr>
        <b/>
        <sz val="11"/>
        <color theme="1"/>
        <rFont val="Calibri"/>
        <family val="2"/>
      </rPr>
      <t>15 jornales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</si>
  <si>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Calibri"/>
        <family val="2"/>
      </rPr>
      <t xml:space="preserve">Etapa 5 - Losa pb + tabiques y columnas 3 ambientes  - </t>
    </r>
    <r>
      <rPr>
        <b/>
        <sz val="11"/>
        <color theme="1"/>
        <rFont val="Calibri"/>
        <family val="2"/>
      </rPr>
      <t>12 jornales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</si>
  <si>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Calibri"/>
        <family val="2"/>
      </rPr>
      <t>Etapa 6 - Armado de losa + escalera (verde oscuro) -</t>
    </r>
    <r>
      <rPr>
        <b/>
        <sz val="11"/>
        <color theme="1"/>
        <rFont val="Calibri"/>
        <family val="2"/>
      </rPr>
      <t xml:space="preserve"> 12 jornales</t>
    </r>
  </si>
  <si>
    <r>
      <rPr>
        <sz val="11"/>
        <color theme="1"/>
        <rFont val="Calibri"/>
        <family val="2"/>
      </rPr>
      <t>Etapa 7 - armado  de columnas de PB 3 ambi. -</t>
    </r>
    <r>
      <rPr>
        <b/>
        <sz val="11"/>
        <color theme="1"/>
        <rFont val="Calibri"/>
        <family val="2"/>
      </rPr>
      <t xml:space="preserve"> 6 jornales</t>
    </r>
  </si>
  <si>
    <r>
      <rPr>
        <sz val="11"/>
        <color theme="1"/>
        <rFont val="Calibri"/>
        <family val="2"/>
      </rPr>
      <t xml:space="preserve">Etapa 8 - tabiques +  losa 3 amb. - </t>
    </r>
    <r>
      <rPr>
        <b/>
        <sz val="11"/>
        <color theme="1"/>
        <rFont val="Calibri"/>
        <family val="2"/>
      </rPr>
      <t>12 jornales</t>
    </r>
  </si>
  <si>
    <r>
      <rPr>
        <sz val="11"/>
        <color theme="1"/>
        <rFont val="Calibri"/>
        <family val="2"/>
      </rPr>
      <t xml:space="preserve">Etapa 9 - tabiques +  escaleras. - </t>
    </r>
    <r>
      <rPr>
        <b/>
        <sz val="11"/>
        <color theme="1"/>
        <rFont val="Calibri"/>
        <family val="2"/>
      </rPr>
      <t>12 jornales</t>
    </r>
  </si>
  <si>
    <r>
      <rPr>
        <sz val="11"/>
        <color theme="1"/>
        <rFont val="Calibri"/>
        <family val="2"/>
      </rPr>
      <t>Etapa 10 - losa de 3 ambientes-</t>
    </r>
    <r>
      <rPr>
        <b/>
        <sz val="11"/>
        <color theme="1"/>
        <rFont val="Calibri"/>
        <family val="2"/>
      </rPr>
      <t xml:space="preserve"> 7 jornales</t>
    </r>
  </si>
  <si>
    <r>
      <rPr>
        <sz val="11"/>
        <color theme="1"/>
        <rFont val="Calibri"/>
        <family val="2"/>
      </rPr>
      <t>Etapa 11 - losa de 3 ambientes-</t>
    </r>
    <r>
      <rPr>
        <b/>
        <sz val="11"/>
        <color theme="1"/>
        <rFont val="Calibri"/>
        <family val="2"/>
      </rPr>
      <t xml:space="preserve"> 7 jornales</t>
    </r>
  </si>
  <si>
    <r>
      <rPr>
        <sz val="11"/>
        <color theme="1"/>
        <rFont val="Calibri"/>
        <family val="2"/>
      </rPr>
      <t>Etapa 12 - Tabique grande de 3 amb. + escalera -</t>
    </r>
    <r>
      <rPr>
        <b/>
        <sz val="11"/>
        <color theme="1"/>
        <rFont val="Calibri"/>
        <family val="2"/>
      </rPr>
      <t xml:space="preserve"> 10 jornales</t>
    </r>
  </si>
  <si>
    <r>
      <rPr>
        <sz val="11"/>
        <color theme="1"/>
        <rFont val="Calibri"/>
        <family val="2"/>
      </rPr>
      <t>Etapa 13 - losa de 3 ambientes-</t>
    </r>
    <r>
      <rPr>
        <b/>
        <sz val="11"/>
        <color theme="1"/>
        <rFont val="Calibri"/>
        <family val="2"/>
      </rPr>
      <t xml:space="preserve"> 7 jornales</t>
    </r>
  </si>
  <si>
    <t>18/03 - Llenado de vigas + contrapiso PB + fundaciones 1 o tabique de NPY</t>
  </si>
  <si>
    <t xml:space="preserve">ver de llenada de contrapiso  de cocheras - </t>
  </si>
  <si>
    <t>13/03 - Llenado de fundacion 2</t>
  </si>
  <si>
    <t>Pedido de maquina para movimiento de arena - fundacion 1 - 6 hs de maquina</t>
  </si>
  <si>
    <t>2 dias entero con ayudante  - contrapisos</t>
  </si>
  <si>
    <t>Armado de instalacion de obra sanitaria</t>
  </si>
  <si>
    <r>
      <rPr>
        <b/>
        <sz val="11"/>
        <color rgb="FF1E4E79"/>
        <rFont val="Calibri"/>
        <family val="2"/>
      </rPr>
      <t xml:space="preserve">WALTER LOPEZ </t>
    </r>
    <r>
      <rPr>
        <b/>
        <sz val="11"/>
        <color theme="1"/>
        <rFont val="Calibri"/>
        <family val="2"/>
      </rPr>
      <t>- REPLANTEO MODULO 10 - 11 y 12  -  EQUIPO 5 PERSONAS + CAPATAZ</t>
    </r>
  </si>
  <si>
    <r>
      <rPr>
        <b/>
        <sz val="12"/>
        <color rgb="FF1E4E79"/>
        <rFont val="Calibri"/>
        <family val="2"/>
      </rPr>
      <t xml:space="preserve">WALTER LOPEZ </t>
    </r>
    <r>
      <rPr>
        <b/>
        <sz val="12"/>
        <color theme="1"/>
        <rFont val="Calibri"/>
        <family val="2"/>
      </rPr>
      <t xml:space="preserve">- MODULO 10  y 11 - EQUIPO 12 PERSONAS + CAPATAZ </t>
    </r>
  </si>
  <si>
    <r>
      <rPr>
        <sz val="11"/>
        <color rgb="FFFFFFFF"/>
        <rFont val="Calibri"/>
        <family val="2"/>
      </rPr>
      <t xml:space="preserve">Doblado de hierros + armado de tableros de fundaciones + doblado de hierros para tabiques -  </t>
    </r>
    <r>
      <rPr>
        <b/>
        <sz val="11"/>
        <color rgb="FFFFFFFF"/>
        <rFont val="Calibri"/>
        <family val="2"/>
      </rPr>
      <t>11 jornales</t>
    </r>
  </si>
  <si>
    <r>
      <rPr>
        <sz val="12"/>
        <color theme="1"/>
        <rFont val="Calibri"/>
        <family val="2"/>
      </rPr>
      <t xml:space="preserve">Armado de tabiques + troncos- 1º - para llegar a nivel de contrapiso  - </t>
    </r>
    <r>
      <rPr>
        <b/>
        <sz val="12"/>
        <color theme="1"/>
        <rFont val="Calibri"/>
        <family val="2"/>
      </rPr>
      <t xml:space="preserve">10 jornales </t>
    </r>
  </si>
  <si>
    <r>
      <rPr>
        <sz val="11"/>
        <color theme="1"/>
        <rFont val="Calibri"/>
        <family val="2"/>
      </rPr>
      <t xml:space="preserve">Armado de vigas + compatacion + contrapiso de cocheras + PB            </t>
    </r>
    <r>
      <rPr>
        <b/>
        <sz val="11"/>
        <color theme="1"/>
        <rFont val="Calibri"/>
        <family val="2"/>
      </rPr>
      <t>8 jornales</t>
    </r>
  </si>
  <si>
    <r>
      <rPr>
        <sz val="11"/>
        <color theme="1"/>
        <rFont val="Calibri"/>
        <family val="2"/>
      </rPr>
      <t xml:space="preserve">Armado de losa s/2 ambientes + tabique cocheras - </t>
    </r>
    <r>
      <rPr>
        <b/>
        <sz val="11"/>
        <color theme="1"/>
        <rFont val="Calibri"/>
        <family val="2"/>
      </rPr>
      <t>15 jornales</t>
    </r>
    <r>
      <rPr>
        <sz val="11"/>
        <color theme="1"/>
        <rFont val="Calibri"/>
        <family val="2"/>
      </rPr>
      <t xml:space="preserve"> (contemplo 3 jornales no trabajados)</t>
    </r>
  </si>
  <si>
    <r>
      <rPr>
        <sz val="11"/>
        <color theme="1"/>
        <rFont val="Calibri"/>
        <family val="2"/>
      </rPr>
      <t xml:space="preserve">tabique + columnas (amarillo)  - </t>
    </r>
    <r>
      <rPr>
        <b/>
        <sz val="11"/>
        <color theme="1"/>
        <rFont val="Calibri"/>
        <family val="2"/>
      </rPr>
      <t>12 jornales</t>
    </r>
    <r>
      <rPr>
        <sz val="11"/>
        <color theme="1"/>
        <rFont val="Calibri"/>
        <family val="2"/>
      </rPr>
      <t xml:space="preserve"> </t>
    </r>
  </si>
  <si>
    <t>Armado de losa (celeste)</t>
  </si>
  <si>
    <r>
      <rPr>
        <sz val="11"/>
        <color theme="1"/>
        <rFont val="Calibri"/>
        <family val="2"/>
      </rPr>
      <t>columnas + tabiques (azul) -</t>
    </r>
    <r>
      <rPr>
        <b/>
        <sz val="11"/>
        <color theme="1"/>
        <rFont val="Calibri"/>
        <family val="2"/>
      </rPr>
      <t xml:space="preserve"> 4 jornales</t>
    </r>
  </si>
  <si>
    <r>
      <rPr>
        <sz val="11"/>
        <color theme="1"/>
        <rFont val="Calibri"/>
        <family val="2"/>
      </rPr>
      <t xml:space="preserve">Armado de losa + tabique /fucsia) - </t>
    </r>
    <r>
      <rPr>
        <b/>
        <sz val="11"/>
        <color theme="1"/>
        <rFont val="Calibri"/>
        <family val="2"/>
      </rPr>
      <t>15 jornales</t>
    </r>
    <r>
      <rPr>
        <sz val="11"/>
        <color theme="1"/>
        <rFont val="Calibri"/>
        <family val="2"/>
      </rPr>
      <t xml:space="preserve"> (contemplo 3 jornales no trabajados)</t>
    </r>
  </si>
  <si>
    <r>
      <rPr>
        <sz val="11"/>
        <color theme="1"/>
        <rFont val="Calibri"/>
        <family val="2"/>
      </rPr>
      <t>Armado de tabiques y columnas (gris)</t>
    </r>
    <r>
      <rPr>
        <b/>
        <sz val="11"/>
        <color theme="1"/>
        <rFont val="Calibri"/>
        <family val="2"/>
      </rPr>
      <t xml:space="preserve"> 12 jornales</t>
    </r>
  </si>
  <si>
    <r>
      <rPr>
        <sz val="11"/>
        <color theme="1"/>
        <rFont val="Calibri"/>
        <family val="2"/>
      </rPr>
      <t xml:space="preserve">Armado de losa (Lila) - </t>
    </r>
    <r>
      <rPr>
        <b/>
        <sz val="11"/>
        <color theme="1"/>
        <rFont val="Calibri"/>
        <family val="2"/>
      </rPr>
      <t>8 jornales</t>
    </r>
  </si>
  <si>
    <t>Columnas (verde lima)</t>
  </si>
  <si>
    <r>
      <rPr>
        <sz val="11"/>
        <color theme="1"/>
        <rFont val="Calibri"/>
        <family val="2"/>
      </rPr>
      <t xml:space="preserve">Armado de losa (Azul) - </t>
    </r>
    <r>
      <rPr>
        <b/>
        <sz val="11"/>
        <color theme="1"/>
        <rFont val="Calibri"/>
        <family val="2"/>
      </rPr>
      <t>8 jornales</t>
    </r>
  </si>
  <si>
    <t xml:space="preserve">7/03 - Llenado de tabiques y troncos </t>
  </si>
  <si>
    <t>18/03 - Llenado de vigas + contrapiso de cochera</t>
  </si>
  <si>
    <t>31/03 -Llenado de losa y tabiques</t>
  </si>
  <si>
    <t>10/04 - Llenado de tabiques y columnas</t>
  </si>
  <si>
    <t>18/04 - Llenado de losa</t>
  </si>
  <si>
    <t>21/04 - Llenado columnas</t>
  </si>
  <si>
    <t xml:space="preserve">30/04 - Llenado de losa </t>
  </si>
  <si>
    <t>15/05 -Llenado de losa y tabiques</t>
  </si>
  <si>
    <t xml:space="preserve">26/05  - Llenado de tabiques y columnas </t>
  </si>
  <si>
    <t xml:space="preserve">03/06 - Llenado de losa </t>
  </si>
  <si>
    <t>7/06 - Llenado columnas</t>
  </si>
  <si>
    <t xml:space="preserve">16/06 - Llenado de losa </t>
  </si>
  <si>
    <r>
      <rPr>
        <b/>
        <sz val="12"/>
        <color rgb="FF1E4E79"/>
        <rFont val="Calibri"/>
        <family val="2"/>
      </rPr>
      <t>ROSARIO TOLEDO -</t>
    </r>
    <r>
      <rPr>
        <b/>
        <sz val="12"/>
        <color theme="1"/>
        <rFont val="Calibri"/>
        <family val="2"/>
      </rPr>
      <t xml:space="preserve"> MODULO 10 - EQUIPO 6 PERSONAS + CAPATAZ </t>
    </r>
  </si>
  <si>
    <t>IMPORTANTE: Ver posibilidad de llenar fundaciones 2 con salva NPT de fundacion 1</t>
  </si>
  <si>
    <r>
      <rPr>
        <sz val="12"/>
        <color theme="1"/>
        <rFont val="Calibri"/>
        <family val="2"/>
      </rPr>
      <t xml:space="preserve">Armado de tabiques + troncos- 1º - para llegar a nivel de contrapiso  - </t>
    </r>
    <r>
      <rPr>
        <b/>
        <sz val="12"/>
        <color theme="1"/>
        <rFont val="Calibri"/>
        <family val="2"/>
      </rPr>
      <t xml:space="preserve">10 jornales </t>
    </r>
    <r>
      <rPr>
        <sz val="12"/>
        <color theme="1"/>
        <rFont val="Calibri"/>
        <family val="2"/>
      </rPr>
      <t xml:space="preserve"> troncos- 1º + comenza con armado de fundaciones 2</t>
    </r>
  </si>
  <si>
    <r>
      <rPr>
        <sz val="11"/>
        <color theme="1"/>
        <rFont val="Calibri"/>
        <family val="2"/>
      </rPr>
      <t xml:space="preserve">Fundaciones 2 + armado de vigas y contrapiso de cocheras y PB - </t>
    </r>
    <r>
      <rPr>
        <b/>
        <sz val="11"/>
        <color theme="1"/>
        <rFont val="Calibri"/>
        <family val="2"/>
      </rPr>
      <t>8 jornales</t>
    </r>
  </si>
  <si>
    <t>18/03 - Llenado de vigas + contrapiso de cochera + fundaciones 1</t>
  </si>
  <si>
    <t xml:space="preserve">EQUIPO DE ROSARIO </t>
  </si>
  <si>
    <t xml:space="preserve">EQUIPO DE 4 PERSONAS </t>
  </si>
  <si>
    <t xml:space="preserve">EQUIPO DE 2 PERSONAS </t>
  </si>
  <si>
    <t>EQUIPO DE 4 PERSONAS</t>
  </si>
  <si>
    <t>4 personas</t>
  </si>
  <si>
    <t>7 personas</t>
  </si>
  <si>
    <t>TRABAJOS PREVIOS</t>
  </si>
  <si>
    <t xml:space="preserve">Armado de cerco: colocacion de estacas + colocacion de media sombra </t>
  </si>
  <si>
    <t xml:space="preserve">Armado de obrador + Cerco de chapa + Terminar cerco + replanteo de NIVELES - </t>
  </si>
  <si>
    <t xml:space="preserve">Armado de corralitos + terminar carteleria </t>
  </si>
  <si>
    <t>Armado de costillas de la calle + 8 de la calle central + doblado de hierros |  CALLE DEFINITIVA DEL MODULO 4 al 13 - Modulo 1,2,3 y amenities - mas adelante</t>
  </si>
  <si>
    <t>Armado de modulo 10</t>
  </si>
  <si>
    <t>Armado de modulo 11 -  2 MESES MAS PARA CARPETAS + CONTRAPISOS + COLOCACION + TERMINACIONES</t>
  </si>
  <si>
    <t xml:space="preserve">AMENITIES + Fachada s </t>
  </si>
  <si>
    <t>AMENITIES + Fachadas</t>
  </si>
  <si>
    <t>Armado de modulo 3</t>
  </si>
  <si>
    <t xml:space="preserve">Demora en la entrega de materiales + pedido de materiales </t>
  </si>
  <si>
    <t xml:space="preserve">Armado del pilar de LUZ </t>
  </si>
  <si>
    <t xml:space="preserve">Maquina externa </t>
  </si>
  <si>
    <t xml:space="preserve">Entoscado de calle de acceso al predio  </t>
  </si>
  <si>
    <t xml:space="preserve">Terminar calle publica </t>
  </si>
  <si>
    <t>Terminar calle publica - si no resuelve  - CDM presupuestar entoscado</t>
  </si>
  <si>
    <t>Movimiento de arena</t>
  </si>
  <si>
    <t xml:space="preserve">Movimiento de arena + relleno donde corresponda </t>
  </si>
  <si>
    <t>INSTALACIONES DE OBRA</t>
  </si>
  <si>
    <t xml:space="preserve">13 personas </t>
  </si>
  <si>
    <t xml:space="preserve">Equipo 1 - 14 personas </t>
  </si>
  <si>
    <t>Comenzar con Armado de bloques 11 y 12</t>
  </si>
  <si>
    <t>Armado de MODULOS 11 y 12</t>
  </si>
  <si>
    <t>Armado de MODULOS 10 y 11 - 2 MESES MAS PARA CARPETAS + CONTRAPISOS + COLOCACION + TERMINACIONES</t>
  </si>
  <si>
    <t xml:space="preserve">EQUIPO 2 -  14 personas </t>
  </si>
  <si>
    <t xml:space="preserve">SUMAR 14 personas </t>
  </si>
  <si>
    <t xml:space="preserve">14 personas </t>
  </si>
  <si>
    <t>Armado de MODULOS 8 y 9</t>
  </si>
  <si>
    <t>Armado de MODULOS 8 y 9 - 2 MESES MAS PARA CARPETAS + CONTRAPISOS + COLOCACION + TERMINACIONES</t>
  </si>
  <si>
    <t xml:space="preserve">Armado de MODULOS 6 y 7 </t>
  </si>
  <si>
    <t>Armado de MODULOS 4 y 13</t>
  </si>
  <si>
    <t>Armado de MODULOS 8 y 9 - 1  MESES MAS PARA CARPETAS + CONTRAPISOS + COLOCACION + TERMINACIONES</t>
  </si>
  <si>
    <t>Armado de MODULOS 8 y 9 - 1 MESES MAS PARA CARPETAS + CONTRAPISOS + COLOCACION + TERMINACIONES</t>
  </si>
  <si>
    <t>Armado de MODULOS 2 y 3</t>
  </si>
  <si>
    <t>7 Personas</t>
  </si>
  <si>
    <t>Armado de MODULOS 1 y 5</t>
  </si>
  <si>
    <t>RESPONSABLES</t>
  </si>
  <si>
    <t>Noviembre</t>
  </si>
  <si>
    <t>ORGANIZACION + T. PREELIMINARES</t>
  </si>
  <si>
    <r>
      <rPr>
        <b/>
        <sz val="14"/>
        <color theme="1"/>
        <rFont val="Calibri"/>
        <family val="2"/>
      </rPr>
      <t>TRABAJOS PREVIOS</t>
    </r>
    <r>
      <rPr>
        <sz val="14"/>
        <color theme="1"/>
        <rFont val="Calibri"/>
        <family val="2"/>
      </rPr>
      <t>: OFICINA + OBRA</t>
    </r>
  </si>
  <si>
    <t>OFICINA TECNICA</t>
  </si>
  <si>
    <t>Ayelén</t>
  </si>
  <si>
    <t xml:space="preserve">ARMADO DE PLANOS DE NIVEL PRA QUE EL AGRIMENSOR REPLANTEE // DEFINIR INSTALACIONES O ALTURA LIBRE FINAL. CALEFACCIÓ ELECTRICA EN BAÑOS Y EL RESTO FRÍO / CALOR. vER CARPINTERÍA DE 2.40 O 2.30 Y VER QUE SE HACE CON LOS CENTRÍMETROS QUE FALTAN. GAS NO POR EL MOMENTO YA QUE NO HAY PROYECTO DE GAS: VER LA OPCIÓN DE CHANCHAS POR BLOQUES. </t>
  </si>
  <si>
    <t>ABASTECIMIENTO</t>
  </si>
  <si>
    <r>
      <rPr>
        <b/>
        <sz val="11"/>
        <color theme="1"/>
        <rFont val="Calibri"/>
        <family val="2"/>
      </rPr>
      <t>Costeo de un bloque (Materiales)</t>
    </r>
    <r>
      <rPr>
        <sz val="11"/>
        <color theme="1"/>
        <rFont val="Calibri"/>
        <family val="2"/>
      </rPr>
      <t>: Proyecto como está planteado + alternativa con panelería de DLM.  FECHA: MIÉRCOLES 27/11/24 // pARA PRODUCCIÓN PLANOS  - PLANILLAS DE DOBLADO. (ESTRUCTURALISTA YA PASO HIERROS POR BLOQUE)</t>
    </r>
  </si>
  <si>
    <t>PRODUCCION - OFICINA</t>
  </si>
  <si>
    <t>Amparo + Daniel</t>
  </si>
  <si>
    <r>
      <rPr>
        <b/>
        <sz val="13"/>
        <color theme="1"/>
        <rFont val="Calibri"/>
        <family val="2"/>
      </rPr>
      <t xml:space="preserve">Equipos de obra: </t>
    </r>
    <r>
      <rPr>
        <sz val="11"/>
        <color theme="1"/>
        <rFont val="Calibri"/>
        <family val="2"/>
      </rPr>
      <t xml:space="preserve">presupuesto de equipos de trabajo - gente por dia o contrato cerrado - tener al menos 2 opciones - DEFINIR VALOR DE MANO DE OBRA POR BLOQUE </t>
    </r>
  </si>
  <si>
    <t>Amparo + abastecimiento</t>
  </si>
  <si>
    <r>
      <rPr>
        <sz val="11"/>
        <color theme="1"/>
        <rFont val="Calibri"/>
        <family val="2"/>
      </rPr>
      <t xml:space="preserve">Definir junto a abastecimiento - </t>
    </r>
    <r>
      <rPr>
        <b/>
        <sz val="14"/>
        <color theme="1"/>
        <rFont val="Calibri"/>
        <family val="2"/>
      </rPr>
      <t>vivienda</t>
    </r>
    <r>
      <rPr>
        <sz val="11"/>
        <color theme="1"/>
        <rFont val="Calibri"/>
        <family val="2"/>
      </rPr>
      <t xml:space="preserve"> si hacemos contratacion de gente por dia</t>
    </r>
  </si>
  <si>
    <t>Amparo</t>
  </si>
  <si>
    <r>
      <rPr>
        <b/>
        <sz val="13"/>
        <color theme="1"/>
        <rFont val="Calibri"/>
        <family val="2"/>
      </rPr>
      <t>Plan de ejecucion de obra  -</t>
    </r>
    <r>
      <rPr>
        <sz val="13"/>
        <color theme="1"/>
        <rFont val="Calibri"/>
        <family val="2"/>
      </rPr>
      <t xml:space="preserve"> Ejecucion de tareas + logistica + ingreso de otros gremios</t>
    </r>
  </si>
  <si>
    <t>Amparo + Daniel + OT</t>
  </si>
  <si>
    <r>
      <rPr>
        <sz val="11"/>
        <color theme="1"/>
        <rFont val="Calibri"/>
        <family val="2"/>
      </rPr>
      <t>Junto a</t>
    </r>
    <r>
      <rPr>
        <sz val="13"/>
        <color rgb="FFF4CCCC"/>
        <rFont val="Calibri"/>
        <family val="2"/>
      </rPr>
      <t xml:space="preserve"> </t>
    </r>
    <r>
      <rPr>
        <b/>
        <sz val="13"/>
        <color rgb="FFE06666"/>
        <rFont val="Calibri"/>
        <family val="2"/>
      </rPr>
      <t>OT</t>
    </r>
    <r>
      <rPr>
        <sz val="11"/>
        <color theme="1"/>
        <rFont val="Calibri"/>
        <family val="2"/>
      </rPr>
      <t xml:space="preserve"> - Definicion de</t>
    </r>
    <r>
      <rPr>
        <b/>
        <sz val="13"/>
        <color theme="1"/>
        <rFont val="Calibri"/>
        <family val="2"/>
      </rPr>
      <t xml:space="preserve"> obradores y cerco de obra</t>
    </r>
  </si>
  <si>
    <t>PRODUCCION - CAMPO</t>
  </si>
  <si>
    <t xml:space="preserve">Desmonte parcial - </t>
  </si>
  <si>
    <r>
      <rPr>
        <sz val="11"/>
        <color theme="1"/>
        <rFont val="Calibri"/>
        <family val="2"/>
      </rPr>
      <t xml:space="preserve">Junto a </t>
    </r>
    <r>
      <rPr>
        <b/>
        <sz val="11"/>
        <color rgb="FFE06666"/>
        <rFont val="Calibri"/>
        <family val="2"/>
      </rPr>
      <t xml:space="preserve">OT -  </t>
    </r>
    <r>
      <rPr>
        <b/>
        <sz val="11"/>
        <color theme="1"/>
        <rFont val="Calibri"/>
        <family val="2"/>
      </rPr>
      <t xml:space="preserve">Trabajar sobre los niveles </t>
    </r>
    <r>
      <rPr>
        <sz val="11"/>
        <color theme="1"/>
        <rFont val="Calibri"/>
        <family val="2"/>
      </rPr>
      <t>(segun lo visto en obra) - Luego del desmonte establecer los</t>
    </r>
    <r>
      <rPr>
        <b/>
        <sz val="11"/>
        <color theme="1"/>
        <rFont val="Calibri"/>
        <family val="2"/>
      </rPr>
      <t xml:space="preserve"> niveles finales</t>
    </r>
  </si>
  <si>
    <r>
      <rPr>
        <b/>
        <sz val="12"/>
        <color theme="1"/>
        <rFont val="Calibri"/>
        <family val="2"/>
      </rPr>
      <t xml:space="preserve">Nivelacion + armado de calle central + tosca - </t>
    </r>
    <r>
      <rPr>
        <sz val="12"/>
        <color theme="1"/>
        <rFont val="Calibri"/>
        <family val="2"/>
      </rPr>
      <t>calle central + acceso por calle publica</t>
    </r>
  </si>
  <si>
    <t>Daniel</t>
  </si>
  <si>
    <r>
      <rPr>
        <b/>
        <sz val="11"/>
        <color rgb="FFFF0000"/>
        <rFont val="Calibri"/>
        <family val="2"/>
      </rPr>
      <t>POSIBLE:</t>
    </r>
    <r>
      <rPr>
        <sz val="11"/>
        <color theme="1"/>
        <rFont val="Calibri"/>
        <family val="2"/>
      </rPr>
      <t xml:space="preserve"> Armado de cerco - dependiendo de como queda el lote segun niveles</t>
    </r>
  </si>
  <si>
    <t>Armado de cerco + obradores</t>
  </si>
  <si>
    <t>s</t>
  </si>
  <si>
    <t>Replanteo de calle central</t>
  </si>
  <si>
    <t>Replanteo de bloques con sus niveles - CADA UNO CON SU EJE DE REPLANTEO</t>
  </si>
  <si>
    <t xml:space="preserve">PROYECTO </t>
  </si>
  <si>
    <t xml:space="preserve">Ursula </t>
  </si>
  <si>
    <t xml:space="preserve">Definir: Niveles de modulos y amenities + definir calle quebrada </t>
  </si>
  <si>
    <t>Definir: estacionamientos de cortesia + fachada del complejo + estacionamiento general</t>
  </si>
  <si>
    <t>Definir: contenciones + patios de bloques</t>
  </si>
  <si>
    <t>ECO - FIN</t>
  </si>
  <si>
    <t>COMERCIAL</t>
  </si>
  <si>
    <r>
      <rPr>
        <b/>
        <sz val="14"/>
        <color theme="1"/>
        <rFont val="Calibri"/>
        <family val="2"/>
      </rPr>
      <t>TRABAJOS PREVIOS</t>
    </r>
    <r>
      <rPr>
        <sz val="14"/>
        <color theme="1"/>
        <rFont val="Calibri"/>
        <family val="2"/>
      </rPr>
      <t>: OFICINA + OBRA</t>
    </r>
  </si>
  <si>
    <r>
      <rPr>
        <b/>
        <sz val="11"/>
        <color theme="1"/>
        <rFont val="Calibri"/>
        <family val="2"/>
      </rPr>
      <t>Costeo de un bloque (Materiales)</t>
    </r>
    <r>
      <rPr>
        <sz val="11"/>
        <color theme="1"/>
        <rFont val="Calibri"/>
        <family val="2"/>
      </rPr>
      <t>: Proyecto como está planteado + alternativa con panelería de DLM.  FECHA: MIÉRCOLES 27/11/24 // pARA PRODUCCIÓN PLANOS  - PLANILLAS DE DOBLADO. (ESTRUCTURALISTA YA PASO HIERROS POR BLOQUE)</t>
    </r>
  </si>
  <si>
    <r>
      <rPr>
        <b/>
        <sz val="13"/>
        <color theme="1"/>
        <rFont val="Calibri"/>
        <family val="2"/>
      </rPr>
      <t xml:space="preserve">Equipos de obra: </t>
    </r>
    <r>
      <rPr>
        <sz val="11"/>
        <color theme="1"/>
        <rFont val="Calibri"/>
        <family val="2"/>
      </rPr>
      <t xml:space="preserve">presupuesto de equipos de trabajo - gente por dia o contrato cerrado - tener al menos 2 opciones - DEFINIR VALOR DE MANO DE OBRA POR BLOQUE </t>
    </r>
  </si>
  <si>
    <r>
      <rPr>
        <sz val="11"/>
        <color theme="1"/>
        <rFont val="Calibri"/>
        <family val="2"/>
      </rPr>
      <t xml:space="preserve">Definir junto a abastecimiento - </t>
    </r>
    <r>
      <rPr>
        <b/>
        <sz val="14"/>
        <color theme="1"/>
        <rFont val="Calibri"/>
        <family val="2"/>
      </rPr>
      <t>vivienda</t>
    </r>
    <r>
      <rPr>
        <sz val="11"/>
        <color theme="1"/>
        <rFont val="Calibri"/>
        <family val="2"/>
      </rPr>
      <t xml:space="preserve"> si hacemos contratacion de gente por dia</t>
    </r>
  </si>
  <si>
    <r>
      <rPr>
        <b/>
        <sz val="13"/>
        <color theme="1"/>
        <rFont val="Calibri"/>
        <family val="2"/>
      </rPr>
      <t>Plan de ejecucion de obra  -</t>
    </r>
    <r>
      <rPr>
        <sz val="13"/>
        <color theme="1"/>
        <rFont val="Calibri"/>
        <family val="2"/>
      </rPr>
      <t xml:space="preserve"> Ejecucion de tareas + logistica + ingreso de otros gremios</t>
    </r>
  </si>
  <si>
    <r>
      <rPr>
        <sz val="11"/>
        <color theme="1"/>
        <rFont val="Calibri"/>
        <family val="2"/>
      </rPr>
      <t>Junto a</t>
    </r>
    <r>
      <rPr>
        <sz val="13"/>
        <color rgb="FFF4CCCC"/>
        <rFont val="Calibri"/>
        <family val="2"/>
      </rPr>
      <t xml:space="preserve"> </t>
    </r>
    <r>
      <rPr>
        <b/>
        <sz val="13"/>
        <color rgb="FFE06666"/>
        <rFont val="Calibri"/>
        <family val="2"/>
      </rPr>
      <t>OT</t>
    </r>
    <r>
      <rPr>
        <sz val="11"/>
        <color theme="1"/>
        <rFont val="Calibri"/>
        <family val="2"/>
      </rPr>
      <t xml:space="preserve"> - Definicion de</t>
    </r>
    <r>
      <rPr>
        <b/>
        <sz val="13"/>
        <color theme="1"/>
        <rFont val="Calibri"/>
        <family val="2"/>
      </rPr>
      <t xml:space="preserve"> obradores y cerco de obra</t>
    </r>
  </si>
  <si>
    <r>
      <rPr>
        <sz val="11"/>
        <color theme="1"/>
        <rFont val="Calibri"/>
        <family val="2"/>
      </rPr>
      <t xml:space="preserve">Junto a </t>
    </r>
    <r>
      <rPr>
        <b/>
        <sz val="11"/>
        <color rgb="FFE06666"/>
        <rFont val="Calibri"/>
        <family val="2"/>
      </rPr>
      <t xml:space="preserve">OT -  </t>
    </r>
    <r>
      <rPr>
        <b/>
        <sz val="11"/>
        <color theme="1"/>
        <rFont val="Calibri"/>
        <family val="2"/>
      </rPr>
      <t xml:space="preserve">Trabajar sobre los niveles </t>
    </r>
    <r>
      <rPr>
        <sz val="11"/>
        <color theme="1"/>
        <rFont val="Calibri"/>
        <family val="2"/>
      </rPr>
      <t>(segun lo visto en obra) - Luego del desmonte establecer los</t>
    </r>
    <r>
      <rPr>
        <b/>
        <sz val="11"/>
        <color theme="1"/>
        <rFont val="Calibri"/>
        <family val="2"/>
      </rPr>
      <t xml:space="preserve"> niveles finales</t>
    </r>
  </si>
  <si>
    <r>
      <rPr>
        <b/>
        <sz val="12"/>
        <color theme="1"/>
        <rFont val="Calibri"/>
        <family val="2"/>
      </rPr>
      <t xml:space="preserve">Nivelacion + armado de calle central + tosca - </t>
    </r>
    <r>
      <rPr>
        <sz val="12"/>
        <color theme="1"/>
        <rFont val="Calibri"/>
        <family val="2"/>
      </rPr>
      <t>calle central + acceso por calle publica</t>
    </r>
  </si>
  <si>
    <r>
      <rPr>
        <b/>
        <sz val="11"/>
        <color rgb="FFFF0000"/>
        <rFont val="Calibri"/>
        <family val="2"/>
      </rPr>
      <t>POSIBLE:</t>
    </r>
    <r>
      <rPr>
        <sz val="11"/>
        <color theme="1"/>
        <rFont val="Calibri"/>
        <family val="2"/>
      </rPr>
      <t xml:space="preserve"> Armado de cerco - dependiendo de como queda el lote segun niveles</t>
    </r>
  </si>
  <si>
    <t>TRABAJOS PRELIMINARES</t>
  </si>
  <si>
    <t>PRODUCCION + ABASTECIMIENTO + OFICINA TECNICA</t>
  </si>
  <si>
    <t>CDM+ 1 OFICIAL</t>
  </si>
  <si>
    <t xml:space="preserve">Equipo de 7 personas </t>
  </si>
  <si>
    <t>Equipo de 7 personas</t>
  </si>
  <si>
    <t>Replanteos bloques + calle (CDM) + chequear con agrimensor niveles + ubicacion de bloques</t>
  </si>
  <si>
    <t>replanteo + armado de cerco +
Armado de obradores</t>
  </si>
  <si>
    <r>
      <rPr>
        <sz val="11"/>
        <color theme="1"/>
        <rFont val="Calibri"/>
        <family val="2"/>
      </rPr>
      <t xml:space="preserve">Equipo CDM + </t>
    </r>
    <r>
      <rPr>
        <b/>
        <sz val="11"/>
        <color theme="1"/>
        <rFont val="Calibri"/>
        <family val="2"/>
      </rPr>
      <t xml:space="preserve"> 1 oficial  (ostende)</t>
    </r>
  </si>
  <si>
    <r>
      <rPr>
        <b/>
        <sz val="11"/>
        <color theme="1"/>
        <rFont val="Calibri"/>
        <family val="2"/>
      </rPr>
      <t>EQUIPO 1:</t>
    </r>
    <r>
      <rPr>
        <sz val="11"/>
        <color theme="1"/>
        <rFont val="Calibri"/>
        <family val="2"/>
      </rPr>
      <t xml:space="preserve">  7 PERSONAS - 4 DE OSTENDE + 3 DE ROSARIO -</t>
    </r>
  </si>
  <si>
    <t>HORMIGON BLOQUES + AMENITIES</t>
  </si>
  <si>
    <t>Doblado de hierros - ver si es posible doblar hierros en OBRA -</t>
  </si>
  <si>
    <r>
      <rPr>
        <b/>
        <sz val="11"/>
        <color theme="1"/>
        <rFont val="Calibri"/>
        <family val="2"/>
      </rPr>
      <t xml:space="preserve">EQUIPO 1: </t>
    </r>
    <r>
      <rPr>
        <sz val="11"/>
        <color theme="1"/>
        <rFont val="Calibri"/>
        <family val="2"/>
      </rPr>
      <t>7 PERSONAS - 4 DE OSTENDE + 3 DE ROSARIO -</t>
    </r>
  </si>
  <si>
    <r>
      <rPr>
        <b/>
        <sz val="11"/>
        <color rgb="FFFF0000"/>
        <rFont val="Calibri"/>
        <family val="2"/>
      </rPr>
      <t xml:space="preserve">EQUIPO 1 + 2 </t>
    </r>
    <r>
      <rPr>
        <sz val="11"/>
        <color theme="1"/>
        <rFont val="Calibri"/>
        <family val="2"/>
      </rPr>
      <t>- 4 Equipos de 7 personas - ESTRUCTURA DE HORMIGON</t>
    </r>
  </si>
  <si>
    <r>
      <rPr>
        <b/>
        <sz val="11"/>
        <color rgb="FFFF0000"/>
        <rFont val="Calibri"/>
        <family val="2"/>
      </rPr>
      <t xml:space="preserve">EQUIPO 1 </t>
    </r>
    <r>
      <rPr>
        <sz val="11"/>
        <color theme="1"/>
        <rFont val="Calibri"/>
        <family val="2"/>
      </rPr>
      <t>- Equipo de 7 personas - ESTRUCTURA DE HORMIGON</t>
    </r>
  </si>
  <si>
    <r>
      <rPr>
        <b/>
        <sz val="11"/>
        <color rgb="FFFF0000"/>
        <rFont val="Calibri"/>
        <family val="2"/>
      </rPr>
      <t xml:space="preserve">EQUIPO 1 </t>
    </r>
    <r>
      <rPr>
        <sz val="11"/>
        <color theme="1"/>
        <rFont val="Calibri"/>
        <family val="2"/>
      </rPr>
      <t>- Equipo de 7 personas - ESTRUCTURA DE HORMIGON</t>
    </r>
  </si>
  <si>
    <t>4 Bloques - TIRA A</t>
  </si>
  <si>
    <t>4 Bloques - TIRA D</t>
  </si>
  <si>
    <t>4 Bloques - TIRA C</t>
  </si>
  <si>
    <r>
      <rPr>
        <b/>
        <sz val="11"/>
        <color rgb="FF548135"/>
        <rFont val="Calibri"/>
        <family val="2"/>
      </rPr>
      <t>EQUIPO 2</t>
    </r>
    <r>
      <rPr>
        <sz val="11"/>
        <color theme="1"/>
        <rFont val="Calibri"/>
        <family val="2"/>
      </rPr>
      <t xml:space="preserve"> - 1 Equipo de 7 personas - ESTRUCTURA DE HORMIGON</t>
    </r>
  </si>
  <si>
    <t xml:space="preserve">1 Bloque - Bloque B </t>
  </si>
  <si>
    <r>
      <rPr>
        <b/>
        <sz val="11"/>
        <color rgb="FF548135"/>
        <rFont val="Calibri"/>
        <family val="2"/>
      </rPr>
      <t>EQUIPO 2</t>
    </r>
    <r>
      <rPr>
        <sz val="11"/>
        <color rgb="FF548135"/>
        <rFont val="Calibri"/>
        <family val="2"/>
      </rPr>
      <t xml:space="preserve"> -</t>
    </r>
    <r>
      <rPr>
        <sz val="11"/>
        <color theme="1"/>
        <rFont val="Calibri"/>
        <family val="2"/>
      </rPr>
      <t xml:space="preserve"> 1 Equipo de 7 personas - ESTRUCTURA DE HORMIGON</t>
    </r>
  </si>
  <si>
    <t xml:space="preserve">Amenities + posible losa de calle </t>
  </si>
  <si>
    <t>Calle de acceso</t>
  </si>
  <si>
    <t>Terminaciones en HºAº</t>
  </si>
  <si>
    <t>NICOLAS + AMPARO</t>
  </si>
  <si>
    <r>
      <rPr>
        <b/>
        <sz val="11"/>
        <color theme="1"/>
        <rFont val="Calibri"/>
        <family val="2"/>
      </rPr>
      <t xml:space="preserve">Oficina tecnica: </t>
    </r>
    <r>
      <rPr>
        <sz val="11"/>
        <color theme="1"/>
        <rFont val="Calibri"/>
        <family val="2"/>
      </rPr>
      <t>Presentacion de planos + luz de obra y computos de materiales</t>
    </r>
  </si>
  <si>
    <r>
      <rPr>
        <b/>
        <sz val="11"/>
        <color theme="1"/>
        <rFont val="Calibri"/>
        <family val="2"/>
      </rPr>
      <t>ABASTRCIMIENTO</t>
    </r>
    <r>
      <rPr>
        <sz val="11"/>
        <color theme="1"/>
        <rFont val="Calibri"/>
        <family val="2"/>
      </rPr>
      <t xml:space="preserve">: Compra de materiales para conexion de obra </t>
    </r>
  </si>
  <si>
    <t>ELECTRICIDAD  - NICOLAS</t>
  </si>
  <si>
    <t>DEFINIR + AMPARO</t>
  </si>
  <si>
    <r>
      <rPr>
        <b/>
        <sz val="11"/>
        <color theme="1"/>
        <rFont val="Calibri"/>
        <family val="2"/>
      </rPr>
      <t xml:space="preserve">Oficina tecnica: </t>
    </r>
    <r>
      <rPr>
        <sz val="11"/>
        <color theme="1"/>
        <rFont val="Calibri"/>
        <family val="2"/>
      </rPr>
      <t xml:space="preserve">Presentacion de planos + conexion de agua de obra + computos de mat.  + Busqueda de plomeros                    </t>
    </r>
    <r>
      <rPr>
        <b/>
        <sz val="11"/>
        <color theme="1"/>
        <rFont val="Calibri"/>
        <family val="2"/>
      </rPr>
      <t xml:space="preserve">   </t>
    </r>
  </si>
  <si>
    <r>
      <rPr>
        <b/>
        <sz val="11"/>
        <color theme="1"/>
        <rFont val="Calibri"/>
        <family val="2"/>
      </rPr>
      <t>ABASTRCIMIENTO</t>
    </r>
    <r>
      <rPr>
        <sz val="11"/>
        <color theme="1"/>
        <rFont val="Calibri"/>
        <family val="2"/>
      </rPr>
      <t xml:space="preserve">: Compra de materiales para conexion de obra </t>
    </r>
  </si>
  <si>
    <t>PLOMERIA - POZOS OBRADORES</t>
  </si>
  <si>
    <t>COMPRAS</t>
  </si>
  <si>
    <r>
      <rPr>
        <b/>
        <sz val="14"/>
        <color theme="1"/>
        <rFont val="Calibri"/>
        <family val="2"/>
      </rPr>
      <t>TRABAJOS PREVIOS</t>
    </r>
    <r>
      <rPr>
        <sz val="14"/>
        <color theme="1"/>
        <rFont val="Calibri"/>
        <family val="2"/>
      </rPr>
      <t>: OFICINA + OBRA</t>
    </r>
  </si>
  <si>
    <r>
      <rPr>
        <b/>
        <sz val="11"/>
        <color theme="1"/>
        <rFont val="Calibri"/>
        <family val="2"/>
      </rPr>
      <t>Costeo de un bloque (Materiales)</t>
    </r>
    <r>
      <rPr>
        <sz val="11"/>
        <color theme="1"/>
        <rFont val="Calibri"/>
        <family val="2"/>
      </rPr>
      <t>: Proyecto como está planteado + alternativa con panelería de DLM.  FECHA: MIÉRCOLES 27/11/24 // pARA PRODUCCIÓN PLANOS  - PLANILLAS DE DOBLADO. (ESTRUCTURALISTA YA PASO HIERROS POR BLOQUE)</t>
    </r>
  </si>
  <si>
    <r>
      <rPr>
        <b/>
        <sz val="13"/>
        <color theme="1"/>
        <rFont val="Calibri"/>
        <family val="2"/>
      </rPr>
      <t xml:space="preserve">Equipos de obra: </t>
    </r>
    <r>
      <rPr>
        <sz val="11"/>
        <color theme="1"/>
        <rFont val="Calibri"/>
        <family val="2"/>
      </rPr>
      <t xml:space="preserve">presupuesto de equipos de trabajo - gente por dia o contrato cerrado - tener al menos 2 opciones - DEFINIR VALOR DE MANO DE OBRA POR BLOQUE </t>
    </r>
  </si>
  <si>
    <r>
      <rPr>
        <sz val="11"/>
        <color theme="1"/>
        <rFont val="Calibri"/>
        <family val="2"/>
      </rPr>
      <t xml:space="preserve">Definir junto a abastecimiento - </t>
    </r>
    <r>
      <rPr>
        <b/>
        <sz val="14"/>
        <color theme="1"/>
        <rFont val="Calibri"/>
        <family val="2"/>
      </rPr>
      <t>vivienda</t>
    </r>
    <r>
      <rPr>
        <sz val="11"/>
        <color theme="1"/>
        <rFont val="Calibri"/>
        <family val="2"/>
      </rPr>
      <t xml:space="preserve"> si hacemos contratacion de gente por dia</t>
    </r>
  </si>
  <si>
    <r>
      <rPr>
        <b/>
        <sz val="13"/>
        <color theme="1"/>
        <rFont val="Calibri"/>
        <family val="2"/>
      </rPr>
      <t>Plan de ejecucion de obra  -</t>
    </r>
    <r>
      <rPr>
        <sz val="13"/>
        <color theme="1"/>
        <rFont val="Calibri"/>
        <family val="2"/>
      </rPr>
      <t xml:space="preserve"> Ejecucion de tareas + logistica + ingreso de otros gremios</t>
    </r>
  </si>
  <si>
    <r>
      <rPr>
        <sz val="11"/>
        <color theme="1"/>
        <rFont val="Calibri"/>
        <family val="2"/>
      </rPr>
      <t>Junto a</t>
    </r>
    <r>
      <rPr>
        <sz val="13"/>
        <color rgb="FFF4CCCC"/>
        <rFont val="Calibri"/>
        <family val="2"/>
      </rPr>
      <t xml:space="preserve"> </t>
    </r>
    <r>
      <rPr>
        <b/>
        <sz val="13"/>
        <color rgb="FFE06666"/>
        <rFont val="Calibri"/>
        <family val="2"/>
      </rPr>
      <t>OT</t>
    </r>
    <r>
      <rPr>
        <sz val="11"/>
        <color theme="1"/>
        <rFont val="Calibri"/>
        <family val="2"/>
      </rPr>
      <t xml:space="preserve"> - Definicion de</t>
    </r>
    <r>
      <rPr>
        <b/>
        <sz val="13"/>
        <color theme="1"/>
        <rFont val="Calibri"/>
        <family val="2"/>
      </rPr>
      <t xml:space="preserve"> obradores y cerco de obra</t>
    </r>
  </si>
  <si>
    <r>
      <rPr>
        <sz val="11"/>
        <color theme="1"/>
        <rFont val="Calibri"/>
        <family val="2"/>
      </rPr>
      <t xml:space="preserve">Junto a </t>
    </r>
    <r>
      <rPr>
        <b/>
        <sz val="11"/>
        <color rgb="FFE06666"/>
        <rFont val="Calibri"/>
        <family val="2"/>
      </rPr>
      <t xml:space="preserve">OT -  </t>
    </r>
    <r>
      <rPr>
        <b/>
        <sz val="11"/>
        <color theme="1"/>
        <rFont val="Calibri"/>
        <family val="2"/>
      </rPr>
      <t xml:space="preserve">Trabajar sobre los niveles </t>
    </r>
    <r>
      <rPr>
        <sz val="11"/>
        <color theme="1"/>
        <rFont val="Calibri"/>
        <family val="2"/>
      </rPr>
      <t>(segun lo visto en obra) - Luego del desmonte establecer los</t>
    </r>
    <r>
      <rPr>
        <b/>
        <sz val="11"/>
        <color theme="1"/>
        <rFont val="Calibri"/>
        <family val="2"/>
      </rPr>
      <t xml:space="preserve"> niveles finales</t>
    </r>
  </si>
  <si>
    <r>
      <rPr>
        <b/>
        <sz val="12"/>
        <color theme="1"/>
        <rFont val="Calibri"/>
        <family val="2"/>
      </rPr>
      <t xml:space="preserve">Nivelacion + armado de calle central + tosca - </t>
    </r>
    <r>
      <rPr>
        <sz val="12"/>
        <color theme="1"/>
        <rFont val="Calibri"/>
        <family val="2"/>
      </rPr>
      <t>calle central + acceso por calle publica</t>
    </r>
  </si>
  <si>
    <r>
      <rPr>
        <b/>
        <sz val="11"/>
        <color rgb="FFFF0000"/>
        <rFont val="Calibri"/>
        <family val="2"/>
      </rPr>
      <t>POSIBLE:</t>
    </r>
    <r>
      <rPr>
        <sz val="11"/>
        <color theme="1"/>
        <rFont val="Calibri"/>
        <family val="2"/>
      </rPr>
      <t xml:space="preserve"> Armado de cerco - dependiendo de como queda el lote segun niveles</t>
    </r>
  </si>
  <si>
    <t>RUBROS</t>
  </si>
  <si>
    <t>EQUIPOS OBRA</t>
  </si>
  <si>
    <t>Octubre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</si>
  <si>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</si>
  <si>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</si>
  <si>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</si>
  <si>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</si>
  <si>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</si>
  <si>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</si>
  <si>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</si>
  <si>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</si>
  <si>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</si>
  <si>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 xml:space="preserve">Enero </t>
  </si>
  <si>
    <t xml:space="preserve">Marzo </t>
  </si>
  <si>
    <t xml:space="preserve">Mayo </t>
  </si>
  <si>
    <t>HORMIGON + BRUTO DE BLOQUES Y AMENITIES + ACCESO</t>
  </si>
  <si>
    <t>HORMIGON + BRUTO DE BLOQUES</t>
  </si>
  <si>
    <t>INTERIOR EN SECO + TERMINACIONES</t>
  </si>
  <si>
    <r>
      <rPr>
        <b/>
        <sz val="11"/>
        <color theme="1"/>
        <rFont val="Calibri"/>
        <family val="2"/>
      </rPr>
      <t>TRABAJOS PREVIOS</t>
    </r>
    <r>
      <rPr>
        <sz val="11"/>
        <color theme="1"/>
        <rFont val="Calibri"/>
        <family val="2"/>
      </rPr>
      <t>: OFICINA + OBRA</t>
    </r>
  </si>
  <si>
    <r>
      <rPr>
        <b/>
        <sz val="11"/>
        <color theme="1"/>
        <rFont val="Calibri"/>
        <family val="2"/>
      </rPr>
      <t>PROYECTO + O.T:</t>
    </r>
    <r>
      <rPr>
        <sz val="11"/>
        <color theme="1"/>
        <rFont val="Calibri"/>
        <family val="2"/>
      </rPr>
      <t xml:space="preserve"> ORGANIZACION INFO + APROBACIONES + GENERACION DE DOCUMENTACION + DISEÑO + COSTO POR BLOQUE </t>
    </r>
  </si>
  <si>
    <r>
      <rPr>
        <b/>
        <sz val="11"/>
        <color theme="1"/>
        <rFont val="Calibri"/>
        <family val="2"/>
      </rPr>
      <t xml:space="preserve"> OFICINA PRODUCCION:</t>
    </r>
    <r>
      <rPr>
        <sz val="11"/>
        <color theme="1"/>
        <rFont val="Calibri"/>
        <family val="2"/>
      </rPr>
      <t xml:space="preserve"> ORGANIZACION Y CONTRATACION DE EQUIPOS + COSTO MANO DE OBRA</t>
    </r>
  </si>
  <si>
    <r>
      <rPr>
        <b/>
        <sz val="11"/>
        <color theme="1"/>
        <rFont val="Calibri"/>
        <family val="2"/>
      </rPr>
      <t>ABASTECIMIENTO:</t>
    </r>
    <r>
      <rPr>
        <sz val="11"/>
        <color theme="1"/>
        <rFont val="Calibri"/>
        <family val="2"/>
      </rPr>
      <t xml:space="preserve"> COMPUTOS + COMPRAS PARA T. PREELIMINARES + FUNDACIONES + COSTO POR BLOQUE</t>
    </r>
  </si>
  <si>
    <r>
      <rPr>
        <b/>
        <sz val="11"/>
        <color theme="1"/>
        <rFont val="Calibri"/>
        <family val="2"/>
      </rPr>
      <t>CAMPO PRODUCCION:</t>
    </r>
    <r>
      <rPr>
        <sz val="11"/>
        <color theme="1"/>
        <rFont val="Calibri"/>
        <family val="2"/>
      </rPr>
      <t xml:space="preserve"> T. PREELIMINARES + DOBLADO DE HIERROS</t>
    </r>
  </si>
  <si>
    <t>2 PERSONAS</t>
  </si>
  <si>
    <t>4 PERSONAS</t>
  </si>
  <si>
    <t>6 PERSONAS</t>
  </si>
  <si>
    <t>Replanteos bloques + Presupuestar mov. de arena y desmonte</t>
  </si>
  <si>
    <t>Desmonte parcial + movimiento de arena parcial + replanteo + armado de cerco</t>
  </si>
  <si>
    <t xml:space="preserve">Armado de obradores + camino </t>
  </si>
  <si>
    <t>Mediados de noviembre</t>
  </si>
  <si>
    <r>
      <rPr>
        <sz val="11"/>
        <color theme="1"/>
        <rFont val="Calibri"/>
        <family val="2"/>
      </rPr>
      <t xml:space="preserve">Equipo CDM + </t>
    </r>
    <r>
      <rPr>
        <b/>
        <sz val="11"/>
        <color theme="1"/>
        <rFont val="Calibri"/>
        <family val="2"/>
      </rPr>
      <t>EQUIPO 1 - 2 oficiales  (ostende)</t>
    </r>
  </si>
  <si>
    <r>
      <rPr>
        <b/>
        <sz val="11"/>
        <color theme="1"/>
        <rFont val="Calibri"/>
        <family val="2"/>
      </rPr>
      <t xml:space="preserve">Equipo CDM + EQUIPO 2 </t>
    </r>
    <r>
      <rPr>
        <sz val="11"/>
        <color theme="1"/>
        <rFont val="Calibri"/>
        <family val="2"/>
      </rPr>
      <t>- 3 of. + 1 ayu.</t>
    </r>
  </si>
  <si>
    <r>
      <rPr>
        <sz val="11"/>
        <color theme="1"/>
        <rFont val="Calibri"/>
        <family val="2"/>
      </rPr>
      <t xml:space="preserve">Equipo CDM + </t>
    </r>
    <r>
      <rPr>
        <b/>
        <sz val="11"/>
        <color theme="1"/>
        <rFont val="Calibri"/>
        <family val="2"/>
      </rPr>
      <t>EQUIPO 1 - 1 ayu. + 1 ofi.</t>
    </r>
  </si>
  <si>
    <r>
      <rPr>
        <sz val="10"/>
        <color theme="1"/>
        <rFont val="Calibri"/>
        <family val="2"/>
      </rPr>
      <t xml:space="preserve">Doblado de hierros MODULOS  </t>
    </r>
    <r>
      <rPr>
        <b/>
        <sz val="10"/>
        <color theme="1"/>
        <rFont val="Calibri"/>
        <family val="2"/>
      </rPr>
      <t>GALPON</t>
    </r>
  </si>
  <si>
    <r>
      <rPr>
        <b/>
        <sz val="11"/>
        <color theme="1"/>
        <rFont val="Calibri"/>
        <family val="2"/>
      </rPr>
      <t xml:space="preserve">Equipo CDM + EQUIPO 2 </t>
    </r>
    <r>
      <rPr>
        <sz val="11"/>
        <color theme="1"/>
        <rFont val="Calibri"/>
        <family val="2"/>
      </rPr>
      <t>- 3 of. + 1 ayu.</t>
    </r>
  </si>
  <si>
    <r>
      <rPr>
        <b/>
        <sz val="11"/>
        <color rgb="FFFF0000"/>
        <rFont val="Calibri"/>
        <family val="2"/>
      </rPr>
      <t xml:space="preserve">EQUIPO 1 + 2 </t>
    </r>
    <r>
      <rPr>
        <sz val="11"/>
        <color theme="1"/>
        <rFont val="Calibri"/>
        <family val="2"/>
      </rPr>
      <t>- 4 Equipos de 7 personas - ESTRUCTURA DE HORMIGON</t>
    </r>
  </si>
  <si>
    <r>
      <rPr>
        <b/>
        <sz val="11"/>
        <color rgb="FFFF0000"/>
        <rFont val="Calibri"/>
        <family val="2"/>
      </rPr>
      <t xml:space="preserve">EQUIPO 1 </t>
    </r>
    <r>
      <rPr>
        <sz val="11"/>
        <color theme="1"/>
        <rFont val="Calibri"/>
        <family val="2"/>
      </rPr>
      <t>- Equipo de 7 personas - ESTRUCTURA DE HORMIGON</t>
    </r>
  </si>
  <si>
    <r>
      <rPr>
        <b/>
        <sz val="11"/>
        <color rgb="FFFF0000"/>
        <rFont val="Calibri"/>
        <family val="2"/>
      </rPr>
      <t xml:space="preserve">EQUIPO 1 </t>
    </r>
    <r>
      <rPr>
        <sz val="11"/>
        <color theme="1"/>
        <rFont val="Calibri"/>
        <family val="2"/>
      </rPr>
      <t>- Equipo de 7 personas - ESTRUCTURA DE HORMIGON</t>
    </r>
  </si>
  <si>
    <r>
      <rPr>
        <b/>
        <sz val="11"/>
        <color rgb="FF548135"/>
        <rFont val="Calibri"/>
        <family val="2"/>
      </rPr>
      <t>EQUIPO 2</t>
    </r>
    <r>
      <rPr>
        <sz val="11"/>
        <color theme="1"/>
        <rFont val="Calibri"/>
        <family val="2"/>
      </rPr>
      <t xml:space="preserve"> - 1 Equipo de 7 personas - ESTRUCTURA DE HORMIGON</t>
    </r>
  </si>
  <si>
    <r>
      <rPr>
        <b/>
        <sz val="11"/>
        <color rgb="FF548135"/>
        <rFont val="Calibri"/>
        <family val="2"/>
      </rPr>
      <t>EQUIPO 2</t>
    </r>
    <r>
      <rPr>
        <sz val="11"/>
        <color rgb="FF548135"/>
        <rFont val="Calibri"/>
        <family val="2"/>
      </rPr>
      <t xml:space="preserve"> -</t>
    </r>
    <r>
      <rPr>
        <sz val="11"/>
        <color theme="1"/>
        <rFont val="Calibri"/>
        <family val="2"/>
      </rPr>
      <t xml:space="preserve"> 1 Equipo de 7 personas - ESTRUCTURA DE HORMIGON</t>
    </r>
  </si>
  <si>
    <r>
      <rPr>
        <b/>
        <sz val="11"/>
        <color theme="1"/>
        <rFont val="Calibri"/>
        <family val="2"/>
      </rPr>
      <t xml:space="preserve">Oficina tecnica: </t>
    </r>
    <r>
      <rPr>
        <sz val="11"/>
        <color theme="1"/>
        <rFont val="Calibri"/>
        <family val="2"/>
      </rPr>
      <t>Presentacion de planos + luz de obra y computos de materiales</t>
    </r>
  </si>
  <si>
    <r>
      <rPr>
        <b/>
        <sz val="11"/>
        <color theme="1"/>
        <rFont val="Calibri"/>
        <family val="2"/>
      </rPr>
      <t>ABASTRCIMIENTO</t>
    </r>
    <r>
      <rPr>
        <sz val="11"/>
        <color theme="1"/>
        <rFont val="Calibri"/>
        <family val="2"/>
      </rPr>
      <t xml:space="preserve">: Compra de materiales para conexion de obra </t>
    </r>
  </si>
  <si>
    <r>
      <rPr>
        <b/>
        <sz val="11"/>
        <color theme="1"/>
        <rFont val="Calibri"/>
        <family val="2"/>
      </rPr>
      <t xml:space="preserve">Oficina tecnica: </t>
    </r>
    <r>
      <rPr>
        <sz val="11"/>
        <color theme="1"/>
        <rFont val="Calibri"/>
        <family val="2"/>
      </rPr>
      <t xml:space="preserve">Presentacion de planos + conexion de agua de obra + computos de mat.  + Busqueda de plomeros                    </t>
    </r>
    <r>
      <rPr>
        <b/>
        <sz val="11"/>
        <color theme="1"/>
        <rFont val="Calibri"/>
        <family val="2"/>
      </rPr>
      <t xml:space="preserve">   </t>
    </r>
  </si>
  <si>
    <r>
      <rPr>
        <b/>
        <sz val="11"/>
        <color theme="1"/>
        <rFont val="Calibri"/>
        <family val="2"/>
      </rPr>
      <t>ABASTRCIMIENTO</t>
    </r>
    <r>
      <rPr>
        <sz val="11"/>
        <color theme="1"/>
        <rFont val="Calibri"/>
        <family val="2"/>
      </rPr>
      <t xml:space="preserve">: Compra de materiales para conexion de obra </t>
    </r>
  </si>
  <si>
    <t>Tabiques elevación</t>
  </si>
  <si>
    <t>TIRADO</t>
  </si>
  <si>
    <t>PEDIDO</t>
  </si>
  <si>
    <t>M³</t>
  </si>
  <si>
    <t>M³ TOTALES</t>
  </si>
  <si>
    <t>Escaleras/Otros</t>
  </si>
  <si>
    <t>P/W</t>
  </si>
  <si>
    <t>P/W/W</t>
  </si>
  <si>
    <t>W/P</t>
  </si>
  <si>
    <t>H25</t>
  </si>
  <si>
    <t>MÓDULOS</t>
  </si>
  <si>
    <t>INC1226</t>
  </si>
  <si>
    <t>INC1227</t>
  </si>
  <si>
    <t>INC1287</t>
  </si>
  <si>
    <t>INC1308</t>
  </si>
  <si>
    <t>A PARTIR DE ACÁ LO GESTIONÓ LEANDRO</t>
  </si>
  <si>
    <t>Preveer una posible bomba entre medio si Pedro no llega a llenar la base</t>
  </si>
  <si>
    <t>Elementos</t>
  </si>
  <si>
    <t>M3 x Elemento</t>
  </si>
  <si>
    <t>H21</t>
  </si>
  <si>
    <t>Platea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</si>
</sst>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5"/>
      <color theme="1"/>
      <name val="Calibri"/>
      <family val="2"/>
    </font>
    <font>
      <b/>
      <sz val="18"/>
      <color theme="0"/>
      <name val="Arial"/>
      <family val="2"/>
    </font>
    <font>
      <sz val="2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8"/>
      <color theme="1"/>
      <name val="Calibri"/>
      <family val="2"/>
    </font>
    <font>
      <b/>
      <sz val="72"/>
      <color theme="1"/>
      <name val="Calibri"/>
      <family val="2"/>
    </font>
    <font>
      <b/>
      <sz val="72"/>
      <color theme="0"/>
      <name val="Calibri"/>
      <family val="2"/>
    </font>
    <font>
      <b/>
      <sz val="28"/>
      <color theme="0"/>
      <name val="Calibri"/>
      <family val="2"/>
    </font>
    <font>
      <b/>
      <sz val="16"/>
      <color theme="1"/>
      <name val="Calibri"/>
      <family val="2"/>
    </font>
    <font>
      <b/>
      <sz val="36"/>
      <color theme="1"/>
      <name val="Calibri"/>
      <family val="2"/>
    </font>
    <font>
      <b/>
      <sz val="36"/>
      <color rgb="FFF4B083"/>
      <name val="Calibri"/>
      <family val="2"/>
    </font>
    <font>
      <b/>
      <sz val="22"/>
      <color theme="1"/>
      <name val="Calibri"/>
      <family val="2"/>
    </font>
    <font>
      <b/>
      <sz val="48"/>
      <color theme="1"/>
      <name val="Calibri"/>
      <family val="2"/>
    </font>
    <font>
      <b/>
      <sz val="48"/>
      <color rgb="FFF4B083"/>
      <name val="Calibri"/>
      <family val="2"/>
    </font>
    <font>
      <b/>
      <sz val="48"/>
      <color rgb="FF2E75B5"/>
      <name val="Arial"/>
      <family val="2"/>
    </font>
    <font>
      <b/>
      <sz val="36"/>
      <color theme="0"/>
      <name val="Calibri"/>
      <family val="2"/>
    </font>
    <font>
      <b/>
      <sz val="28"/>
      <color rgb="FFFF0000"/>
      <name val="Calibri"/>
      <family val="2"/>
    </font>
    <font>
      <b/>
      <sz val="22"/>
      <color rgb="FFFF0000"/>
      <name val="Calibri"/>
      <family val="2"/>
    </font>
    <font>
      <b/>
      <sz val="22"/>
      <color rgb="FFFFFFFF"/>
      <name val="Calibri"/>
      <family val="2"/>
    </font>
    <font>
      <b/>
      <sz val="22"/>
      <color theme="0"/>
      <name val="Calibri"/>
      <family val="2"/>
    </font>
    <font>
      <sz val="11"/>
      <color rgb="FFFFFFFF"/>
      <name val="Calibri"/>
      <family val="2"/>
    </font>
    <font>
      <sz val="48"/>
      <color theme="1"/>
      <name val="Calibri"/>
      <family val="2"/>
    </font>
    <font>
      <b/>
      <sz val="28"/>
      <color theme="1"/>
      <name val="Calibri"/>
      <family val="2"/>
    </font>
    <font>
      <b/>
      <sz val="40"/>
      <color rgb="FFFFFF00"/>
      <name val="Arial"/>
      <family val="2"/>
    </font>
    <font>
      <b/>
      <sz val="48"/>
      <color rgb="FFFFFF00"/>
      <name val="Arial"/>
      <family val="2"/>
    </font>
    <font>
      <sz val="16"/>
      <color theme="1"/>
      <name val="Calibri"/>
      <family val="2"/>
    </font>
    <font>
      <b/>
      <sz val="18"/>
      <color rgb="FF00B0F0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26"/>
      <color rgb="FFFF0000"/>
      <name val="Arial"/>
      <family val="2"/>
    </font>
    <font>
      <b/>
      <sz val="14"/>
      <color rgb="FFFF0000"/>
      <name val="Calibri"/>
      <family val="2"/>
    </font>
    <font>
      <b/>
      <sz val="14"/>
      <color rgb="FF2E75B5"/>
      <name val="Calibri"/>
      <family val="2"/>
    </font>
    <font>
      <b/>
      <sz val="48"/>
      <color rgb="FFFF0000"/>
      <name val="Arial"/>
      <family val="2"/>
    </font>
    <font>
      <sz val="36"/>
      <color theme="1"/>
      <name val="Calibri"/>
      <family val="2"/>
    </font>
    <font>
      <b/>
      <sz val="40"/>
      <color rgb="FFFF0000"/>
      <name val="Arial"/>
      <family val="2"/>
    </font>
    <font>
      <sz val="48"/>
      <color rgb="FFFFFF00"/>
      <name val="Calibri"/>
      <family val="2"/>
    </font>
    <font>
      <b/>
      <sz val="12"/>
      <color rgb="FFC55A11"/>
      <name val="Calibri"/>
      <family val="2"/>
    </font>
    <font>
      <sz val="12"/>
      <color rgb="FFFFFF00"/>
      <name val="Arial"/>
      <family val="2"/>
    </font>
    <font>
      <b/>
      <sz val="48"/>
      <color rgb="FF92D050"/>
      <name val="Arial"/>
      <family val="2"/>
    </font>
    <font>
      <b/>
      <sz val="16"/>
      <color theme="0"/>
      <name val="Calibri"/>
      <family val="2"/>
    </font>
    <font>
      <b/>
      <sz val="18"/>
      <color rgb="FFFF0000"/>
      <name val="Calibri"/>
      <family val="2"/>
    </font>
    <font>
      <b/>
      <sz val="18"/>
      <color rgb="FFFFFF00"/>
      <name val="Calibri"/>
      <family val="2"/>
    </font>
    <font>
      <b/>
      <sz val="18"/>
      <color theme="0"/>
      <name val="Calibri"/>
      <family val="2"/>
    </font>
    <font>
      <b/>
      <sz val="24"/>
      <color rgb="FFC55A11"/>
      <name val="Calibri"/>
      <family val="2"/>
    </font>
    <font>
      <sz val="14"/>
      <color rgb="FFFFFF00"/>
      <name val="Arial"/>
      <family val="2"/>
    </font>
    <font>
      <b/>
      <sz val="14"/>
      <color rgb="FFC55A11"/>
      <name val="Calibri"/>
      <family val="2"/>
    </font>
    <font>
      <b/>
      <sz val="20"/>
      <color theme="1"/>
      <name val="Calibri"/>
      <family val="2"/>
    </font>
    <font>
      <sz val="16"/>
      <color theme="0"/>
      <name val="Calibri"/>
      <family val="2"/>
    </font>
    <font>
      <b/>
      <sz val="14"/>
      <color theme="0"/>
      <name val="Arial"/>
      <family val="2"/>
    </font>
    <font>
      <b/>
      <sz val="14"/>
      <color rgb="FF00B050"/>
      <name val="Calibri"/>
      <family val="2"/>
    </font>
    <font>
      <sz val="14"/>
      <color rgb="FFFF0000"/>
      <name val="Calibri"/>
      <family val="2"/>
    </font>
    <font>
      <b/>
      <sz val="20"/>
      <color rgb="FFFF0000"/>
      <name val="Calibri"/>
      <family val="2"/>
    </font>
    <font>
      <b/>
      <sz val="14"/>
      <color rgb="FF0070C0"/>
      <name val="Calibri"/>
      <family val="2"/>
    </font>
    <font>
      <b/>
      <sz val="24"/>
      <color theme="1"/>
      <name val="Calibri"/>
      <family val="2"/>
    </font>
    <font>
      <b/>
      <sz val="48"/>
      <color theme="0"/>
      <name val="Calibri"/>
      <family val="2"/>
    </font>
    <font>
      <b/>
      <sz val="22"/>
      <color rgb="FFC00000"/>
      <name val="Calibri"/>
      <family val="2"/>
    </font>
    <font>
      <sz val="22"/>
      <color rgb="FFFF0000"/>
      <name val="Calibri"/>
      <family val="2"/>
    </font>
    <font>
      <b/>
      <sz val="11"/>
      <color rgb="FFD05050"/>
      <name val="Calibri"/>
      <family val="2"/>
    </font>
    <font>
      <b/>
      <sz val="11"/>
      <color rgb="FFFF0000"/>
      <name val="Calibri"/>
      <family val="2"/>
    </font>
    <font>
      <b/>
      <sz val="8"/>
      <color rgb="FFD05050"/>
      <name val="Calibri"/>
      <family val="2"/>
    </font>
    <font>
      <b/>
      <sz val="11"/>
      <color rgb="FFFF6699"/>
      <name val="Calibri"/>
      <family val="2"/>
    </font>
    <font>
      <b/>
      <sz val="11"/>
      <color rgb="FFFF9900"/>
      <name val="Calibri"/>
      <family val="2"/>
    </font>
    <font>
      <b/>
      <sz val="11"/>
      <color theme="0"/>
      <name val="Calibri"/>
      <family val="2"/>
    </font>
    <font>
      <b/>
      <sz val="8"/>
      <color theme="1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0"/>
      <color theme="0"/>
      <name val="Calibri"/>
      <family val="2"/>
    </font>
    <font>
      <b/>
      <sz val="11"/>
      <color rgb="FFC00000"/>
      <name val="Calibri"/>
      <family val="2"/>
    </font>
    <font>
      <b/>
      <sz val="28"/>
      <color rgb="FFF2F2F2"/>
      <name val="Calibri"/>
      <family val="2"/>
    </font>
    <font>
      <b/>
      <sz val="18"/>
      <color rgb="FFFFFFFF"/>
      <name val="Calibri"/>
      <family val="2"/>
    </font>
    <font>
      <sz val="20"/>
      <color theme="1"/>
      <name val="Calibri"/>
      <family val="2"/>
    </font>
    <font>
      <b/>
      <sz val="11"/>
      <color rgb="FF548135"/>
      <name val="Calibri"/>
      <family val="2"/>
    </font>
    <font>
      <sz val="11"/>
      <color rgb="FFC00000"/>
      <name val="Calibri"/>
      <family val="2"/>
    </font>
    <font>
      <b/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27"/>
      <color theme="0"/>
      <name val="Calibri"/>
      <family val="2"/>
    </font>
    <font>
      <sz val="13"/>
      <color theme="1"/>
      <name val="Calibri"/>
      <family val="2"/>
    </font>
    <font>
      <sz val="14"/>
      <color theme="1"/>
      <name val="Calibri"/>
      <family val="2"/>
    </font>
    <font>
      <b/>
      <sz val="13"/>
      <color theme="1"/>
      <name val="Calibri"/>
      <family val="2"/>
    </font>
    <font>
      <sz val="10"/>
      <color theme="1"/>
      <name val="Calibri"/>
      <family val="2"/>
    </font>
    <font>
      <b/>
      <sz val="20"/>
      <color theme="0"/>
      <name val="Calibri"/>
      <family val="2"/>
    </font>
    <font>
      <b/>
      <sz val="28"/>
      <color theme="7"/>
      <name val="Calibri"/>
      <family val="2"/>
    </font>
    <font>
      <b/>
      <sz val="12"/>
      <color rgb="FFFFFF00"/>
      <name val="Calibri"/>
      <family val="2"/>
    </font>
    <font>
      <b/>
      <sz val="24"/>
      <color rgb="FFFFFF00"/>
      <name val="Calibri"/>
      <family val="2"/>
    </font>
    <font>
      <b/>
      <sz val="26"/>
      <color rgb="FFFF0000"/>
      <name val="Calibri"/>
      <family val="2"/>
    </font>
    <font>
      <sz val="14"/>
      <color theme="0"/>
      <name val="Calibri"/>
      <family val="2"/>
    </font>
    <font>
      <sz val="16"/>
      <color rgb="FF1E4E79"/>
      <name val="Calibri"/>
      <family val="2"/>
    </font>
    <font>
      <b/>
      <sz val="14"/>
      <color rgb="FFFFFF00"/>
      <name val="Calibri"/>
      <family val="2"/>
    </font>
    <font>
      <b/>
      <sz val="11"/>
      <color rgb="FFFFFF00"/>
      <name val="Calibri"/>
      <family val="2"/>
    </font>
    <font>
      <b/>
      <sz val="8"/>
      <color rgb="FF1E4E79"/>
      <name val="Calibri"/>
      <family val="2"/>
    </font>
    <font>
      <b/>
      <sz val="12"/>
      <color rgb="FF1E4E79"/>
      <name val="Calibri"/>
      <family val="2"/>
    </font>
    <font>
      <b/>
      <sz val="12"/>
      <color rgb="FFFFD965"/>
      <name val="Calibri"/>
      <family val="2"/>
    </font>
    <font>
      <b/>
      <sz val="12"/>
      <color rgb="FFE59F9F"/>
      <name val="Calibri"/>
      <family val="2"/>
    </font>
    <font>
      <b/>
      <sz val="12"/>
      <color rgb="FFC00000"/>
      <name val="Calibri"/>
      <family val="2"/>
    </font>
    <font>
      <b/>
      <sz val="12"/>
      <color rgb="FFFFC000"/>
      <name val="Calibri"/>
      <family val="2"/>
    </font>
    <font>
      <b/>
      <sz val="14"/>
      <color rgb="FFC00000"/>
      <name val="Calibri"/>
      <family val="2"/>
    </font>
    <font>
      <b/>
      <sz val="11"/>
      <color rgb="FF1E4E79"/>
      <name val="Calibri"/>
      <family val="2"/>
    </font>
    <font>
      <sz val="13"/>
      <color rgb="FFF4CCCC"/>
      <name val="Calibri"/>
      <family val="2"/>
    </font>
    <font>
      <b/>
      <sz val="13"/>
      <color rgb="FFE06666"/>
      <name val="Calibri"/>
      <family val="2"/>
    </font>
    <font>
      <b/>
      <sz val="11"/>
      <color rgb="FFE06666"/>
      <name val="Calibri"/>
      <family val="2"/>
    </font>
    <font>
      <sz val="11"/>
      <color rgb="FF548135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B050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7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385623"/>
        <bgColor rgb="FF385623"/>
      </patternFill>
    </fill>
    <fill>
      <patternFill patternType="solid">
        <fgColor rgb="FFC55A11"/>
        <bgColor rgb="FFC55A11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ADADA"/>
        <bgColor rgb="FFDADADA"/>
      </patternFill>
    </fill>
    <fill>
      <patternFill patternType="solid">
        <fgColor rgb="FF7B7B7B"/>
        <bgColor rgb="FF7B7B7B"/>
      </patternFill>
    </fill>
    <fill>
      <patternFill patternType="solid">
        <fgColor rgb="FF3F3F3F"/>
        <bgColor rgb="FF3F3F3F"/>
      </patternFill>
    </fill>
    <fill>
      <patternFill patternType="solid">
        <fgColor rgb="FFBFBFBF"/>
        <bgColor rgb="FFBFBFBF"/>
      </patternFill>
    </fill>
    <fill>
      <patternFill patternType="solid">
        <fgColor rgb="FFE8BAD8"/>
        <bgColor rgb="FFE8BAD8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D05050"/>
        <bgColor rgb="FFD05050"/>
      </patternFill>
    </fill>
    <fill>
      <patternFill patternType="solid">
        <fgColor rgb="FFE59F9F"/>
        <bgColor rgb="FFE59F9F"/>
      </patternFill>
    </fill>
    <fill>
      <patternFill patternType="solid">
        <fgColor rgb="FFFFD965"/>
        <bgColor rgb="FFFFD965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  <fill>
      <patternFill patternType="solid">
        <fgColor rgb="FF595959"/>
        <bgColor rgb="FF595959"/>
      </patternFill>
    </fill>
    <fill>
      <patternFill patternType="solid">
        <fgColor theme="1"/>
        <bgColor theme="1"/>
      </patternFill>
    </fill>
    <fill>
      <patternFill patternType="solid">
        <fgColor rgb="FF7D9042"/>
        <bgColor rgb="FF7D9042"/>
      </patternFill>
    </fill>
    <fill>
      <patternFill patternType="solid">
        <fgColor rgb="FF2E75B5"/>
        <bgColor rgb="FF2E75B5"/>
      </patternFill>
    </fill>
    <fill>
      <patternFill patternType="solid">
        <fgColor rgb="FFCAD9AF"/>
        <bgColor rgb="FFCAD9AF"/>
      </patternFill>
    </fill>
    <fill>
      <patternFill patternType="solid">
        <fgColor rgb="FF0C0C0C"/>
        <bgColor rgb="FF0C0C0C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548135"/>
        <bgColor rgb="FF548135"/>
      </patternFill>
    </fill>
    <fill>
      <patternFill patternType="solid">
        <fgColor rgb="FFC00000"/>
        <bgColor rgb="FFC00000"/>
      </patternFill>
    </fill>
    <fill>
      <patternFill patternType="solid">
        <fgColor rgb="FFFEF2CB"/>
        <bgColor rgb="FFFEF2CB"/>
      </patternFill>
    </fill>
    <fill>
      <patternFill patternType="solid">
        <fgColor theme="7"/>
        <bgColor theme="7"/>
      </patternFill>
    </fill>
    <fill>
      <patternFill patternType="solid">
        <fgColor rgb="FFFF6699"/>
        <bgColor rgb="FFFF6699"/>
      </patternFill>
    </fill>
    <fill>
      <patternFill patternType="solid">
        <fgColor rgb="FFCB63A6"/>
        <bgColor rgb="FFCB63A6"/>
      </patternFill>
    </fill>
    <fill>
      <patternFill patternType="solid">
        <fgColor rgb="FF7030A0"/>
        <bgColor rgb="FF7030A0"/>
      </patternFill>
    </fill>
    <fill>
      <patternFill patternType="solid">
        <fgColor rgb="FF002060"/>
        <bgColor rgb="FF002060"/>
      </patternFill>
    </fill>
    <fill>
      <patternFill patternType="solid">
        <fgColor rgb="FF1E4E79"/>
        <bgColor rgb="FF1E4E79"/>
      </patternFill>
    </fill>
    <fill>
      <patternFill patternType="solid">
        <fgColor rgb="FF7F6000"/>
        <bgColor rgb="FF7F6000"/>
      </patternFill>
    </fill>
    <fill>
      <patternFill patternType="solid">
        <fgColor rgb="FF8EAADB"/>
        <bgColor rgb="FF8EAADB"/>
      </patternFill>
    </fill>
    <fill>
      <patternFill patternType="solid">
        <fgColor rgb="FF6AA84F"/>
        <bgColor rgb="FF6AA84F"/>
      </patternFill>
    </fill>
    <fill>
      <patternFill patternType="solid">
        <fgColor rgb="FF9F4233"/>
        <bgColor rgb="FF9F4233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D35F5F"/>
        <bgColor rgb="FFD35F5F"/>
      </patternFill>
    </fill>
    <fill>
      <patternFill patternType="solid">
        <fgColor rgb="FFE2EFD9"/>
        <bgColor rgb="FFE2EFD9"/>
      </patternFill>
    </fill>
    <fill>
      <patternFill patternType="solid">
        <fgColor rgb="FFADB9CA"/>
        <bgColor rgb="FFADB9CA"/>
      </patternFill>
    </fill>
    <fill>
      <patternFill patternType="solid">
        <fgColor rgb="FFDDEBF3"/>
        <bgColor rgb="FFDDEBF3"/>
      </patternFill>
    </fill>
    <fill>
      <patternFill patternType="solid">
        <fgColor rgb="FFD2EB15"/>
        <bgColor rgb="FFD2EB15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FFF2CB"/>
        <bgColor rgb="FFFFF2CB"/>
      </patternFill>
    </fill>
    <fill>
      <patternFill patternType="solid">
        <fgColor rgb="FFCFADAE"/>
        <bgColor rgb="FFCFADAE"/>
      </patternFill>
    </fill>
    <fill>
      <patternFill patternType="solid">
        <fgColor rgb="FFFBE5D5"/>
        <bgColor rgb="FFFBE5D5"/>
      </patternFill>
    </fill>
    <fill>
      <patternFill patternType="solid">
        <fgColor rgb="FFF7CBAC"/>
        <bgColor rgb="FFF7CBAC"/>
      </patternFill>
    </fill>
    <fill>
      <patternFill patternType="solid">
        <fgColor rgb="FFDE5F5F"/>
        <bgColor rgb="FFDE5F5F"/>
      </patternFill>
    </fill>
    <fill>
      <patternFill patternType="solid">
        <fgColor rgb="FFFFA5A5"/>
        <bgColor rgb="FFFFA5A5"/>
      </patternFill>
    </fill>
    <fill>
      <patternFill patternType="solid">
        <fgColor rgb="FFF7D6E3"/>
        <bgColor rgb="FFF7D6E3"/>
      </patternFill>
    </fill>
    <fill>
      <patternFill patternType="solid">
        <fgColor rgb="FFD6DCE4"/>
        <bgColor rgb="FFD6DCE4"/>
      </patternFill>
    </fill>
    <fill>
      <patternFill patternType="solid">
        <fgColor rgb="FF0070C0"/>
        <bgColor rgb="FFA5A5A5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rgb="FFA8D08D"/>
      </patternFill>
    </fill>
    <fill>
      <patternFill patternType="solid">
        <fgColor rgb="FF0070C0"/>
        <bgColor rgb="FFA8D08D"/>
      </patternFill>
    </fill>
    <fill>
      <patternFill patternType="solid">
        <fgColor theme="9" tint="-0.499984740745262"/>
        <bgColor rgb="FFA8D08D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9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9F4233"/>
      </left>
      <right style="thin">
        <color rgb="FF000000"/>
      </right>
      <top style="medium">
        <color rgb="FF9F4233"/>
      </top>
      <bottom style="medium">
        <color rgb="FF9F4233"/>
      </bottom>
      <diagonal/>
    </border>
    <border>
      <left style="thin">
        <color rgb="FF000000"/>
      </left>
      <right/>
      <top style="medium">
        <color rgb="FF9F4233"/>
      </top>
      <bottom style="medium">
        <color rgb="FF9F4233"/>
      </bottom>
      <diagonal/>
    </border>
    <border>
      <left/>
      <right style="thin">
        <color rgb="FF000000"/>
      </right>
      <top style="medium">
        <color rgb="FF9F4233"/>
      </top>
      <bottom style="medium">
        <color rgb="FF9F4233"/>
      </bottom>
      <diagonal/>
    </border>
    <border>
      <left/>
      <right/>
      <top style="medium">
        <color rgb="FF9F4233"/>
      </top>
      <bottom style="medium">
        <color rgb="FF9F4233"/>
      </bottom>
      <diagonal/>
    </border>
    <border>
      <left style="thin">
        <color rgb="FF000000"/>
      </left>
      <right style="thin">
        <color rgb="FF000000"/>
      </right>
      <top style="medium">
        <color rgb="FF9F4233"/>
      </top>
      <bottom style="medium">
        <color rgb="FF9F4233"/>
      </bottom>
      <diagonal/>
    </border>
    <border>
      <left/>
      <right/>
      <top style="medium">
        <color rgb="FF9F4233"/>
      </top>
      <bottom style="medium">
        <color rgb="FF9F4233"/>
      </bottom>
      <diagonal/>
    </border>
    <border>
      <left/>
      <right/>
      <top style="medium">
        <color rgb="FF9F4233"/>
      </top>
      <bottom style="medium">
        <color rgb="FF9F4233"/>
      </bottom>
      <diagonal/>
    </border>
    <border>
      <left/>
      <right/>
      <top style="medium">
        <color rgb="FF9F4233"/>
      </top>
      <bottom style="medium">
        <color rgb="FF9F4233"/>
      </bottom>
      <diagonal/>
    </border>
    <border>
      <left style="medium">
        <color rgb="FF9F4233"/>
      </left>
      <right/>
      <top style="medium">
        <color rgb="FF9F4233"/>
      </top>
      <bottom style="medium">
        <color rgb="FF9F4233"/>
      </bottom>
      <diagonal/>
    </border>
    <border>
      <left/>
      <right style="medium">
        <color rgb="FF9F4233"/>
      </right>
      <top style="medium">
        <color rgb="FF9F4233"/>
      </top>
      <bottom style="medium">
        <color rgb="FF9F423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14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14" fontId="4" fillId="9" borderId="9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19" borderId="13" xfId="0" applyFont="1" applyFill="1" applyBorder="1" applyAlignment="1">
      <alignment vertical="center"/>
    </xf>
    <xf numFmtId="0" fontId="14" fillId="19" borderId="50" xfId="0" applyFont="1" applyFill="1" applyBorder="1" applyAlignment="1">
      <alignment vertical="center" wrapText="1"/>
    </xf>
    <xf numFmtId="0" fontId="12" fillId="0" borderId="47" xfId="0" applyFont="1" applyBorder="1" applyAlignment="1">
      <alignment vertical="center"/>
    </xf>
    <xf numFmtId="0" fontId="4" fillId="0" borderId="21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6" fillId="21" borderId="1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8" fillId="21" borderId="9" xfId="0" applyFont="1" applyFill="1" applyBorder="1" applyAlignment="1">
      <alignment vertical="center" wrapText="1"/>
    </xf>
    <xf numFmtId="0" fontId="18" fillId="22" borderId="9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7" fillId="13" borderId="9" xfId="0" applyFont="1" applyFill="1" applyBorder="1" applyAlignment="1">
      <alignment vertical="center"/>
    </xf>
    <xf numFmtId="0" fontId="8" fillId="14" borderId="9" xfId="0" applyFont="1" applyFill="1" applyBorder="1" applyAlignment="1">
      <alignment vertical="center" wrapText="1"/>
    </xf>
    <xf numFmtId="0" fontId="7" fillId="13" borderId="59" xfId="0" applyFont="1" applyFill="1" applyBorder="1" applyAlignment="1">
      <alignment vertical="center"/>
    </xf>
    <xf numFmtId="0" fontId="7" fillId="13" borderId="9" xfId="0" applyFont="1" applyFill="1" applyBorder="1" applyAlignment="1">
      <alignment horizontal="center" vertical="center"/>
    </xf>
    <xf numFmtId="0" fontId="8" fillId="14" borderId="63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71" xfId="0" applyFont="1" applyBorder="1" applyAlignment="1">
      <alignment vertical="center"/>
    </xf>
    <xf numFmtId="0" fontId="5" fillId="25" borderId="1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7" fillId="12" borderId="9" xfId="0" applyFont="1" applyFill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8" fillId="0" borderId="75" xfId="0" applyFont="1" applyBorder="1" applyAlignment="1">
      <alignment vertical="center"/>
    </xf>
    <xf numFmtId="0" fontId="28" fillId="0" borderId="75" xfId="0" applyFont="1" applyBorder="1" applyAlignment="1">
      <alignment horizontal="center" vertical="center"/>
    </xf>
    <xf numFmtId="0" fontId="28" fillId="0" borderId="75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31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vertical="center"/>
    </xf>
    <xf numFmtId="0" fontId="28" fillId="0" borderId="76" xfId="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3" fillId="24" borderId="78" xfId="0" applyFont="1" applyFill="1" applyBorder="1" applyAlignment="1">
      <alignment horizontal="center" vertical="center"/>
    </xf>
    <xf numFmtId="0" fontId="5" fillId="0" borderId="79" xfId="0" applyFont="1" applyBorder="1" applyAlignment="1">
      <alignment vertical="center"/>
    </xf>
    <xf numFmtId="0" fontId="5" fillId="29" borderId="78" xfId="0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5" fillId="29" borderId="13" xfId="0" applyFont="1" applyFill="1" applyBorder="1" applyAlignment="1">
      <alignment vertical="center"/>
    </xf>
    <xf numFmtId="0" fontId="34" fillId="0" borderId="0" xfId="0" applyFont="1" applyAlignment="1">
      <alignment vertical="center" wrapText="1"/>
    </xf>
    <xf numFmtId="0" fontId="35" fillId="30" borderId="13" xfId="0" applyFont="1" applyFill="1" applyBorder="1" applyAlignment="1">
      <alignment horizontal="center" vertical="center" wrapText="1"/>
    </xf>
    <xf numFmtId="0" fontId="35" fillId="30" borderId="13" xfId="0" applyFont="1" applyFill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9" fillId="0" borderId="44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5" fillId="29" borderId="13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35" fillId="4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5" borderId="13" xfId="0" applyFont="1" applyFill="1" applyBorder="1" applyAlignment="1">
      <alignment vertical="center"/>
    </xf>
    <xf numFmtId="0" fontId="35" fillId="31" borderId="13" xfId="0" applyFont="1" applyFill="1" applyBorder="1" applyAlignment="1">
      <alignment horizontal="center" vertical="center" wrapText="1"/>
    </xf>
    <xf numFmtId="0" fontId="32" fillId="0" borderId="82" xfId="0" applyFont="1" applyBorder="1" applyAlignment="1">
      <alignment horizontal="center" vertical="center" wrapText="1"/>
    </xf>
    <xf numFmtId="0" fontId="2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7" xfId="0" applyFont="1" applyBorder="1" applyAlignment="1">
      <alignment vertical="center" wrapText="1"/>
    </xf>
    <xf numFmtId="0" fontId="35" fillId="32" borderId="85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28" fillId="0" borderId="75" xfId="0" applyFont="1" applyBorder="1" applyAlignment="1">
      <alignment vertical="center" wrapText="1"/>
    </xf>
    <xf numFmtId="0" fontId="41" fillId="0" borderId="75" xfId="0" applyFont="1" applyBorder="1" applyAlignment="1">
      <alignment vertical="center"/>
    </xf>
    <xf numFmtId="0" fontId="34" fillId="0" borderId="0" xfId="0" applyFont="1" applyAlignment="1">
      <alignment horizontal="center" vertical="center" wrapText="1"/>
    </xf>
    <xf numFmtId="0" fontId="35" fillId="25" borderId="13" xfId="0" applyFont="1" applyFill="1" applyBorder="1" applyAlignment="1">
      <alignment vertical="center" wrapText="1"/>
    </xf>
    <xf numFmtId="0" fontId="2" fillId="18" borderId="13" xfId="0" applyFont="1" applyFill="1" applyBorder="1" applyAlignment="1">
      <alignment horizontal="center" vertical="center" wrapText="1"/>
    </xf>
    <xf numFmtId="0" fontId="2" fillId="25" borderId="85" xfId="0" applyFont="1" applyFill="1" applyBorder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8" fillId="25" borderId="4" xfId="0" applyFont="1" applyFill="1" applyBorder="1" applyAlignment="1">
      <alignment vertical="center"/>
    </xf>
    <xf numFmtId="0" fontId="35" fillId="0" borderId="44" xfId="0" applyFont="1" applyBorder="1" applyAlignment="1">
      <alignment horizontal="center" vertical="center" wrapText="1"/>
    </xf>
    <xf numFmtId="0" fontId="36" fillId="9" borderId="13" xfId="0" applyFont="1" applyFill="1" applyBorder="1" applyAlignment="1">
      <alignment vertical="center"/>
    </xf>
    <xf numFmtId="0" fontId="28" fillId="25" borderId="13" xfId="0" applyFont="1" applyFill="1" applyBorder="1" applyAlignment="1">
      <alignment vertical="center"/>
    </xf>
    <xf numFmtId="0" fontId="5" fillId="0" borderId="47" xfId="0" applyFont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35" fillId="30" borderId="40" xfId="0" applyFont="1" applyFill="1" applyBorder="1" applyAlignment="1">
      <alignment horizontal="center" vertical="center" wrapText="1"/>
    </xf>
    <xf numFmtId="0" fontId="35" fillId="0" borderId="75" xfId="0" applyFont="1" applyBorder="1" applyAlignment="1">
      <alignment vertical="center"/>
    </xf>
    <xf numFmtId="0" fontId="35" fillId="30" borderId="92" xfId="0" applyFont="1" applyFill="1" applyBorder="1" applyAlignment="1">
      <alignment vertical="center" wrapText="1"/>
    </xf>
    <xf numFmtId="0" fontId="35" fillId="0" borderId="75" xfId="0" applyFont="1" applyBorder="1" applyAlignment="1">
      <alignment vertical="center" wrapText="1"/>
    </xf>
    <xf numFmtId="0" fontId="9" fillId="0" borderId="75" xfId="0" applyFont="1" applyBorder="1" applyAlignment="1">
      <alignment vertical="center"/>
    </xf>
    <xf numFmtId="0" fontId="9" fillId="0" borderId="76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5" fillId="31" borderId="93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75" xfId="0" applyFont="1" applyBorder="1" applyAlignment="1">
      <alignment vertical="center" wrapText="1"/>
    </xf>
    <xf numFmtId="0" fontId="5" fillId="0" borderId="94" xfId="0" applyFont="1" applyBorder="1" applyAlignment="1">
      <alignment vertical="center"/>
    </xf>
    <xf numFmtId="0" fontId="5" fillId="0" borderId="76" xfId="0" applyFont="1" applyBorder="1" applyAlignment="1">
      <alignment vertical="center"/>
    </xf>
    <xf numFmtId="0" fontId="2" fillId="17" borderId="13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vertical="center"/>
    </xf>
    <xf numFmtId="0" fontId="35" fillId="18" borderId="13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32" fillId="0" borderId="75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 wrapText="1"/>
    </xf>
    <xf numFmtId="0" fontId="32" fillId="0" borderId="75" xfId="0" applyFont="1" applyBorder="1" applyAlignment="1">
      <alignment vertical="center"/>
    </xf>
    <xf numFmtId="0" fontId="2" fillId="0" borderId="75" xfId="0" applyFont="1" applyBorder="1" applyAlignment="1">
      <alignment vertical="center"/>
    </xf>
    <xf numFmtId="0" fontId="2" fillId="22" borderId="4" xfId="0" applyFont="1" applyFill="1" applyBorder="1" applyAlignment="1">
      <alignment vertical="center" wrapText="1"/>
    </xf>
    <xf numFmtId="0" fontId="2" fillId="0" borderId="76" xfId="0" applyFont="1" applyBorder="1" applyAlignment="1">
      <alignment vertical="center"/>
    </xf>
    <xf numFmtId="0" fontId="36" fillId="13" borderId="13" xfId="0" applyFont="1" applyFill="1" applyBorder="1" applyAlignment="1">
      <alignment vertical="center"/>
    </xf>
    <xf numFmtId="0" fontId="39" fillId="30" borderId="13" xfId="0" applyFont="1" applyFill="1" applyBorder="1" applyAlignment="1">
      <alignment vertical="center" wrapText="1"/>
    </xf>
    <xf numFmtId="0" fontId="2" fillId="17" borderId="13" xfId="0" applyFont="1" applyFill="1" applyBorder="1" applyAlignment="1">
      <alignment vertical="center" wrapText="1"/>
    </xf>
    <xf numFmtId="0" fontId="32" fillId="18" borderId="82" xfId="0" applyFont="1" applyFill="1" applyBorder="1" applyAlignment="1">
      <alignment horizontal="center" vertical="center" wrapText="1"/>
    </xf>
    <xf numFmtId="0" fontId="32" fillId="18" borderId="96" xfId="0" applyFont="1" applyFill="1" applyBorder="1" applyAlignment="1">
      <alignment horizontal="center" vertical="center" wrapText="1"/>
    </xf>
    <xf numFmtId="0" fontId="48" fillId="18" borderId="13" xfId="0" applyFont="1" applyFill="1" applyBorder="1" applyAlignment="1">
      <alignment horizontal="center" vertical="center"/>
    </xf>
    <xf numFmtId="0" fontId="49" fillId="18" borderId="13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47" xfId="0" applyFont="1" applyBorder="1" applyAlignment="1">
      <alignment vertical="center"/>
    </xf>
    <xf numFmtId="0" fontId="32" fillId="0" borderId="47" xfId="0" applyFont="1" applyBorder="1" applyAlignment="1">
      <alignment horizontal="center" vertical="center"/>
    </xf>
    <xf numFmtId="0" fontId="2" fillId="17" borderId="85" xfId="0" applyFont="1" applyFill="1" applyBorder="1" applyAlignment="1">
      <alignment vertical="center" wrapText="1"/>
    </xf>
    <xf numFmtId="0" fontId="2" fillId="0" borderId="48" xfId="0" applyFont="1" applyBorder="1" applyAlignment="1">
      <alignment vertical="center"/>
    </xf>
    <xf numFmtId="0" fontId="29" fillId="0" borderId="0" xfId="0" applyFont="1" applyAlignment="1">
      <alignment vertical="center" textRotation="90"/>
    </xf>
    <xf numFmtId="0" fontId="32" fillId="0" borderId="75" xfId="0" applyFont="1" applyBorder="1" applyAlignment="1">
      <alignment vertical="center" wrapText="1"/>
    </xf>
    <xf numFmtId="0" fontId="2" fillId="22" borderId="4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14" fillId="19" borderId="98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29" fillId="0" borderId="75" xfId="0" applyFont="1" applyBorder="1" applyAlignment="1">
      <alignment horizontal="center" vertical="center" textRotation="90"/>
    </xf>
    <xf numFmtId="0" fontId="34" fillId="30" borderId="40" xfId="0" applyFont="1" applyFill="1" applyBorder="1" applyAlignment="1">
      <alignment horizontal="center" vertical="center" wrapText="1"/>
    </xf>
    <xf numFmtId="0" fontId="34" fillId="30" borderId="92" xfId="0" applyFont="1" applyFill="1" applyBorder="1" applyAlignment="1">
      <alignment vertical="center" wrapText="1"/>
    </xf>
    <xf numFmtId="0" fontId="29" fillId="0" borderId="0" xfId="0" applyFont="1" applyAlignment="1">
      <alignment horizontal="center" vertical="center" textRotation="90"/>
    </xf>
    <xf numFmtId="0" fontId="50" fillId="27" borderId="99" xfId="0" applyFont="1" applyFill="1" applyBorder="1" applyAlignment="1">
      <alignment horizontal="center" vertical="center"/>
    </xf>
    <xf numFmtId="0" fontId="34" fillId="31" borderId="9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50" fillId="34" borderId="99" xfId="0" applyFont="1" applyFill="1" applyBorder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3" fillId="0" borderId="44" xfId="0" applyFont="1" applyBorder="1" applyAlignment="1">
      <alignment vertical="center" wrapText="1"/>
    </xf>
    <xf numFmtId="0" fontId="36" fillId="0" borderId="0" xfId="0" applyFont="1" applyAlignment="1">
      <alignment horizontal="center" vertical="center"/>
    </xf>
    <xf numFmtId="0" fontId="54" fillId="4" borderId="13" xfId="0" applyFont="1" applyFill="1" applyBorder="1" applyAlignment="1">
      <alignment horizontal="center" vertical="center"/>
    </xf>
    <xf numFmtId="0" fontId="34" fillId="31" borderId="93" xfId="0" applyFont="1" applyFill="1" applyBorder="1" applyAlignment="1">
      <alignment horizontal="center" vertical="center" wrapText="1"/>
    </xf>
    <xf numFmtId="0" fontId="50" fillId="27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0" fillId="22" borderId="13" xfId="0" applyFont="1" applyFill="1" applyBorder="1" applyAlignment="1">
      <alignment horizontal="center" vertical="center"/>
    </xf>
    <xf numFmtId="0" fontId="2" fillId="22" borderId="13" xfId="0" applyFont="1" applyFill="1" applyBorder="1" applyAlignment="1">
      <alignment vertical="center" wrapText="1"/>
    </xf>
    <xf numFmtId="0" fontId="55" fillId="35" borderId="8" xfId="0" applyFont="1" applyFill="1" applyBorder="1" applyAlignment="1">
      <alignment horizontal="center" vertical="center" wrapText="1"/>
    </xf>
    <xf numFmtId="0" fontId="56" fillId="13" borderId="102" xfId="0" applyFont="1" applyFill="1" applyBorder="1" applyAlignment="1">
      <alignment vertical="center"/>
    </xf>
    <xf numFmtId="0" fontId="2" fillId="14" borderId="102" xfId="0" applyFont="1" applyFill="1" applyBorder="1" applyAlignment="1">
      <alignment vertical="center" wrapText="1"/>
    </xf>
    <xf numFmtId="0" fontId="2" fillId="14" borderId="9" xfId="0" applyFont="1" applyFill="1" applyBorder="1" applyAlignment="1">
      <alignment vertical="center" wrapText="1"/>
    </xf>
    <xf numFmtId="0" fontId="32" fillId="23" borderId="98" xfId="0" applyFont="1" applyFill="1" applyBorder="1" applyAlignment="1">
      <alignment horizontal="center" vertical="center" wrapText="1"/>
    </xf>
    <xf numFmtId="0" fontId="32" fillId="23" borderId="98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38" fillId="21" borderId="9" xfId="0" applyFont="1" applyFill="1" applyBorder="1" applyAlignment="1">
      <alignment horizontal="center" vertical="center" wrapText="1"/>
    </xf>
    <xf numFmtId="0" fontId="57" fillId="36" borderId="102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32" fillId="0" borderId="9" xfId="0" applyFont="1" applyBorder="1" applyAlignment="1">
      <alignment horizontal="center" vertical="center"/>
    </xf>
    <xf numFmtId="0" fontId="32" fillId="37" borderId="103" xfId="0" applyFont="1" applyFill="1" applyBorder="1" applyAlignment="1">
      <alignment horizontal="center" vertical="center" wrapText="1"/>
    </xf>
    <xf numFmtId="0" fontId="36" fillId="16" borderId="102" xfId="0" applyFont="1" applyFill="1" applyBorder="1" applyAlignment="1">
      <alignment vertical="center" wrapText="1"/>
    </xf>
    <xf numFmtId="0" fontId="5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58" fillId="3" borderId="13" xfId="0" applyFont="1" applyFill="1" applyBorder="1" applyAlignment="1">
      <alignment vertical="center" wrapText="1"/>
    </xf>
    <xf numFmtId="0" fontId="36" fillId="13" borderId="9" xfId="0" applyFont="1" applyFill="1" applyBorder="1" applyAlignment="1">
      <alignment horizontal="center" vertical="center"/>
    </xf>
    <xf numFmtId="0" fontId="36" fillId="13" borderId="102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 wrapText="1"/>
    </xf>
    <xf numFmtId="0" fontId="2" fillId="14" borderId="102" xfId="0" applyFont="1" applyFill="1" applyBorder="1" applyAlignment="1">
      <alignment horizontal="center" vertical="center" wrapText="1"/>
    </xf>
    <xf numFmtId="0" fontId="2" fillId="14" borderId="104" xfId="0" applyFont="1" applyFill="1" applyBorder="1" applyAlignment="1">
      <alignment vertical="center" wrapText="1"/>
    </xf>
    <xf numFmtId="0" fontId="38" fillId="0" borderId="0" xfId="0" applyFont="1" applyAlignment="1">
      <alignment horizontal="center" vertical="center" wrapText="1"/>
    </xf>
    <xf numFmtId="0" fontId="32" fillId="38" borderId="105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vertical="center" wrapText="1"/>
    </xf>
    <xf numFmtId="0" fontId="2" fillId="17" borderId="40" xfId="0" applyFont="1" applyFill="1" applyBorder="1" applyAlignment="1">
      <alignment horizontal="center" vertical="center"/>
    </xf>
    <xf numFmtId="0" fontId="36" fillId="16" borderId="9" xfId="0" applyFont="1" applyFill="1" applyBorder="1" applyAlignment="1">
      <alignment horizontal="center" vertical="center" wrapText="1"/>
    </xf>
    <xf numFmtId="0" fontId="36" fillId="16" borderId="102" xfId="0" applyFont="1" applyFill="1" applyBorder="1" applyAlignment="1">
      <alignment horizontal="center" vertical="center" wrapText="1"/>
    </xf>
    <xf numFmtId="0" fontId="2" fillId="17" borderId="93" xfId="0" applyFont="1" applyFill="1" applyBorder="1" applyAlignment="1">
      <alignment horizontal="center" vertical="center" wrapText="1"/>
    </xf>
    <xf numFmtId="0" fontId="2" fillId="38" borderId="105" xfId="0" applyFont="1" applyFill="1" applyBorder="1" applyAlignment="1">
      <alignment horizontal="center" vertical="center"/>
    </xf>
    <xf numFmtId="0" fontId="36" fillId="13" borderId="13" xfId="0" applyFont="1" applyFill="1" applyBorder="1" applyAlignment="1">
      <alignment horizontal="center" vertical="center"/>
    </xf>
    <xf numFmtId="0" fontId="2" fillId="18" borderId="82" xfId="0" applyFont="1" applyFill="1" applyBorder="1" applyAlignment="1">
      <alignment horizontal="center" vertical="center" wrapText="1"/>
    </xf>
    <xf numFmtId="0" fontId="2" fillId="18" borderId="110" xfId="0" applyFont="1" applyFill="1" applyBorder="1" applyAlignment="1">
      <alignment horizontal="center" vertical="center" wrapText="1"/>
    </xf>
    <xf numFmtId="0" fontId="2" fillId="18" borderId="111" xfId="0" applyFont="1" applyFill="1" applyBorder="1" applyAlignment="1">
      <alignment horizontal="center" vertical="center" wrapText="1"/>
    </xf>
    <xf numFmtId="0" fontId="2" fillId="18" borderId="103" xfId="0" applyFont="1" applyFill="1" applyBorder="1" applyAlignment="1">
      <alignment vertical="center" wrapText="1"/>
    </xf>
    <xf numFmtId="0" fontId="60" fillId="0" borderId="0" xfId="0" applyFont="1" applyAlignment="1">
      <alignment vertical="center"/>
    </xf>
    <xf numFmtId="0" fontId="2" fillId="18" borderId="115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36" fillId="13" borderId="117" xfId="0" applyFont="1" applyFill="1" applyBorder="1" applyAlignment="1">
      <alignment horizontal="center" vertical="center"/>
    </xf>
    <xf numFmtId="0" fontId="2" fillId="17" borderId="117" xfId="0" applyFont="1" applyFill="1" applyBorder="1" applyAlignment="1">
      <alignment horizontal="center" vertical="center" wrapText="1"/>
    </xf>
    <xf numFmtId="0" fontId="49" fillId="18" borderId="9" xfId="0" applyFont="1" applyFill="1" applyBorder="1" applyAlignment="1">
      <alignment horizontal="center" vertical="center"/>
    </xf>
    <xf numFmtId="0" fontId="48" fillId="18" borderId="9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vertical="center"/>
    </xf>
    <xf numFmtId="0" fontId="56" fillId="13" borderId="13" xfId="0" applyFont="1" applyFill="1" applyBorder="1" applyAlignment="1">
      <alignment horizontal="center" vertical="center"/>
    </xf>
    <xf numFmtId="0" fontId="56" fillId="13" borderId="119" xfId="0" applyFont="1" applyFill="1" applyBorder="1" applyAlignment="1">
      <alignment horizontal="center" vertical="center"/>
    </xf>
    <xf numFmtId="0" fontId="56" fillId="13" borderId="120" xfId="0" applyFont="1" applyFill="1" applyBorder="1" applyAlignment="1">
      <alignment horizontal="center" vertical="center"/>
    </xf>
    <xf numFmtId="0" fontId="2" fillId="2" borderId="119" xfId="0" applyFont="1" applyFill="1" applyBorder="1" applyAlignment="1">
      <alignment horizontal="center" vertical="center" wrapText="1"/>
    </xf>
    <xf numFmtId="0" fontId="2" fillId="2" borderId="120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2" fillId="0" borderId="121" xfId="0" applyFont="1" applyBorder="1" applyAlignment="1">
      <alignment horizontal="center" vertical="center"/>
    </xf>
    <xf numFmtId="0" fontId="38" fillId="21" borderId="9" xfId="0" applyFont="1" applyFill="1" applyBorder="1" applyAlignment="1">
      <alignment vertical="center" wrapText="1"/>
    </xf>
    <xf numFmtId="0" fontId="38" fillId="0" borderId="20" xfId="0" applyFont="1" applyBorder="1" applyAlignment="1">
      <alignment vertical="center" wrapText="1"/>
    </xf>
    <xf numFmtId="0" fontId="36" fillId="16" borderId="122" xfId="0" applyFont="1" applyFill="1" applyBorder="1" applyAlignment="1">
      <alignment horizontal="center" vertical="center" wrapText="1"/>
    </xf>
    <xf numFmtId="0" fontId="36" fillId="16" borderId="78" xfId="0" applyFont="1" applyFill="1" applyBorder="1" applyAlignment="1">
      <alignment horizontal="center" vertical="center" wrapText="1"/>
    </xf>
    <xf numFmtId="0" fontId="2" fillId="14" borderId="123" xfId="0" applyFont="1" applyFill="1" applyBorder="1" applyAlignment="1">
      <alignment horizontal="center" vertical="center" wrapText="1"/>
    </xf>
    <xf numFmtId="0" fontId="36" fillId="9" borderId="4" xfId="0" applyFont="1" applyFill="1" applyBorder="1" applyAlignment="1">
      <alignment vertical="center"/>
    </xf>
    <xf numFmtId="0" fontId="36" fillId="13" borderId="4" xfId="0" applyFont="1" applyFill="1" applyBorder="1" applyAlignment="1">
      <alignment vertical="center"/>
    </xf>
    <xf numFmtId="0" fontId="2" fillId="0" borderId="43" xfId="0" applyFont="1" applyBorder="1" applyAlignment="1">
      <alignment horizontal="center" vertical="center" wrapText="1"/>
    </xf>
    <xf numFmtId="0" fontId="36" fillId="13" borderId="12" xfId="0" applyFont="1" applyFill="1" applyBorder="1" applyAlignment="1">
      <alignment horizontal="center" vertical="center"/>
    </xf>
    <xf numFmtId="0" fontId="2" fillId="18" borderId="125" xfId="0" applyFont="1" applyFill="1" applyBorder="1" applyAlignment="1">
      <alignment horizontal="center" vertical="center" wrapText="1"/>
    </xf>
    <xf numFmtId="0" fontId="36" fillId="13" borderId="126" xfId="0" applyFont="1" applyFill="1" applyBorder="1" applyAlignment="1">
      <alignment horizontal="center" vertical="center"/>
    </xf>
    <xf numFmtId="0" fontId="2" fillId="17" borderId="126" xfId="0" applyFont="1" applyFill="1" applyBorder="1" applyAlignment="1">
      <alignment horizontal="center" vertical="center" wrapText="1"/>
    </xf>
    <xf numFmtId="0" fontId="2" fillId="17" borderId="93" xfId="0" applyFont="1" applyFill="1" applyBorder="1" applyAlignment="1">
      <alignment vertical="center" wrapText="1"/>
    </xf>
    <xf numFmtId="0" fontId="34" fillId="30" borderId="9" xfId="0" applyFont="1" applyFill="1" applyBorder="1" applyAlignment="1">
      <alignment horizontal="center" vertical="center" wrapText="1"/>
    </xf>
    <xf numFmtId="0" fontId="48" fillId="30" borderId="9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4" fillId="19" borderId="51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vertical="center"/>
    </xf>
    <xf numFmtId="0" fontId="11" fillId="0" borderId="75" xfId="0" applyFont="1" applyBorder="1" applyAlignment="1">
      <alignment vertical="center"/>
    </xf>
    <xf numFmtId="0" fontId="7" fillId="0" borderId="75" xfId="0" applyFont="1" applyBorder="1" applyAlignment="1">
      <alignment vertical="center"/>
    </xf>
    <xf numFmtId="0" fontId="5" fillId="29" borderId="4" xfId="0" applyFont="1" applyFill="1" applyBorder="1" applyAlignment="1">
      <alignment vertical="center"/>
    </xf>
    <xf numFmtId="0" fontId="11" fillId="0" borderId="47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5" fillId="29" borderId="85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16" fillId="0" borderId="75" xfId="0" applyFont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7" fillId="0" borderId="7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47" xfId="0" applyFont="1" applyBorder="1" applyAlignment="1">
      <alignment vertical="center"/>
    </xf>
    <xf numFmtId="0" fontId="5" fillId="3" borderId="85" xfId="0" applyFont="1" applyFill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16" fillId="15" borderId="4" xfId="0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" fillId="3" borderId="85" xfId="0" applyFont="1" applyFill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5" fillId="0" borderId="58" xfId="0" applyFont="1" applyBorder="1" applyAlignment="1">
      <alignment vertical="center"/>
    </xf>
    <xf numFmtId="0" fontId="5" fillId="0" borderId="0" xfId="0" applyFont="1"/>
    <xf numFmtId="0" fontId="11" fillId="0" borderId="94" xfId="0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0" fontId="11" fillId="0" borderId="59" xfId="0" applyFont="1" applyBorder="1" applyAlignment="1">
      <alignment horizontal="center" vertical="center"/>
    </xf>
    <xf numFmtId="0" fontId="4" fillId="0" borderId="130" xfId="0" applyFont="1" applyBorder="1" applyAlignment="1">
      <alignment horizontal="center" vertical="center" wrapText="1"/>
    </xf>
    <xf numFmtId="0" fontId="8" fillId="23" borderId="9" xfId="0" applyFont="1" applyFill="1" applyBorder="1" applyAlignment="1">
      <alignment vertical="center" wrapText="1"/>
    </xf>
    <xf numFmtId="0" fontId="8" fillId="22" borderId="9" xfId="0" applyFont="1" applyFill="1" applyBorder="1" applyAlignment="1">
      <alignment vertical="center" wrapText="1"/>
    </xf>
    <xf numFmtId="0" fontId="22" fillId="24" borderId="13" xfId="0" applyFont="1" applyFill="1" applyBorder="1" applyAlignment="1">
      <alignment vertical="center" wrapText="1"/>
    </xf>
    <xf numFmtId="0" fontId="63" fillId="21" borderId="13" xfId="0" applyFont="1" applyFill="1" applyBorder="1" applyAlignment="1">
      <alignment horizontal="center" vertical="center" wrapText="1"/>
    </xf>
    <xf numFmtId="0" fontId="16" fillId="0" borderId="43" xfId="0" applyFont="1" applyBorder="1" applyAlignment="1">
      <alignment vertical="center" wrapText="1"/>
    </xf>
    <xf numFmtId="0" fontId="64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/>
    </xf>
    <xf numFmtId="0" fontId="64" fillId="36" borderId="13" xfId="0" applyFont="1" applyFill="1" applyBorder="1" applyAlignment="1">
      <alignment horizontal="center" vertical="center" wrapText="1"/>
    </xf>
    <xf numFmtId="0" fontId="11" fillId="0" borderId="46" xfId="0" applyFont="1" applyBorder="1" applyAlignment="1">
      <alignment vertical="center"/>
    </xf>
    <xf numFmtId="0" fontId="9" fillId="0" borderId="47" xfId="0" applyFont="1" applyBorder="1" applyAlignment="1">
      <alignment vertical="center"/>
    </xf>
    <xf numFmtId="0" fontId="8" fillId="0" borderId="47" xfId="0" applyFont="1" applyBorder="1" applyAlignment="1">
      <alignment vertical="center" wrapText="1"/>
    </xf>
    <xf numFmtId="0" fontId="8" fillId="0" borderId="4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5" fillId="20" borderId="50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18" fillId="21" borderId="78" xfId="0" applyFont="1" applyFill="1" applyBorder="1" applyAlignment="1">
      <alignment horizontal="center" vertical="center"/>
    </xf>
    <xf numFmtId="0" fontId="9" fillId="0" borderId="79" xfId="0" applyFont="1" applyBorder="1" applyAlignment="1">
      <alignment vertical="center"/>
    </xf>
    <xf numFmtId="0" fontId="7" fillId="0" borderId="79" xfId="0" applyFont="1" applyBorder="1" applyAlignment="1">
      <alignment vertical="center"/>
    </xf>
    <xf numFmtId="0" fontId="5" fillId="0" borderId="137" xfId="0" applyFont="1" applyBorder="1" applyAlignment="1">
      <alignment vertical="center"/>
    </xf>
    <xf numFmtId="0" fontId="18" fillId="21" borderId="120" xfId="0" applyFont="1" applyFill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5" fillId="0" borderId="139" xfId="0" applyFont="1" applyBorder="1" applyAlignment="1">
      <alignment vertical="center"/>
    </xf>
    <xf numFmtId="0" fontId="18" fillId="0" borderId="43" xfId="0" applyFont="1" applyBorder="1" applyAlignment="1">
      <alignment vertical="center"/>
    </xf>
    <xf numFmtId="0" fontId="18" fillId="44" borderId="78" xfId="0" applyFont="1" applyFill="1" applyBorder="1" applyAlignment="1">
      <alignment horizontal="center" vertical="center"/>
    </xf>
    <xf numFmtId="0" fontId="9" fillId="0" borderId="137" xfId="0" applyFont="1" applyBorder="1" applyAlignment="1">
      <alignment vertical="center"/>
    </xf>
    <xf numFmtId="0" fontId="18" fillId="44" borderId="120" xfId="0" applyFont="1" applyFill="1" applyBorder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0" fontId="9" fillId="0" borderId="139" xfId="0" applyFont="1" applyBorder="1" applyAlignment="1">
      <alignment vertical="center"/>
    </xf>
    <xf numFmtId="0" fontId="18" fillId="44" borderId="85" xfId="0" applyFont="1" applyFill="1" applyBorder="1" applyAlignment="1">
      <alignment horizontal="center" vertical="center"/>
    </xf>
    <xf numFmtId="0" fontId="8" fillId="14" borderId="93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23" borderId="14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3" borderId="141" xfId="0" applyFont="1" applyFill="1" applyBorder="1" applyAlignment="1">
      <alignment vertical="center" wrapText="1"/>
    </xf>
    <xf numFmtId="0" fontId="5" fillId="0" borderId="142" xfId="0" applyFont="1" applyBorder="1" applyAlignment="1">
      <alignment vertical="center" wrapText="1"/>
    </xf>
    <xf numFmtId="0" fontId="4" fillId="14" borderId="140" xfId="0" applyFont="1" applyFill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5" fillId="0" borderId="141" xfId="0" applyFont="1" applyBorder="1" applyAlignment="1">
      <alignment vertical="center" wrapText="1"/>
    </xf>
    <xf numFmtId="0" fontId="4" fillId="22" borderId="141" xfId="0" applyFont="1" applyFill="1" applyBorder="1" applyAlignment="1">
      <alignment vertical="center" wrapText="1"/>
    </xf>
    <xf numFmtId="0" fontId="65" fillId="14" borderId="140" xfId="0" applyFont="1" applyFill="1" applyBorder="1" applyAlignment="1">
      <alignment vertical="center" wrapText="1"/>
    </xf>
    <xf numFmtId="0" fontId="4" fillId="14" borderId="141" xfId="0" applyFont="1" applyFill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17" borderId="141" xfId="0" applyFont="1" applyFill="1" applyBorder="1" applyAlignment="1">
      <alignment vertical="center" wrapText="1"/>
    </xf>
    <xf numFmtId="0" fontId="5" fillId="0" borderId="140" xfId="0" applyFont="1" applyBorder="1" applyAlignment="1">
      <alignment vertical="center" wrapText="1"/>
    </xf>
    <xf numFmtId="0" fontId="66" fillId="14" borderId="140" xfId="0" applyFont="1" applyFill="1" applyBorder="1" applyAlignment="1">
      <alignment vertical="center" wrapText="1"/>
    </xf>
    <xf numFmtId="0" fontId="4" fillId="17" borderId="142" xfId="0" applyFont="1" applyFill="1" applyBorder="1" applyAlignment="1">
      <alignment vertical="center" wrapText="1"/>
    </xf>
    <xf numFmtId="0" fontId="5" fillId="0" borderId="140" xfId="0" applyFont="1" applyBorder="1" applyAlignment="1">
      <alignment vertical="center"/>
    </xf>
    <xf numFmtId="0" fontId="5" fillId="0" borderId="141" xfId="0" applyFont="1" applyBorder="1" applyAlignment="1">
      <alignment vertical="center"/>
    </xf>
    <xf numFmtId="0" fontId="5" fillId="0" borderId="142" xfId="0" applyFont="1" applyBorder="1" applyAlignme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45" borderId="143" xfId="0" applyFont="1" applyFill="1" applyBorder="1" applyAlignment="1">
      <alignment vertical="center" wrapText="1"/>
    </xf>
    <xf numFmtId="0" fontId="65" fillId="14" borderId="144" xfId="0" applyFont="1" applyFill="1" applyBorder="1" applyAlignment="1">
      <alignment vertical="center" wrapText="1"/>
    </xf>
    <xf numFmtId="0" fontId="4" fillId="14" borderId="123" xfId="0" applyFont="1" applyFill="1" applyBorder="1" applyAlignment="1">
      <alignment vertical="center" wrapText="1"/>
    </xf>
    <xf numFmtId="0" fontId="4" fillId="22" borderId="104" xfId="0" applyFont="1" applyFill="1" applyBorder="1" applyAlignment="1">
      <alignment vertical="center" wrapText="1"/>
    </xf>
    <xf numFmtId="0" fontId="4" fillId="17" borderId="104" xfId="0" applyFont="1" applyFill="1" applyBorder="1" applyAlignment="1">
      <alignment vertical="center" wrapText="1"/>
    </xf>
    <xf numFmtId="0" fontId="4" fillId="0" borderId="66" xfId="0" applyFont="1" applyBorder="1" applyAlignment="1">
      <alignment vertical="center" wrapText="1"/>
    </xf>
    <xf numFmtId="0" fontId="4" fillId="14" borderId="143" xfId="0" applyFont="1" applyFill="1" applyBorder="1" applyAlignment="1">
      <alignment vertical="center" wrapText="1"/>
    </xf>
    <xf numFmtId="0" fontId="4" fillId="14" borderId="104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4" fillId="17" borderId="145" xfId="0" applyFont="1" applyFill="1" applyBorder="1" applyAlignment="1">
      <alignment vertical="center" wrapText="1"/>
    </xf>
    <xf numFmtId="0" fontId="4" fillId="0" borderId="54" xfId="0" applyFont="1" applyBorder="1" applyAlignment="1">
      <alignment vertical="center" wrapText="1"/>
    </xf>
    <xf numFmtId="0" fontId="4" fillId="14" borderId="144" xfId="0" applyFont="1" applyFill="1" applyBorder="1" applyAlignment="1">
      <alignment vertical="center" wrapText="1"/>
    </xf>
    <xf numFmtId="0" fontId="4" fillId="0" borderId="131" xfId="0" applyFont="1" applyBorder="1" applyAlignment="1">
      <alignment vertical="center" wrapText="1"/>
    </xf>
    <xf numFmtId="0" fontId="4" fillId="0" borderId="58" xfId="0" applyFont="1" applyBorder="1" applyAlignment="1">
      <alignment vertical="center" wrapText="1"/>
    </xf>
    <xf numFmtId="0" fontId="67" fillId="14" borderId="144" xfId="0" applyFont="1" applyFill="1" applyBorder="1" applyAlignment="1">
      <alignment vertical="center" wrapText="1"/>
    </xf>
    <xf numFmtId="0" fontId="4" fillId="0" borderId="141" xfId="0" applyFont="1" applyBorder="1" applyAlignment="1">
      <alignment vertical="center" wrapText="1"/>
    </xf>
    <xf numFmtId="0" fontId="4" fillId="0" borderId="142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4" fillId="0" borderId="141" xfId="0" applyFont="1" applyBorder="1" applyAlignment="1">
      <alignment vertical="center"/>
    </xf>
    <xf numFmtId="0" fontId="4" fillId="0" borderId="142" xfId="0" applyFont="1" applyBorder="1" applyAlignment="1">
      <alignment vertical="center"/>
    </xf>
    <xf numFmtId="0" fontId="35" fillId="21" borderId="99" xfId="0" applyFont="1" applyFill="1" applyBorder="1" applyAlignment="1">
      <alignment vertical="center" wrapText="1"/>
    </xf>
    <xf numFmtId="0" fontId="35" fillId="21" borderId="146" xfId="0" applyFont="1" applyFill="1" applyBorder="1" applyAlignment="1">
      <alignment vertical="center" wrapText="1"/>
    </xf>
    <xf numFmtId="0" fontId="68" fillId="14" borderId="141" xfId="0" applyFont="1" applyFill="1" applyBorder="1" applyAlignment="1">
      <alignment vertical="center" wrapText="1"/>
    </xf>
    <xf numFmtId="0" fontId="35" fillId="21" borderId="103" xfId="0" applyFont="1" applyFill="1" applyBorder="1" applyAlignment="1">
      <alignment vertical="center" wrapText="1"/>
    </xf>
    <xf numFmtId="0" fontId="35" fillId="21" borderId="13" xfId="0" applyFont="1" applyFill="1" applyBorder="1" applyAlignment="1">
      <alignment horizontal="center" vertical="center" wrapText="1"/>
    </xf>
    <xf numFmtId="0" fontId="4" fillId="22" borderId="145" xfId="0" applyFont="1" applyFill="1" applyBorder="1" applyAlignment="1">
      <alignment vertical="center" wrapText="1"/>
    </xf>
    <xf numFmtId="0" fontId="69" fillId="14" borderId="144" xfId="0" applyFont="1" applyFill="1" applyBorder="1" applyAlignment="1">
      <alignment vertical="center" wrapText="1"/>
    </xf>
    <xf numFmtId="0" fontId="69" fillId="14" borderId="140" xfId="0" applyFont="1" applyFill="1" applyBorder="1" applyAlignment="1">
      <alignment vertical="center" wrapText="1"/>
    </xf>
    <xf numFmtId="0" fontId="69" fillId="14" borderId="104" xfId="0" applyFont="1" applyFill="1" applyBorder="1" applyAlignment="1">
      <alignment vertical="center" wrapText="1"/>
    </xf>
    <xf numFmtId="0" fontId="4" fillId="22" borderId="142" xfId="0" applyFont="1" applyFill="1" applyBorder="1" applyAlignment="1">
      <alignment vertical="center" wrapText="1"/>
    </xf>
    <xf numFmtId="0" fontId="5" fillId="0" borderId="31" xfId="0" applyFont="1" applyBorder="1" applyAlignment="1">
      <alignment vertical="center"/>
    </xf>
    <xf numFmtId="0" fontId="4" fillId="14" borderId="147" xfId="0" applyFont="1" applyFill="1" applyBorder="1" applyAlignment="1">
      <alignment vertical="center" wrapText="1"/>
    </xf>
    <xf numFmtId="0" fontId="68" fillId="14" borderId="140" xfId="0" applyFont="1" applyFill="1" applyBorder="1" applyAlignment="1">
      <alignment vertical="center" wrapText="1"/>
    </xf>
    <xf numFmtId="0" fontId="24" fillId="3" borderId="13" xfId="0" applyFont="1" applyFill="1" applyBorder="1" applyAlignment="1">
      <alignment vertical="center" wrapText="1"/>
    </xf>
    <xf numFmtId="0" fontId="70" fillId="35" borderId="8" xfId="0" applyFont="1" applyFill="1" applyBorder="1" applyAlignment="1">
      <alignment horizontal="center" vertical="center" wrapText="1"/>
    </xf>
    <xf numFmtId="0" fontId="4" fillId="23" borderId="98" xfId="0" applyFont="1" applyFill="1" applyBorder="1" applyAlignment="1">
      <alignment horizontal="center" vertical="center" wrapText="1"/>
    </xf>
    <xf numFmtId="0" fontId="4" fillId="23" borderId="98" xfId="0" applyFont="1" applyFill="1" applyBorder="1" applyAlignment="1">
      <alignment horizontal="center" vertical="center"/>
    </xf>
    <xf numFmtId="0" fontId="71" fillId="23" borderId="98" xfId="0" applyFont="1" applyFill="1" applyBorder="1" applyAlignment="1">
      <alignment horizontal="center" vertical="center" wrapText="1"/>
    </xf>
    <xf numFmtId="0" fontId="72" fillId="46" borderId="82" xfId="0" applyFont="1" applyFill="1" applyBorder="1" applyAlignment="1">
      <alignment horizontal="center" vertical="center"/>
    </xf>
    <xf numFmtId="0" fontId="4" fillId="37" borderId="103" xfId="0" applyFont="1" applyFill="1" applyBorder="1" applyAlignment="1">
      <alignment horizontal="center" vertical="center" wrapText="1"/>
    </xf>
    <xf numFmtId="0" fontId="4" fillId="37" borderId="13" xfId="0" applyFont="1" applyFill="1" applyBorder="1" applyAlignment="1">
      <alignment horizontal="center" vertical="center" wrapText="1"/>
    </xf>
    <xf numFmtId="0" fontId="4" fillId="47" borderId="9" xfId="0" applyFont="1" applyFill="1" applyBorder="1" applyAlignment="1">
      <alignment horizontal="center" vertical="center" wrapText="1"/>
    </xf>
    <xf numFmtId="0" fontId="5" fillId="47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73" fillId="34" borderId="102" xfId="0" applyFont="1" applyFill="1" applyBorder="1" applyAlignment="1">
      <alignment horizontal="center" vertical="center" wrapText="1"/>
    </xf>
    <xf numFmtId="0" fontId="74" fillId="0" borderId="0" xfId="0" applyFont="1" applyAlignment="1">
      <alignment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21" borderId="9" xfId="0" applyFont="1" applyFill="1" applyBorder="1" applyAlignment="1">
      <alignment horizontal="center" vertical="center" wrapText="1"/>
    </xf>
    <xf numFmtId="0" fontId="4" fillId="38" borderId="105" xfId="0" applyFont="1" applyFill="1" applyBorder="1" applyAlignment="1">
      <alignment horizontal="center" vertical="center"/>
    </xf>
    <xf numFmtId="0" fontId="4" fillId="0" borderId="82" xfId="0" applyFont="1" applyBorder="1" applyAlignment="1">
      <alignment horizontal="center" vertical="center" wrapText="1"/>
    </xf>
    <xf numFmtId="0" fontId="4" fillId="0" borderId="110" xfId="0" applyFont="1" applyBorder="1" applyAlignment="1">
      <alignment horizontal="center" vertical="center" wrapText="1"/>
    </xf>
    <xf numFmtId="0" fontId="4" fillId="0" borderId="111" xfId="0" applyFont="1" applyBorder="1" applyAlignment="1">
      <alignment horizontal="center" vertical="center" wrapText="1"/>
    </xf>
    <xf numFmtId="0" fontId="5" fillId="0" borderId="82" xfId="0" applyFont="1" applyBorder="1" applyAlignment="1">
      <alignment vertical="center" wrapText="1"/>
    </xf>
    <xf numFmtId="0" fontId="76" fillId="35" borderId="8" xfId="0" applyFont="1" applyFill="1" applyBorder="1" applyAlignment="1">
      <alignment horizontal="center" vertical="center" wrapText="1"/>
    </xf>
    <xf numFmtId="0" fontId="9" fillId="0" borderId="149" xfId="0" applyFont="1" applyBorder="1" applyAlignment="1">
      <alignment horizontal="center" vertical="center" wrapText="1"/>
    </xf>
    <xf numFmtId="0" fontId="73" fillId="34" borderId="153" xfId="0" applyFont="1" applyFill="1" applyBorder="1" applyAlignment="1">
      <alignment horizontal="center" vertical="center" wrapText="1"/>
    </xf>
    <xf numFmtId="0" fontId="9" fillId="0" borderId="152" xfId="0" applyFont="1" applyBorder="1" applyAlignment="1">
      <alignment vertical="center"/>
    </xf>
    <xf numFmtId="0" fontId="35" fillId="48" borderId="155" xfId="0" applyFont="1" applyFill="1" applyBorder="1" applyAlignment="1">
      <alignment vertical="center" wrapText="1"/>
    </xf>
    <xf numFmtId="0" fontId="77" fillId="4" borderId="9" xfId="0" applyFont="1" applyFill="1" applyBorder="1" applyAlignment="1">
      <alignment horizontal="center" vertical="center" wrapText="1"/>
    </xf>
    <xf numFmtId="164" fontId="34" fillId="14" borderId="96" xfId="0" applyNumberFormat="1" applyFont="1" applyFill="1" applyBorder="1" applyAlignment="1">
      <alignment vertical="center"/>
    </xf>
    <xf numFmtId="164" fontId="79" fillId="13" borderId="82" xfId="0" applyNumberFormat="1" applyFont="1" applyFill="1" applyBorder="1" applyAlignment="1">
      <alignment vertical="center"/>
    </xf>
    <xf numFmtId="164" fontId="34" fillId="0" borderId="82" xfId="0" applyNumberFormat="1" applyFont="1" applyBorder="1" applyAlignment="1">
      <alignment horizontal="center" vertical="center"/>
    </xf>
    <xf numFmtId="164" fontId="61" fillId="0" borderId="82" xfId="0" applyNumberFormat="1" applyFont="1" applyBorder="1" applyAlignment="1">
      <alignment horizontal="center" vertical="center"/>
    </xf>
    <xf numFmtId="164" fontId="34" fillId="14" borderId="82" xfId="0" applyNumberFormat="1" applyFont="1" applyFill="1" applyBorder="1" applyAlignment="1">
      <alignment vertical="center"/>
    </xf>
    <xf numFmtId="164" fontId="80" fillId="0" borderId="0" xfId="0" applyNumberFormat="1" applyFont="1" applyAlignment="1">
      <alignment vertical="center"/>
    </xf>
    <xf numFmtId="164" fontId="4" fillId="0" borderId="0" xfId="0" applyNumberFormat="1" applyFont="1"/>
    <xf numFmtId="0" fontId="79" fillId="34" borderId="51" xfId="0" applyFont="1" applyFill="1" applyBorder="1" applyAlignment="1">
      <alignment vertical="center"/>
    </xf>
    <xf numFmtId="0" fontId="75" fillId="35" borderId="9" xfId="0" applyFont="1" applyFill="1" applyBorder="1" applyAlignment="1">
      <alignment horizontal="center" vertical="center" wrapText="1"/>
    </xf>
    <xf numFmtId="0" fontId="81" fillId="4" borderId="9" xfId="0" applyFont="1" applyFill="1" applyBorder="1" applyAlignment="1">
      <alignment horizontal="center" vertical="center" wrapText="1"/>
    </xf>
    <xf numFmtId="0" fontId="4" fillId="33" borderId="9" xfId="0" applyFont="1" applyFill="1" applyBorder="1" applyAlignment="1">
      <alignment horizontal="center" vertical="center" wrapText="1"/>
    </xf>
    <xf numFmtId="0" fontId="82" fillId="0" borderId="9" xfId="0" applyFont="1" applyBorder="1" applyAlignment="1">
      <alignment horizontal="center" vertical="center" wrapText="1"/>
    </xf>
    <xf numFmtId="0" fontId="66" fillId="33" borderId="9" xfId="0" applyFont="1" applyFill="1" applyBorder="1" applyAlignment="1">
      <alignment horizontal="center" vertical="center" wrapText="1"/>
    </xf>
    <xf numFmtId="0" fontId="35" fillId="37" borderId="103" xfId="0" applyFont="1" applyFill="1" applyBorder="1" applyAlignment="1">
      <alignment horizontal="center" vertical="center" wrapText="1"/>
    </xf>
    <xf numFmtId="0" fontId="2" fillId="51" borderId="13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27" fillId="12" borderId="9" xfId="0" applyFont="1" applyFill="1" applyBorder="1" applyAlignment="1">
      <alignment horizontal="center" vertical="center"/>
    </xf>
    <xf numFmtId="0" fontId="4" fillId="37" borderId="103" xfId="0" applyFont="1" applyFill="1" applyBorder="1" applyAlignment="1">
      <alignment horizontal="center" vertical="center"/>
    </xf>
    <xf numFmtId="0" fontId="4" fillId="37" borderId="98" xfId="0" applyFont="1" applyFill="1" applyBorder="1" applyAlignment="1">
      <alignment horizontal="center" vertical="center"/>
    </xf>
    <xf numFmtId="0" fontId="4" fillId="37" borderId="51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6" fillId="54" borderId="9" xfId="0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center" vertical="center"/>
    </xf>
    <xf numFmtId="0" fontId="86" fillId="0" borderId="30" xfId="0" applyFont="1" applyBorder="1" applyAlignment="1">
      <alignment horizontal="center" vertical="center" wrapText="1"/>
    </xf>
    <xf numFmtId="0" fontId="87" fillId="0" borderId="30" xfId="0" applyFont="1" applyBorder="1" applyAlignment="1">
      <alignment horizontal="center" vertical="center"/>
    </xf>
    <xf numFmtId="0" fontId="86" fillId="55" borderId="9" xfId="0" applyFont="1" applyFill="1" applyBorder="1" applyAlignment="1">
      <alignment horizontal="center" vertical="center" wrapText="1"/>
    </xf>
    <xf numFmtId="0" fontId="5" fillId="57" borderId="9" xfId="0" applyFont="1" applyFill="1" applyBorder="1" applyAlignment="1">
      <alignment horizontal="left" vertical="center" wrapText="1"/>
    </xf>
    <xf numFmtId="0" fontId="5" fillId="58" borderId="9" xfId="0" applyFont="1" applyFill="1" applyBorder="1" applyAlignment="1">
      <alignment horizontal="left" vertical="center"/>
    </xf>
    <xf numFmtId="0" fontId="87" fillId="0" borderId="0" xfId="0" applyFont="1" applyAlignment="1">
      <alignment horizontal="center" vertical="center"/>
    </xf>
    <xf numFmtId="0" fontId="86" fillId="56" borderId="9" xfId="0" applyFont="1" applyFill="1" applyBorder="1" applyAlignment="1">
      <alignment horizontal="center" vertical="center" wrapText="1"/>
    </xf>
    <xf numFmtId="0" fontId="86" fillId="62" borderId="9" xfId="0" applyFont="1" applyFill="1" applyBorder="1" applyAlignment="1">
      <alignment horizontal="center" vertical="center" wrapText="1"/>
    </xf>
    <xf numFmtId="0" fontId="5" fillId="0" borderId="121" xfId="0" applyFont="1" applyBorder="1" applyAlignment="1">
      <alignment horizontal="center" vertical="center" wrapText="1"/>
    </xf>
    <xf numFmtId="0" fontId="66" fillId="64" borderId="102" xfId="0" applyFont="1" applyFill="1" applyBorder="1" applyAlignment="1">
      <alignment vertical="center"/>
    </xf>
    <xf numFmtId="0" fontId="66" fillId="64" borderId="123" xfId="0" applyFont="1" applyFill="1" applyBorder="1" applyAlignment="1">
      <alignment vertical="center"/>
    </xf>
    <xf numFmtId="0" fontId="66" fillId="64" borderId="159" xfId="0" applyFont="1" applyFill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81" fillId="50" borderId="102" xfId="0" applyFont="1" applyFill="1" applyBorder="1" applyAlignment="1">
      <alignment vertical="center"/>
    </xf>
    <xf numFmtId="0" fontId="81" fillId="50" borderId="123" xfId="0" applyFont="1" applyFill="1" applyBorder="1" applyAlignment="1">
      <alignment vertical="center"/>
    </xf>
    <xf numFmtId="0" fontId="81" fillId="50" borderId="159" xfId="0" applyFont="1" applyFill="1" applyBorder="1" applyAlignment="1">
      <alignment vertical="center"/>
    </xf>
    <xf numFmtId="0" fontId="81" fillId="50" borderId="102" xfId="0" applyFont="1" applyFill="1" applyBorder="1" applyAlignment="1">
      <alignment vertical="center" wrapText="1"/>
    </xf>
    <xf numFmtId="0" fontId="81" fillId="50" borderId="123" xfId="0" applyFont="1" applyFill="1" applyBorder="1" applyAlignment="1">
      <alignment vertical="center" wrapText="1"/>
    </xf>
    <xf numFmtId="0" fontId="81" fillId="50" borderId="159" xfId="0" applyFont="1" applyFill="1" applyBorder="1" applyAlignment="1">
      <alignment vertical="center" wrapText="1"/>
    </xf>
    <xf numFmtId="0" fontId="5" fillId="0" borderId="160" xfId="0" applyFont="1" applyBorder="1" applyAlignment="1">
      <alignment vertical="center"/>
    </xf>
    <xf numFmtId="0" fontId="5" fillId="0" borderId="161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0" fontId="89" fillId="66" borderId="9" xfId="0" applyFont="1" applyFill="1" applyBorder="1" applyAlignment="1">
      <alignment horizontal="center" vertical="center" wrapText="1"/>
    </xf>
    <xf numFmtId="0" fontId="4" fillId="37" borderId="162" xfId="0" applyFont="1" applyFill="1" applyBorder="1" applyAlignment="1">
      <alignment horizontal="center" vertical="center" wrapText="1"/>
    </xf>
    <xf numFmtId="0" fontId="4" fillId="37" borderId="163" xfId="0" applyFont="1" applyFill="1" applyBorder="1" applyAlignment="1">
      <alignment horizontal="center" vertical="center" wrapText="1"/>
    </xf>
    <xf numFmtId="0" fontId="5" fillId="51" borderId="9" xfId="0" applyFont="1" applyFill="1" applyBorder="1" applyAlignment="1">
      <alignment horizontal="center" vertical="center" wrapText="1"/>
    </xf>
    <xf numFmtId="0" fontId="89" fillId="0" borderId="0" xfId="0" applyFont="1" applyAlignment="1">
      <alignment horizontal="center" wrapText="1"/>
    </xf>
    <xf numFmtId="0" fontId="89" fillId="0" borderId="9" xfId="0" applyFont="1" applyBorder="1" applyAlignment="1">
      <alignment horizontal="center" wrapText="1"/>
    </xf>
    <xf numFmtId="0" fontId="5" fillId="63" borderId="9" xfId="0" applyFont="1" applyFill="1" applyBorder="1" applyAlignment="1">
      <alignment horizontal="center" vertical="center" wrapText="1"/>
    </xf>
    <xf numFmtId="0" fontId="4" fillId="18" borderId="9" xfId="0" applyFont="1" applyFill="1" applyBorder="1" applyAlignment="1">
      <alignment horizontal="center" vertical="center" wrapText="1"/>
    </xf>
    <xf numFmtId="0" fontId="89" fillId="51" borderId="9" xfId="0" applyFont="1" applyFill="1" applyBorder="1" applyAlignment="1">
      <alignment horizontal="center" vertical="center" wrapText="1"/>
    </xf>
    <xf numFmtId="0" fontId="4" fillId="0" borderId="165" xfId="0" applyFont="1" applyBorder="1" applyAlignment="1">
      <alignment horizontal="center" vertical="center"/>
    </xf>
    <xf numFmtId="0" fontId="4" fillId="0" borderId="166" xfId="0" applyFont="1" applyBorder="1" applyAlignment="1">
      <alignment horizontal="center" vertical="center"/>
    </xf>
    <xf numFmtId="0" fontId="4" fillId="9" borderId="166" xfId="0" applyFont="1" applyFill="1" applyBorder="1" applyAlignment="1">
      <alignment horizontal="center" vertical="center"/>
    </xf>
    <xf numFmtId="0" fontId="4" fillId="9" borderId="167" xfId="0" applyFont="1" applyFill="1" applyBorder="1" applyAlignment="1">
      <alignment horizontal="center" vertical="center"/>
    </xf>
    <xf numFmtId="0" fontId="4" fillId="9" borderId="165" xfId="0" applyFont="1" applyFill="1" applyBorder="1" applyAlignment="1">
      <alignment horizontal="center" vertical="center"/>
    </xf>
    <xf numFmtId="0" fontId="5" fillId="0" borderId="166" xfId="0" applyFont="1" applyBorder="1" applyAlignment="1">
      <alignment horizontal="center" vertical="center"/>
    </xf>
    <xf numFmtId="0" fontId="5" fillId="0" borderId="167" xfId="0" applyFont="1" applyBorder="1" applyAlignment="1">
      <alignment horizontal="center" vertical="center"/>
    </xf>
    <xf numFmtId="0" fontId="5" fillId="0" borderId="165" xfId="0" applyFont="1" applyBorder="1" applyAlignment="1">
      <alignment horizontal="center" vertical="center"/>
    </xf>
    <xf numFmtId="0" fontId="113" fillId="0" borderId="0" xfId="0" applyFont="1" applyAlignment="1">
      <alignment vertical="center"/>
    </xf>
    <xf numFmtId="14" fontId="4" fillId="0" borderId="10" xfId="0" applyNumberFormat="1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4" fillId="0" borderId="177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111" fillId="0" borderId="101" xfId="0" applyFont="1" applyBorder="1" applyAlignment="1">
      <alignment horizontal="center" vertical="center"/>
    </xf>
    <xf numFmtId="0" fontId="0" fillId="0" borderId="101" xfId="0" applyBorder="1" applyAlignment="1">
      <alignment vertical="center"/>
    </xf>
    <xf numFmtId="0" fontId="5" fillId="0" borderId="101" xfId="0" applyFont="1" applyBorder="1" applyAlignment="1">
      <alignment horizontal="center" vertical="center"/>
    </xf>
    <xf numFmtId="0" fontId="112" fillId="72" borderId="164" xfId="0" applyFont="1" applyFill="1" applyBorder="1" applyAlignment="1">
      <alignment horizontal="center" vertical="center"/>
    </xf>
    <xf numFmtId="0" fontId="4" fillId="71" borderId="180" xfId="0" applyFont="1" applyFill="1" applyBorder="1" applyAlignment="1">
      <alignment horizontal="center" vertical="center"/>
    </xf>
    <xf numFmtId="0" fontId="4" fillId="71" borderId="164" xfId="0" applyFont="1" applyFill="1" applyBorder="1" applyAlignment="1">
      <alignment horizontal="center" vertical="center"/>
    </xf>
    <xf numFmtId="0" fontId="4" fillId="2" borderId="160" xfId="0" applyFont="1" applyFill="1" applyBorder="1" applyAlignment="1">
      <alignment horizontal="center" vertical="center"/>
    </xf>
    <xf numFmtId="0" fontId="4" fillId="2" borderId="102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12" fillId="72" borderId="181" xfId="0" applyFont="1" applyFill="1" applyBorder="1" applyAlignment="1">
      <alignment horizontal="center" vertical="center"/>
    </xf>
    <xf numFmtId="0" fontId="111" fillId="2" borderId="102" xfId="0" applyFont="1" applyFill="1" applyBorder="1" applyAlignment="1">
      <alignment horizontal="center" vertical="center"/>
    </xf>
    <xf numFmtId="0" fontId="111" fillId="0" borderId="166" xfId="0" applyFont="1" applyBorder="1" applyAlignment="1">
      <alignment horizontal="center" vertical="center"/>
    </xf>
    <xf numFmtId="0" fontId="111" fillId="0" borderId="16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01" xfId="0" applyFont="1" applyFill="1" applyBorder="1" applyAlignment="1">
      <alignment horizontal="center" vertical="center"/>
    </xf>
    <xf numFmtId="0" fontId="115" fillId="0" borderId="175" xfId="0" applyFont="1" applyBorder="1"/>
    <xf numFmtId="0" fontId="115" fillId="0" borderId="175" xfId="0" applyFont="1" applyBorder="1" applyAlignment="1">
      <alignment horizontal="right"/>
    </xf>
    <xf numFmtId="0" fontId="115" fillId="0" borderId="176" xfId="0" applyFont="1" applyBorder="1"/>
    <xf numFmtId="0" fontId="116" fillId="0" borderId="175" xfId="0" applyFont="1" applyBorder="1" applyAlignment="1">
      <alignment horizontal="right"/>
    </xf>
    <xf numFmtId="0" fontId="0" fillId="0" borderId="174" xfId="0" applyBorder="1" applyAlignment="1">
      <alignment vertical="center"/>
    </xf>
    <xf numFmtId="0" fontId="117" fillId="0" borderId="164" xfId="0" applyFont="1" applyBorder="1" applyAlignment="1">
      <alignment vertical="center"/>
    </xf>
    <xf numFmtId="0" fontId="115" fillId="0" borderId="176" xfId="0" applyFont="1" applyBorder="1" applyAlignment="1">
      <alignment horizontal="left"/>
    </xf>
    <xf numFmtId="0" fontId="3" fillId="0" borderId="101" xfId="0" applyFont="1" applyBorder="1" applyAlignment="1">
      <alignment vertical="center"/>
    </xf>
    <xf numFmtId="0" fontId="2" fillId="0" borderId="101" xfId="0" applyFont="1" applyBorder="1" applyAlignment="1">
      <alignment horizontal="center" vertical="center"/>
    </xf>
    <xf numFmtId="0" fontId="117" fillId="0" borderId="181" xfId="0" applyFont="1" applyBorder="1" applyAlignment="1">
      <alignment vertical="center"/>
    </xf>
    <xf numFmtId="0" fontId="0" fillId="0" borderId="178" xfId="0" applyBorder="1" applyAlignment="1">
      <alignment vertical="center"/>
    </xf>
    <xf numFmtId="0" fontId="115" fillId="0" borderId="192" xfId="0" applyFont="1" applyBorder="1" applyAlignment="1">
      <alignment horizontal="right"/>
    </xf>
    <xf numFmtId="0" fontId="116" fillId="0" borderId="192" xfId="0" applyFont="1" applyBorder="1" applyAlignment="1">
      <alignment horizontal="right"/>
    </xf>
    <xf numFmtId="0" fontId="115" fillId="0" borderId="179" xfId="0" applyFont="1" applyBorder="1" applyAlignment="1">
      <alignment horizontal="left"/>
    </xf>
    <xf numFmtId="0" fontId="115" fillId="0" borderId="192" xfId="0" applyFont="1" applyBorder="1"/>
    <xf numFmtId="0" fontId="4" fillId="9" borderId="193" xfId="0" applyFont="1" applyFill="1" applyBorder="1" applyAlignment="1">
      <alignment horizontal="center" vertical="center"/>
    </xf>
    <xf numFmtId="0" fontId="4" fillId="0" borderId="193" xfId="0" applyFont="1" applyBorder="1" applyAlignment="1">
      <alignment horizontal="center" vertical="center"/>
    </xf>
    <xf numFmtId="0" fontId="0" fillId="0" borderId="196" xfId="0" applyBorder="1" applyAlignment="1">
      <alignment vertical="center"/>
    </xf>
    <xf numFmtId="0" fontId="4" fillId="0" borderId="167" xfId="0" applyFont="1" applyBorder="1" applyAlignment="1">
      <alignment horizontal="center" vertical="center"/>
    </xf>
    <xf numFmtId="0" fontId="4" fillId="9" borderId="169" xfId="0" applyFont="1" applyFill="1" applyBorder="1" applyAlignment="1">
      <alignment horizontal="center" vertical="center"/>
    </xf>
    <xf numFmtId="0" fontId="4" fillId="9" borderId="159" xfId="0" applyFont="1" applyFill="1" applyBorder="1" applyAlignment="1">
      <alignment horizontal="center" vertical="center"/>
    </xf>
    <xf numFmtId="0" fontId="4" fillId="0" borderId="182" xfId="0" applyFont="1" applyBorder="1" applyAlignment="1">
      <alignment horizontal="center" vertical="center"/>
    </xf>
    <xf numFmtId="0" fontId="4" fillId="0" borderId="183" xfId="0" applyFont="1" applyBorder="1" applyAlignment="1">
      <alignment horizontal="center" vertical="center"/>
    </xf>
    <xf numFmtId="0" fontId="4" fillId="0" borderId="173" xfId="0" applyFont="1" applyBorder="1" applyAlignment="1">
      <alignment horizontal="center" vertical="center"/>
    </xf>
    <xf numFmtId="0" fontId="4" fillId="0" borderId="102" xfId="0" applyFont="1" applyBorder="1" applyAlignment="1">
      <alignment horizontal="center" vertical="center"/>
    </xf>
    <xf numFmtId="0" fontId="4" fillId="0" borderId="159" xfId="0" applyFont="1" applyBorder="1" applyAlignment="1">
      <alignment horizontal="center" vertical="center"/>
    </xf>
    <xf numFmtId="0" fontId="4" fillId="0" borderId="170" xfId="0" applyFont="1" applyBorder="1" applyAlignment="1">
      <alignment horizontal="center" vertical="center"/>
    </xf>
    <xf numFmtId="0" fontId="4" fillId="12" borderId="102" xfId="0" applyFont="1" applyFill="1" applyBorder="1" applyAlignment="1">
      <alignment horizontal="center" vertical="center"/>
    </xf>
    <xf numFmtId="0" fontId="4" fillId="12" borderId="170" xfId="0" applyFont="1" applyFill="1" applyBorder="1" applyAlignment="1">
      <alignment horizontal="center" vertical="center"/>
    </xf>
    <xf numFmtId="0" fontId="4" fillId="11" borderId="102" xfId="0" applyFont="1" applyFill="1" applyBorder="1" applyAlignment="1">
      <alignment horizontal="center" vertical="center"/>
    </xf>
    <xf numFmtId="0" fontId="4" fillId="11" borderId="159" xfId="0" applyFont="1" applyFill="1" applyBorder="1" applyAlignment="1">
      <alignment horizontal="center" vertical="center"/>
    </xf>
    <xf numFmtId="0" fontId="4" fillId="8" borderId="102" xfId="0" applyFont="1" applyFill="1" applyBorder="1" applyAlignment="1">
      <alignment horizontal="center" vertical="center"/>
    </xf>
    <xf numFmtId="0" fontId="4" fillId="8" borderId="170" xfId="0" applyFont="1" applyFill="1" applyBorder="1" applyAlignment="1">
      <alignment horizontal="center" vertical="center"/>
    </xf>
    <xf numFmtId="0" fontId="4" fillId="71" borderId="174" xfId="0" applyFont="1" applyFill="1" applyBorder="1" applyAlignment="1">
      <alignment horizontal="center" vertical="center"/>
    </xf>
    <xf numFmtId="0" fontId="4" fillId="71" borderId="175" xfId="0" applyFont="1" applyFill="1" applyBorder="1" applyAlignment="1">
      <alignment horizontal="center" vertical="center"/>
    </xf>
    <xf numFmtId="0" fontId="4" fillId="71" borderId="176" xfId="0" applyFont="1" applyFill="1" applyBorder="1" applyAlignment="1">
      <alignment horizontal="center" vertical="center"/>
    </xf>
    <xf numFmtId="0" fontId="4" fillId="12" borderId="187" xfId="0" applyFont="1" applyFill="1" applyBorder="1" applyAlignment="1">
      <alignment horizontal="center" vertical="center"/>
    </xf>
    <xf numFmtId="0" fontId="4" fillId="12" borderId="188" xfId="0" applyFont="1" applyFill="1" applyBorder="1" applyAlignment="1">
      <alignment horizontal="center" vertical="center"/>
    </xf>
    <xf numFmtId="0" fontId="4" fillId="11" borderId="187" xfId="0" applyFont="1" applyFill="1" applyBorder="1" applyAlignment="1">
      <alignment horizontal="center" vertical="center"/>
    </xf>
    <xf numFmtId="0" fontId="4" fillId="11" borderId="189" xfId="0" applyFont="1" applyFill="1" applyBorder="1" applyAlignment="1">
      <alignment horizontal="center" vertical="center"/>
    </xf>
    <xf numFmtId="0" fontId="4" fillId="9" borderId="185" xfId="0" applyFont="1" applyFill="1" applyBorder="1" applyAlignment="1">
      <alignment horizontal="center" vertical="center"/>
    </xf>
    <xf numFmtId="0" fontId="4" fillId="9" borderId="189" xfId="0" applyFont="1" applyFill="1" applyBorder="1" applyAlignment="1">
      <alignment horizontal="center" vertical="center"/>
    </xf>
    <xf numFmtId="0" fontId="4" fillId="0" borderId="187" xfId="0" applyFont="1" applyBorder="1" applyAlignment="1">
      <alignment horizontal="center" vertical="center"/>
    </xf>
    <xf numFmtId="0" fontId="4" fillId="0" borderId="188" xfId="0" applyFont="1" applyBorder="1" applyAlignment="1">
      <alignment horizontal="center" vertical="center"/>
    </xf>
    <xf numFmtId="0" fontId="4" fillId="0" borderId="189" xfId="0" applyFont="1" applyBorder="1" applyAlignment="1">
      <alignment horizontal="center" vertical="center"/>
    </xf>
    <xf numFmtId="0" fontId="4" fillId="0" borderId="129" xfId="0" applyFont="1" applyBorder="1" applyAlignment="1">
      <alignment horizontal="center" vertical="center"/>
    </xf>
    <xf numFmtId="0" fontId="4" fillId="8" borderId="129" xfId="0" applyFont="1" applyFill="1" applyBorder="1" applyAlignment="1">
      <alignment horizontal="center" vertical="center"/>
    </xf>
    <xf numFmtId="0" fontId="4" fillId="0" borderId="168" xfId="0" applyFont="1" applyBorder="1" applyAlignment="1">
      <alignment horizontal="center" vertical="center"/>
    </xf>
    <xf numFmtId="0" fontId="4" fillId="9" borderId="102" xfId="0" applyFont="1" applyFill="1" applyBorder="1" applyAlignment="1">
      <alignment horizontal="center" vertical="center"/>
    </xf>
    <xf numFmtId="0" fontId="4" fillId="9" borderId="170" xfId="0" applyFont="1" applyFill="1" applyBorder="1" applyAlignment="1">
      <alignment horizontal="center" vertical="center"/>
    </xf>
    <xf numFmtId="0" fontId="4" fillId="3" borderId="102" xfId="0" applyFont="1" applyFill="1" applyBorder="1" applyAlignment="1">
      <alignment horizontal="center" vertical="center"/>
    </xf>
    <xf numFmtId="0" fontId="4" fillId="3" borderId="170" xfId="0" applyFont="1" applyFill="1" applyBorder="1" applyAlignment="1">
      <alignment horizontal="center" vertical="center"/>
    </xf>
    <xf numFmtId="0" fontId="4" fillId="9" borderId="182" xfId="0" applyFont="1" applyFill="1" applyBorder="1" applyAlignment="1">
      <alignment horizontal="center" vertical="center"/>
    </xf>
    <xf numFmtId="0" fontId="4" fillId="9" borderId="173" xfId="0" applyFont="1" applyFill="1" applyBorder="1" applyAlignment="1">
      <alignment horizontal="center" vertical="center"/>
    </xf>
    <xf numFmtId="0" fontId="4" fillId="9" borderId="183" xfId="0" applyFont="1" applyFill="1" applyBorder="1" applyAlignment="1">
      <alignment horizontal="center" vertical="center"/>
    </xf>
    <xf numFmtId="0" fontId="4" fillId="9" borderId="172" xfId="0" applyFont="1" applyFill="1" applyBorder="1" applyAlignment="1">
      <alignment horizontal="center" vertical="center"/>
    </xf>
    <xf numFmtId="0" fontId="4" fillId="6" borderId="102" xfId="0" applyFont="1" applyFill="1" applyBorder="1" applyAlignment="1">
      <alignment horizontal="center" vertical="center"/>
    </xf>
    <xf numFmtId="0" fontId="4" fillId="6" borderId="170" xfId="0" applyFont="1" applyFill="1" applyBorder="1" applyAlignment="1">
      <alignment horizontal="center" vertical="center"/>
    </xf>
    <xf numFmtId="0" fontId="4" fillId="5" borderId="102" xfId="0" applyFont="1" applyFill="1" applyBorder="1" applyAlignment="1">
      <alignment horizontal="center" vertical="center"/>
    </xf>
    <xf numFmtId="0" fontId="4" fillId="5" borderId="159" xfId="0" applyFont="1" applyFill="1" applyBorder="1" applyAlignment="1">
      <alignment horizontal="center" vertical="center"/>
    </xf>
    <xf numFmtId="0" fontId="4" fillId="6" borderId="159" xfId="0" applyFont="1" applyFill="1" applyBorder="1" applyAlignment="1">
      <alignment horizontal="center" vertical="center"/>
    </xf>
    <xf numFmtId="0" fontId="4" fillId="9" borderId="129" xfId="0" applyFont="1" applyFill="1" applyBorder="1" applyAlignment="1">
      <alignment horizontal="center" vertical="center"/>
    </xf>
    <xf numFmtId="0" fontId="4" fillId="7" borderId="102" xfId="0" applyFont="1" applyFill="1" applyBorder="1" applyAlignment="1">
      <alignment horizontal="center" vertical="center"/>
    </xf>
    <xf numFmtId="0" fontId="4" fillId="7" borderId="170" xfId="0" applyFont="1" applyFill="1" applyBorder="1" applyAlignment="1">
      <alignment horizontal="center" vertical="center"/>
    </xf>
    <xf numFmtId="0" fontId="4" fillId="5" borderId="129" xfId="0" applyFont="1" applyFill="1" applyBorder="1" applyAlignment="1">
      <alignment horizontal="center" vertical="center"/>
    </xf>
    <xf numFmtId="0" fontId="4" fillId="9" borderId="171" xfId="0" applyFont="1" applyFill="1" applyBorder="1" applyAlignment="1">
      <alignment horizontal="center" vertical="center"/>
    </xf>
    <xf numFmtId="0" fontId="4" fillId="8" borderId="187" xfId="0" applyFont="1" applyFill="1" applyBorder="1" applyAlignment="1">
      <alignment horizontal="center" vertical="center"/>
    </xf>
    <xf numFmtId="0" fontId="4" fillId="8" borderId="188" xfId="0" applyFont="1" applyFill="1" applyBorder="1" applyAlignment="1">
      <alignment horizontal="center" vertical="center"/>
    </xf>
    <xf numFmtId="0" fontId="4" fillId="9" borderId="186" xfId="0" applyFont="1" applyFill="1" applyBorder="1" applyAlignment="1">
      <alignment horizontal="center" vertical="center"/>
    </xf>
    <xf numFmtId="0" fontId="4" fillId="9" borderId="184" xfId="0" applyFont="1" applyFill="1" applyBorder="1" applyAlignment="1">
      <alignment horizontal="center" vertical="center"/>
    </xf>
    <xf numFmtId="0" fontId="4" fillId="9" borderId="120" xfId="0" applyFont="1" applyFill="1" applyBorder="1" applyAlignment="1">
      <alignment horizontal="center" vertical="center"/>
    </xf>
    <xf numFmtId="0" fontId="4" fillId="9" borderId="161" xfId="0" applyFont="1" applyFill="1" applyBorder="1" applyAlignment="1">
      <alignment horizontal="center" vertical="center"/>
    </xf>
    <xf numFmtId="0" fontId="4" fillId="5" borderId="170" xfId="0" applyFont="1" applyFill="1" applyBorder="1" applyAlignment="1">
      <alignment horizontal="center" vertical="center"/>
    </xf>
    <xf numFmtId="0" fontId="4" fillId="0" borderId="122" xfId="0" applyFont="1" applyBorder="1" applyAlignment="1">
      <alignment horizontal="center" vertical="center"/>
    </xf>
    <xf numFmtId="0" fontId="4" fillId="0" borderId="134" xfId="0" applyFont="1" applyBorder="1" applyAlignment="1">
      <alignment horizontal="center" vertical="center"/>
    </xf>
    <xf numFmtId="0" fontId="4" fillId="4" borderId="102" xfId="0" applyFont="1" applyFill="1" applyBorder="1" applyAlignment="1">
      <alignment horizontal="center" vertical="center"/>
    </xf>
    <xf numFmtId="0" fontId="4" fillId="4" borderId="170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horizontal="center" vertical="center"/>
    </xf>
    <xf numFmtId="0" fontId="4" fillId="4" borderId="191" xfId="0" applyFont="1" applyFill="1" applyBorder="1" applyAlignment="1">
      <alignment horizontal="center" vertical="center"/>
    </xf>
    <xf numFmtId="0" fontId="2" fillId="71" borderId="174" xfId="0" applyFont="1" applyFill="1" applyBorder="1" applyAlignment="1">
      <alignment horizontal="center" vertical="center"/>
    </xf>
    <xf numFmtId="0" fontId="3" fillId="72" borderId="175" xfId="0" applyFont="1" applyFill="1" applyBorder="1" applyAlignment="1">
      <alignment vertical="center"/>
    </xf>
    <xf numFmtId="0" fontId="3" fillId="72" borderId="176" xfId="0" applyFont="1" applyFill="1" applyBorder="1" applyAlignment="1">
      <alignment vertical="center"/>
    </xf>
    <xf numFmtId="0" fontId="111" fillId="2" borderId="174" xfId="0" applyFont="1" applyFill="1" applyBorder="1" applyAlignment="1">
      <alignment horizontal="center" vertical="center"/>
    </xf>
    <xf numFmtId="0" fontId="4" fillId="2" borderId="176" xfId="0" applyFont="1" applyFill="1" applyBorder="1" applyAlignment="1">
      <alignment horizontal="center" vertical="center"/>
    </xf>
    <xf numFmtId="0" fontId="4" fillId="0" borderId="160" xfId="0" applyFont="1" applyBorder="1" applyAlignment="1">
      <alignment horizontal="center" vertical="center"/>
    </xf>
    <xf numFmtId="0" fontId="4" fillId="0" borderId="195" xfId="0" applyFont="1" applyBorder="1" applyAlignment="1">
      <alignment horizontal="center" vertical="center"/>
    </xf>
    <xf numFmtId="0" fontId="4" fillId="0" borderId="161" xfId="0" applyFont="1" applyBorder="1" applyAlignment="1">
      <alignment horizontal="center" vertical="center"/>
    </xf>
    <xf numFmtId="0" fontId="4" fillId="9" borderId="194" xfId="0" applyFont="1" applyFill="1" applyBorder="1" applyAlignment="1">
      <alignment horizontal="center" vertical="center"/>
    </xf>
    <xf numFmtId="0" fontId="4" fillId="9" borderId="190" xfId="0" applyFont="1" applyFill="1" applyBorder="1" applyAlignment="1">
      <alignment horizontal="center" vertical="center"/>
    </xf>
    <xf numFmtId="0" fontId="4" fillId="9" borderId="134" xfId="0" applyFont="1" applyFill="1" applyBorder="1" applyAlignment="1">
      <alignment horizontal="center" vertical="center"/>
    </xf>
    <xf numFmtId="0" fontId="4" fillId="6" borderId="184" xfId="0" applyFont="1" applyFill="1" applyBorder="1" applyAlignment="1">
      <alignment horizontal="center" vertical="center"/>
    </xf>
    <xf numFmtId="0" fontId="4" fillId="75" borderId="129" xfId="0" applyFont="1" applyFill="1" applyBorder="1" applyAlignment="1">
      <alignment horizontal="center" vertical="center"/>
    </xf>
    <xf numFmtId="0" fontId="4" fillId="75" borderId="170" xfId="0" applyFont="1" applyFill="1" applyBorder="1" applyAlignment="1">
      <alignment horizontal="center" vertical="center"/>
    </xf>
    <xf numFmtId="0" fontId="4" fillId="73" borderId="184" xfId="0" applyFont="1" applyFill="1" applyBorder="1" applyAlignment="1">
      <alignment horizontal="center" vertical="center"/>
    </xf>
    <xf numFmtId="0" fontId="4" fillId="74" borderId="79" xfId="0" applyFont="1" applyFill="1" applyBorder="1" applyAlignment="1">
      <alignment horizontal="center" vertical="center"/>
    </xf>
    <xf numFmtId="0" fontId="4" fillId="74" borderId="191" xfId="0" applyFont="1" applyFill="1" applyBorder="1" applyAlignment="1">
      <alignment horizontal="center" vertical="center"/>
    </xf>
    <xf numFmtId="0" fontId="4" fillId="4" borderId="184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112" fillId="76" borderId="101" xfId="0" applyFont="1" applyFill="1" applyBorder="1" applyAlignment="1">
      <alignment horizontal="center" vertical="center"/>
    </xf>
    <xf numFmtId="0" fontId="5" fillId="77" borderId="101" xfId="0" applyFont="1" applyFill="1" applyBorder="1" applyAlignment="1">
      <alignment horizontal="center" vertical="center"/>
    </xf>
    <xf numFmtId="0" fontId="111" fillId="2" borderId="178" xfId="0" applyFont="1" applyFill="1" applyBorder="1" applyAlignment="1">
      <alignment horizontal="center" vertical="center"/>
    </xf>
    <xf numFmtId="0" fontId="4" fillId="2" borderId="179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5" fillId="20" borderId="1" xfId="0" applyFont="1" applyFill="1" applyBorder="1" applyAlignment="1">
      <alignment horizontal="center" vertical="center"/>
    </xf>
    <xf numFmtId="0" fontId="15" fillId="20" borderId="52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 vertical="center"/>
    </xf>
    <xf numFmtId="0" fontId="18" fillId="22" borderId="45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vertical="center"/>
    </xf>
    <xf numFmtId="0" fontId="18" fillId="22" borderId="20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8" fillId="14" borderId="20" xfId="0" applyFont="1" applyFill="1" applyBorder="1" applyAlignment="1">
      <alignment horizontal="center" vertical="center" wrapText="1"/>
    </xf>
    <xf numFmtId="0" fontId="8" fillId="14" borderId="25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vertical="center"/>
    </xf>
    <xf numFmtId="0" fontId="8" fillId="14" borderId="14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16" fillId="21" borderId="19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14" fillId="13" borderId="32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8" fillId="14" borderId="56" xfId="0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7" fillId="13" borderId="25" xfId="0" applyFont="1" applyFill="1" applyBorder="1" applyAlignment="1">
      <alignment horizontal="center" vertical="center"/>
    </xf>
    <xf numFmtId="0" fontId="7" fillId="13" borderId="60" xfId="0" applyFont="1" applyFill="1" applyBorder="1" applyAlignment="1">
      <alignment horizontal="center" vertical="center"/>
    </xf>
    <xf numFmtId="0" fontId="3" fillId="0" borderId="61" xfId="0" applyFont="1" applyBorder="1" applyAlignment="1">
      <alignment vertical="center"/>
    </xf>
    <xf numFmtId="0" fontId="14" fillId="13" borderId="62" xfId="0" applyFont="1" applyFill="1" applyBorder="1" applyAlignment="1">
      <alignment horizontal="center" vertical="center" wrapText="1"/>
    </xf>
    <xf numFmtId="0" fontId="3" fillId="0" borderId="67" xfId="0" applyFont="1" applyBorder="1" applyAlignment="1">
      <alignment vertical="center"/>
    </xf>
    <xf numFmtId="0" fontId="7" fillId="13" borderId="4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13" borderId="14" xfId="0" applyFont="1" applyFill="1" applyBorder="1" applyAlignment="1">
      <alignment horizontal="center" vertical="center"/>
    </xf>
    <xf numFmtId="0" fontId="8" fillId="14" borderId="42" xfId="0" applyFont="1" applyFill="1" applyBorder="1" applyAlignment="1">
      <alignment horizontal="center" vertical="center" wrapText="1"/>
    </xf>
    <xf numFmtId="0" fontId="3" fillId="0" borderId="64" xfId="0" applyFont="1" applyBorder="1" applyAlignment="1">
      <alignment vertical="center"/>
    </xf>
    <xf numFmtId="0" fontId="8" fillId="14" borderId="65" xfId="0" applyFont="1" applyFill="1" applyBorder="1" applyAlignment="1">
      <alignment horizontal="center" vertical="center" wrapText="1"/>
    </xf>
    <xf numFmtId="0" fontId="3" fillId="0" borderId="66" xfId="0" applyFont="1" applyBorder="1" applyAlignment="1">
      <alignment vertical="center"/>
    </xf>
    <xf numFmtId="0" fontId="8" fillId="14" borderId="68" xfId="0" applyFont="1" applyFill="1" applyBorder="1" applyAlignment="1">
      <alignment horizontal="center" vertical="center" wrapText="1"/>
    </xf>
    <xf numFmtId="0" fontId="3" fillId="0" borderId="69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25" fillId="26" borderId="1" xfId="0" applyFont="1" applyFill="1" applyBorder="1" applyAlignment="1">
      <alignment horizontal="center" vertical="center"/>
    </xf>
    <xf numFmtId="0" fontId="13" fillId="19" borderId="20" xfId="0" applyFont="1" applyFill="1" applyBorder="1" applyAlignment="1">
      <alignment horizontal="center" vertical="center" wrapText="1"/>
    </xf>
    <xf numFmtId="0" fontId="26" fillId="27" borderId="20" xfId="0" applyFont="1" applyFill="1" applyBorder="1" applyAlignment="1">
      <alignment horizontal="center" vertical="center"/>
    </xf>
    <xf numFmtId="0" fontId="8" fillId="28" borderId="20" xfId="0" applyFont="1" applyFill="1" applyBorder="1" applyAlignment="1">
      <alignment horizontal="center" vertical="center" wrapText="1"/>
    </xf>
    <xf numFmtId="0" fontId="29" fillId="18" borderId="19" xfId="0" applyFont="1" applyFill="1" applyBorder="1" applyAlignment="1">
      <alignment horizontal="center" vertical="center" textRotation="90"/>
    </xf>
    <xf numFmtId="0" fontId="3" fillId="0" borderId="30" xfId="0" applyFont="1" applyBorder="1" applyAlignment="1">
      <alignment vertical="center"/>
    </xf>
    <xf numFmtId="0" fontId="29" fillId="18" borderId="74" xfId="0" applyFont="1" applyFill="1" applyBorder="1" applyAlignment="1">
      <alignment horizontal="center" vertical="center" textRotation="90"/>
    </xf>
    <xf numFmtId="0" fontId="3" fillId="0" borderId="77" xfId="0" applyFont="1" applyBorder="1" applyAlignment="1">
      <alignment vertical="center"/>
    </xf>
    <xf numFmtId="0" fontId="3" fillId="0" borderId="89" xfId="0" applyFont="1" applyBorder="1" applyAlignment="1">
      <alignment vertical="center"/>
    </xf>
    <xf numFmtId="0" fontId="29" fillId="17" borderId="74" xfId="0" applyFont="1" applyFill="1" applyBorder="1" applyAlignment="1">
      <alignment horizontal="center" vertical="center" textRotation="90"/>
    </xf>
    <xf numFmtId="0" fontId="29" fillId="17" borderId="19" xfId="0" applyFont="1" applyFill="1" applyBorder="1" applyAlignment="1">
      <alignment horizontal="center" vertical="center" textRotation="90"/>
    </xf>
    <xf numFmtId="0" fontId="5" fillId="5" borderId="20" xfId="0" applyFont="1" applyFill="1" applyBorder="1" applyAlignment="1">
      <alignment horizontal="center" vertical="center"/>
    </xf>
    <xf numFmtId="0" fontId="27" fillId="12" borderId="20" xfId="0" applyFont="1" applyFill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3" fillId="0" borderId="73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2" fillId="0" borderId="83" xfId="0" applyFont="1" applyBorder="1" applyAlignment="1">
      <alignment horizontal="center" vertical="center" wrapText="1"/>
    </xf>
    <xf numFmtId="0" fontId="3" fillId="0" borderId="84" xfId="0" applyFont="1" applyBorder="1" applyAlignment="1">
      <alignment vertical="center"/>
    </xf>
    <xf numFmtId="0" fontId="2" fillId="17" borderId="45" xfId="0" applyFont="1" applyFill="1" applyBorder="1" applyAlignment="1">
      <alignment horizontal="center" vertical="center" wrapText="1"/>
    </xf>
    <xf numFmtId="0" fontId="43" fillId="13" borderId="86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5" fillId="30" borderId="41" xfId="0" applyFont="1" applyFill="1" applyBorder="1" applyAlignment="1">
      <alignment horizontal="center" vertical="center" wrapText="1"/>
    </xf>
    <xf numFmtId="0" fontId="3" fillId="0" borderId="91" xfId="0" applyFont="1" applyBorder="1" applyAlignment="1">
      <alignment vertical="center"/>
    </xf>
    <xf numFmtId="0" fontId="45" fillId="13" borderId="14" xfId="0" applyFont="1" applyFill="1" applyBorder="1" applyAlignment="1">
      <alignment horizontal="center" vertical="center" wrapText="1"/>
    </xf>
    <xf numFmtId="0" fontId="44" fillId="30" borderId="90" xfId="0" applyFont="1" applyFill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center" vertical="center" wrapText="1"/>
    </xf>
    <xf numFmtId="0" fontId="35" fillId="31" borderId="14" xfId="0" applyFont="1" applyFill="1" applyBorder="1" applyAlignment="1">
      <alignment horizontal="center" vertical="center" wrapText="1"/>
    </xf>
    <xf numFmtId="0" fontId="15" fillId="33" borderId="42" xfId="0" applyFont="1" applyFill="1" applyBorder="1" applyAlignment="1">
      <alignment horizontal="center" vertical="center" wrapText="1"/>
    </xf>
    <xf numFmtId="0" fontId="20" fillId="13" borderId="88" xfId="0" applyFont="1" applyFill="1" applyBorder="1" applyAlignment="1">
      <alignment horizontal="center" vertical="center"/>
    </xf>
    <xf numFmtId="0" fontId="46" fillId="13" borderId="88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5" fillId="17" borderId="45" xfId="0" applyFont="1" applyFill="1" applyBorder="1" applyAlignment="1">
      <alignment horizontal="center" vertical="center" wrapText="1"/>
    </xf>
    <xf numFmtId="0" fontId="3" fillId="0" borderId="80" xfId="0" applyFont="1" applyBorder="1" applyAlignment="1">
      <alignment vertical="center"/>
    </xf>
    <xf numFmtId="0" fontId="35" fillId="31" borderId="45" xfId="0" applyFont="1" applyFill="1" applyBorder="1" applyAlignment="1">
      <alignment horizontal="center" vertical="center" wrapText="1"/>
    </xf>
    <xf numFmtId="0" fontId="35" fillId="17" borderId="45" xfId="0" applyFont="1" applyFill="1" applyBorder="1" applyAlignment="1">
      <alignment horizontal="center" vertical="center"/>
    </xf>
    <xf numFmtId="0" fontId="42" fillId="13" borderId="88" xfId="0" applyFont="1" applyFill="1" applyBorder="1" applyAlignment="1">
      <alignment horizontal="center" vertical="center"/>
    </xf>
    <xf numFmtId="0" fontId="31" fillId="13" borderId="86" xfId="0" applyFont="1" applyFill="1" applyBorder="1" applyAlignment="1">
      <alignment horizontal="center" vertical="center"/>
    </xf>
    <xf numFmtId="0" fontId="35" fillId="30" borderId="45" xfId="0" applyFont="1" applyFill="1" applyBorder="1" applyAlignment="1">
      <alignment horizontal="center" vertical="center" wrapText="1"/>
    </xf>
    <xf numFmtId="0" fontId="35" fillId="18" borderId="45" xfId="0" applyFont="1" applyFill="1" applyBorder="1" applyAlignment="1">
      <alignment horizontal="center" vertical="center" wrapText="1"/>
    </xf>
    <xf numFmtId="0" fontId="17" fillId="13" borderId="88" xfId="0" applyFont="1" applyFill="1" applyBorder="1" applyAlignment="1">
      <alignment horizontal="center" vertical="center"/>
    </xf>
    <xf numFmtId="0" fontId="2" fillId="14" borderId="45" xfId="0" applyFont="1" applyFill="1" applyBorder="1" applyAlignment="1">
      <alignment horizontal="center" vertical="center" wrapText="1"/>
    </xf>
    <xf numFmtId="0" fontId="2" fillId="18" borderId="45" xfId="0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/>
    </xf>
    <xf numFmtId="0" fontId="30" fillId="13" borderId="53" xfId="0" applyFont="1" applyFill="1" applyBorder="1" applyAlignment="1">
      <alignment horizontal="center" vertical="center"/>
    </xf>
    <xf numFmtId="0" fontId="3" fillId="0" borderId="81" xfId="0" applyFont="1" applyBorder="1" applyAlignment="1">
      <alignment vertical="center"/>
    </xf>
    <xf numFmtId="0" fontId="21" fillId="13" borderId="86" xfId="0" applyFont="1" applyFill="1" applyBorder="1" applyAlignment="1">
      <alignment horizontal="center" vertical="center"/>
    </xf>
    <xf numFmtId="0" fontId="40" fillId="13" borderId="86" xfId="0" applyFont="1" applyFill="1" applyBorder="1" applyAlignment="1">
      <alignment horizontal="center" vertical="center"/>
    </xf>
    <xf numFmtId="0" fontId="33" fillId="24" borderId="45" xfId="0" applyFont="1" applyFill="1" applyBorder="1" applyAlignment="1">
      <alignment horizontal="center" vertical="center"/>
    </xf>
    <xf numFmtId="0" fontId="3" fillId="0" borderId="87" xfId="0" applyFont="1" applyBorder="1" applyAlignment="1">
      <alignment vertical="center"/>
    </xf>
    <xf numFmtId="0" fontId="14" fillId="19" borderId="1" xfId="0" applyFont="1" applyFill="1" applyBorder="1" applyAlignment="1">
      <alignment horizontal="center" vertical="center" wrapText="1"/>
    </xf>
    <xf numFmtId="0" fontId="2" fillId="30" borderId="45" xfId="0" applyFont="1" applyFill="1" applyBorder="1" applyAlignment="1">
      <alignment horizontal="center" vertical="center"/>
    </xf>
    <xf numFmtId="0" fontId="2" fillId="14" borderId="86" xfId="0" applyFont="1" applyFill="1" applyBorder="1" applyAlignment="1">
      <alignment horizontal="center" vertical="center" wrapText="1"/>
    </xf>
    <xf numFmtId="0" fontId="3" fillId="0" borderId="97" xfId="0" applyFont="1" applyBorder="1" applyAlignment="1">
      <alignment vertical="center"/>
    </xf>
    <xf numFmtId="0" fontId="3" fillId="0" borderId="95" xfId="0" applyFont="1" applyBorder="1" applyAlignment="1">
      <alignment vertical="center"/>
    </xf>
    <xf numFmtId="0" fontId="2" fillId="2" borderId="4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9" fillId="31" borderId="74" xfId="0" applyFont="1" applyFill="1" applyBorder="1" applyAlignment="1">
      <alignment horizontal="center" vertical="center" textRotation="90"/>
    </xf>
    <xf numFmtId="0" fontId="50" fillId="27" borderId="100" xfId="0" applyFont="1" applyFill="1" applyBorder="1" applyAlignment="1">
      <alignment horizontal="center" vertical="center" wrapText="1"/>
    </xf>
    <xf numFmtId="0" fontId="50" fillId="34" borderId="1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50" fillId="27" borderId="62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4" fillId="4" borderId="45" xfId="0" applyFont="1" applyFill="1" applyBorder="1" applyAlignment="1">
      <alignment horizontal="center" vertical="center" wrapText="1"/>
    </xf>
    <xf numFmtId="0" fontId="50" fillId="27" borderId="19" xfId="0" applyFont="1" applyFill="1" applyBorder="1" applyAlignment="1">
      <alignment horizontal="center" vertical="center" wrapText="1"/>
    </xf>
    <xf numFmtId="0" fontId="50" fillId="10" borderId="90" xfId="0" applyFont="1" applyFill="1" applyBorder="1" applyAlignment="1">
      <alignment horizontal="center" vertical="center" wrapText="1"/>
    </xf>
    <xf numFmtId="0" fontId="51" fillId="30" borderId="90" xfId="0" applyFont="1" applyFill="1" applyBorder="1" applyAlignment="1">
      <alignment horizontal="center" vertical="center" wrapText="1"/>
    </xf>
    <xf numFmtId="0" fontId="34" fillId="30" borderId="41" xfId="0" applyFont="1" applyFill="1" applyBorder="1" applyAlignment="1">
      <alignment horizontal="center" vertical="center" wrapText="1"/>
    </xf>
    <xf numFmtId="0" fontId="52" fillId="13" borderId="14" xfId="0" applyFont="1" applyFill="1" applyBorder="1" applyAlignment="1">
      <alignment horizontal="center" vertical="center" wrapText="1"/>
    </xf>
    <xf numFmtId="0" fontId="50" fillId="27" borderId="19" xfId="0" applyFont="1" applyFill="1" applyBorder="1" applyAlignment="1">
      <alignment horizontal="center" vertical="center"/>
    </xf>
    <xf numFmtId="0" fontId="56" fillId="13" borderId="20" xfId="0" applyFont="1" applyFill="1" applyBorder="1" applyAlignment="1">
      <alignment horizontal="center" vertical="center"/>
    </xf>
    <xf numFmtId="0" fontId="56" fillId="13" borderId="14" xfId="0" applyFont="1" applyFill="1" applyBorder="1" applyAlignment="1">
      <alignment horizontal="center" vertical="center"/>
    </xf>
    <xf numFmtId="0" fontId="36" fillId="16" borderId="20" xfId="0" applyFont="1" applyFill="1" applyBorder="1" applyAlignment="1">
      <alignment horizontal="center" vertical="center" wrapText="1"/>
    </xf>
    <xf numFmtId="0" fontId="48" fillId="3" borderId="56" xfId="0" applyFont="1" applyFill="1" applyBorder="1" applyAlignment="1">
      <alignment horizontal="center" vertical="center"/>
    </xf>
    <xf numFmtId="0" fontId="56" fillId="0" borderId="71" xfId="0" applyFont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center" vertical="center"/>
    </xf>
    <xf numFmtId="0" fontId="38" fillId="0" borderId="71" xfId="0" applyFont="1" applyBorder="1" applyAlignment="1">
      <alignment horizontal="center" vertical="center" wrapText="1"/>
    </xf>
    <xf numFmtId="0" fontId="59" fillId="3" borderId="19" xfId="0" applyFont="1" applyFill="1" applyBorder="1" applyAlignment="1">
      <alignment horizontal="center" vertical="center" wrapText="1"/>
    </xf>
    <xf numFmtId="0" fontId="38" fillId="3" borderId="68" xfId="0" applyFont="1" applyFill="1" applyBorder="1" applyAlignment="1">
      <alignment horizontal="center" vertical="center"/>
    </xf>
    <xf numFmtId="0" fontId="36" fillId="13" borderId="45" xfId="0" applyFont="1" applyFill="1" applyBorder="1" applyAlignment="1">
      <alignment horizontal="center" vertical="center"/>
    </xf>
    <xf numFmtId="0" fontId="36" fillId="16" borderId="14" xfId="0" applyFont="1" applyFill="1" applyBorder="1" applyAlignment="1">
      <alignment horizontal="center" vertical="center" wrapText="1"/>
    </xf>
    <xf numFmtId="0" fontId="58" fillId="3" borderId="20" xfId="0" applyFont="1" applyFill="1" applyBorder="1" applyAlignment="1">
      <alignment horizontal="center" vertical="center" wrapText="1"/>
    </xf>
    <xf numFmtId="0" fontId="36" fillId="13" borderId="20" xfId="0" applyFont="1" applyFill="1" applyBorder="1" applyAlignment="1">
      <alignment horizontal="center" vertical="center"/>
    </xf>
    <xf numFmtId="0" fontId="36" fillId="13" borderId="14" xfId="0" applyFont="1" applyFill="1" applyBorder="1" applyAlignment="1">
      <alignment horizontal="center" vertical="center"/>
    </xf>
    <xf numFmtId="0" fontId="2" fillId="17" borderId="20" xfId="0" applyFont="1" applyFill="1" applyBorder="1" applyAlignment="1">
      <alignment horizontal="center" vertical="center" wrapText="1"/>
    </xf>
    <xf numFmtId="0" fontId="2" fillId="17" borderId="25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 vertical="center" wrapText="1"/>
    </xf>
    <xf numFmtId="0" fontId="47" fillId="29" borderId="62" xfId="0" applyFont="1" applyFill="1" applyBorder="1" applyAlignment="1">
      <alignment horizontal="center" vertical="center" wrapText="1"/>
    </xf>
    <xf numFmtId="0" fontId="3" fillId="0" borderId="101" xfId="0" applyFont="1" applyBorder="1" applyAlignment="1">
      <alignment vertical="center"/>
    </xf>
    <xf numFmtId="0" fontId="2" fillId="3" borderId="116" xfId="0" applyFont="1" applyFill="1" applyBorder="1" applyAlignment="1">
      <alignment horizontal="center" vertical="center" wrapText="1"/>
    </xf>
    <xf numFmtId="0" fontId="3" fillId="0" borderId="118" xfId="0" applyFont="1" applyBorder="1" applyAlignment="1">
      <alignment vertical="center"/>
    </xf>
    <xf numFmtId="0" fontId="5" fillId="0" borderId="2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2" fillId="3" borderId="62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 vertical="center"/>
    </xf>
    <xf numFmtId="0" fontId="2" fillId="18" borderId="112" xfId="0" applyFont="1" applyFill="1" applyBorder="1" applyAlignment="1">
      <alignment horizontal="center" vertical="center" wrapText="1"/>
    </xf>
    <xf numFmtId="0" fontId="3" fillId="0" borderId="113" xfId="0" applyFont="1" applyBorder="1" applyAlignment="1">
      <alignment vertical="center"/>
    </xf>
    <xf numFmtId="0" fontId="3" fillId="0" borderId="114" xfId="0" applyFont="1" applyBorder="1" applyAlignment="1">
      <alignment vertical="center"/>
    </xf>
    <xf numFmtId="0" fontId="2" fillId="17" borderId="41" xfId="0" applyFont="1" applyFill="1" applyBorder="1" applyAlignment="1">
      <alignment horizontal="center" vertical="center" wrapText="1"/>
    </xf>
    <xf numFmtId="0" fontId="3" fillId="0" borderId="109" xfId="0" applyFont="1" applyBorder="1" applyAlignment="1">
      <alignment vertical="center"/>
    </xf>
    <xf numFmtId="0" fontId="29" fillId="31" borderId="62" xfId="0" applyFont="1" applyFill="1" applyBorder="1" applyAlignment="1">
      <alignment horizontal="center" vertical="center" textRotation="90"/>
    </xf>
    <xf numFmtId="0" fontId="50" fillId="27" borderId="90" xfId="0" applyFont="1" applyFill="1" applyBorder="1" applyAlignment="1">
      <alignment horizontal="center" vertical="center"/>
    </xf>
    <xf numFmtId="0" fontId="50" fillId="10" borderId="19" xfId="0" applyFont="1" applyFill="1" applyBorder="1" applyAlignment="1">
      <alignment horizontal="center" vertical="center"/>
    </xf>
    <xf numFmtId="0" fontId="50" fillId="10" borderId="19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32" fillId="21" borderId="1" xfId="0" applyFont="1" applyFill="1" applyBorder="1" applyAlignment="1">
      <alignment horizontal="center" vertical="center" wrapText="1"/>
    </xf>
    <xf numFmtId="0" fontId="3" fillId="0" borderId="108" xfId="0" applyFont="1" applyBorder="1" applyAlignment="1">
      <alignment vertical="center"/>
    </xf>
    <xf numFmtId="0" fontId="50" fillId="34" borderId="19" xfId="0" applyFont="1" applyFill="1" applyBorder="1" applyAlignment="1">
      <alignment horizontal="center" vertical="center"/>
    </xf>
    <xf numFmtId="0" fontId="50" fillId="27" borderId="90" xfId="0" applyFont="1" applyFill="1" applyBorder="1" applyAlignment="1">
      <alignment horizontal="center" vertical="center" wrapText="1"/>
    </xf>
    <xf numFmtId="0" fontId="32" fillId="38" borderId="106" xfId="0" applyFont="1" applyFill="1" applyBorder="1" applyAlignment="1">
      <alignment horizontal="center" vertical="center"/>
    </xf>
    <xf numFmtId="0" fontId="3" fillId="0" borderId="107" xfId="0" applyFont="1" applyBorder="1" applyAlignment="1">
      <alignment vertical="center"/>
    </xf>
    <xf numFmtId="0" fontId="56" fillId="13" borderId="45" xfId="0" applyFont="1" applyFill="1" applyBorder="1" applyAlignment="1">
      <alignment horizontal="center" vertical="center"/>
    </xf>
    <xf numFmtId="0" fontId="56" fillId="13" borderId="6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17" borderId="124" xfId="0" applyFont="1" applyFill="1" applyBorder="1" applyAlignment="1">
      <alignment horizontal="center" vertical="center" wrapText="1"/>
    </xf>
    <xf numFmtId="0" fontId="36" fillId="16" borderId="45" xfId="0" applyFont="1" applyFill="1" applyBorder="1" applyAlignment="1">
      <alignment horizontal="center" vertical="center" wrapText="1"/>
    </xf>
    <xf numFmtId="0" fontId="36" fillId="13" borderId="53" xfId="0" applyFont="1" applyFill="1" applyBorder="1" applyAlignment="1">
      <alignment horizontal="center" vertical="center"/>
    </xf>
    <xf numFmtId="0" fontId="36" fillId="13" borderId="5" xfId="0" applyFont="1" applyFill="1" applyBorder="1" applyAlignment="1">
      <alignment horizontal="center" vertical="center"/>
    </xf>
    <xf numFmtId="0" fontId="36" fillId="13" borderId="88" xfId="0" applyFont="1" applyFill="1" applyBorder="1" applyAlignment="1">
      <alignment horizontal="center" vertical="center"/>
    </xf>
    <xf numFmtId="0" fontId="29" fillId="18" borderId="62" xfId="0" applyFont="1" applyFill="1" applyBorder="1" applyAlignment="1">
      <alignment horizontal="center" vertical="center" textRotation="90"/>
    </xf>
    <xf numFmtId="0" fontId="34" fillId="2" borderId="19" xfId="0" applyFont="1" applyFill="1" applyBorder="1" applyAlignment="1">
      <alignment horizontal="center" vertical="center" wrapText="1"/>
    </xf>
    <xf numFmtId="0" fontId="14" fillId="19" borderId="52" xfId="0" applyFont="1" applyFill="1" applyBorder="1" applyAlignment="1">
      <alignment horizontal="center" vertical="center" wrapText="1"/>
    </xf>
    <xf numFmtId="0" fontId="50" fillId="10" borderId="62" xfId="0" applyFont="1" applyFill="1" applyBorder="1" applyAlignment="1">
      <alignment horizontal="center" vertical="center" wrapText="1"/>
    </xf>
    <xf numFmtId="0" fontId="7" fillId="13" borderId="45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61" fillId="30" borderId="20" xfId="0" applyFont="1" applyFill="1" applyBorder="1" applyAlignment="1">
      <alignment horizontal="center" vertical="center" wrapText="1"/>
    </xf>
    <xf numFmtId="0" fontId="2" fillId="13" borderId="45" xfId="0" applyFont="1" applyFill="1" applyBorder="1" applyAlignment="1">
      <alignment horizontal="center" vertical="center"/>
    </xf>
    <xf numFmtId="0" fontId="34" fillId="30" borderId="20" xfId="0" applyFont="1" applyFill="1" applyBorder="1" applyAlignment="1">
      <alignment horizontal="center" vertical="center" wrapText="1"/>
    </xf>
    <xf numFmtId="0" fontId="16" fillId="39" borderId="88" xfId="0" applyFont="1" applyFill="1" applyBorder="1" applyAlignment="1">
      <alignment horizontal="center" vertical="center"/>
    </xf>
    <xf numFmtId="0" fontId="16" fillId="27" borderId="45" xfId="0" applyFont="1" applyFill="1" applyBorder="1" applyAlignment="1">
      <alignment horizontal="center" vertical="center"/>
    </xf>
    <xf numFmtId="0" fontId="22" fillId="34" borderId="127" xfId="0" applyFont="1" applyFill="1" applyBorder="1" applyAlignment="1">
      <alignment horizontal="center" vertical="center"/>
    </xf>
    <xf numFmtId="0" fontId="3" fillId="0" borderId="128" xfId="0" applyFont="1" applyBorder="1" applyAlignment="1">
      <alignment vertical="center"/>
    </xf>
    <xf numFmtId="0" fontId="16" fillId="4" borderId="127" xfId="0" applyFont="1" applyFill="1" applyBorder="1" applyAlignment="1">
      <alignment horizontal="center" vertical="center"/>
    </xf>
    <xf numFmtId="0" fontId="62" fillId="22" borderId="45" xfId="0" applyFont="1" applyFill="1" applyBorder="1" applyAlignment="1">
      <alignment horizontal="center" vertical="center"/>
    </xf>
    <xf numFmtId="0" fontId="16" fillId="17" borderId="45" xfId="0" applyFont="1" applyFill="1" applyBorder="1" applyAlignment="1">
      <alignment horizontal="center" vertical="center"/>
    </xf>
    <xf numFmtId="0" fontId="62" fillId="22" borderId="88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0" fontId="16" fillId="21" borderId="74" xfId="0" applyFont="1" applyFill="1" applyBorder="1" applyAlignment="1">
      <alignment horizontal="center" vertical="center" wrapText="1"/>
    </xf>
    <xf numFmtId="0" fontId="16" fillId="15" borderId="88" xfId="0" applyFont="1" applyFill="1" applyBorder="1" applyAlignment="1">
      <alignment horizontal="center" vertical="center"/>
    </xf>
    <xf numFmtId="0" fontId="22" fillId="34" borderId="88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16" fillId="21" borderId="19" xfId="0" applyFont="1" applyFill="1" applyBorder="1" applyAlignment="1">
      <alignment horizontal="center" vertical="center"/>
    </xf>
    <xf numFmtId="0" fontId="16" fillId="4" borderId="45" xfId="0" applyFont="1" applyFill="1" applyBorder="1" applyAlignment="1">
      <alignment horizontal="center" vertical="center"/>
    </xf>
    <xf numFmtId="0" fontId="22" fillId="40" borderId="88" xfId="0" applyFont="1" applyFill="1" applyBorder="1" applyAlignment="1">
      <alignment horizontal="center" vertical="center"/>
    </xf>
    <xf numFmtId="0" fontId="22" fillId="41" borderId="45" xfId="0" applyFont="1" applyFill="1" applyBorder="1" applyAlignment="1">
      <alignment horizontal="center" vertical="center"/>
    </xf>
    <xf numFmtId="0" fontId="18" fillId="23" borderId="45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3" fillId="0" borderId="135" xfId="0" applyFont="1" applyBorder="1" applyAlignment="1">
      <alignment vertical="center"/>
    </xf>
    <xf numFmtId="0" fontId="12" fillId="19" borderId="45" xfId="0" applyFont="1" applyFill="1" applyBorder="1" applyAlignment="1">
      <alignment horizontal="center" vertical="center"/>
    </xf>
    <xf numFmtId="0" fontId="14" fillId="24" borderId="32" xfId="0" applyFont="1" applyFill="1" applyBorder="1" applyAlignment="1">
      <alignment horizontal="center" vertical="center" wrapText="1"/>
    </xf>
    <xf numFmtId="0" fontId="16" fillId="21" borderId="132" xfId="0" applyFont="1" applyFill="1" applyBorder="1" applyAlignment="1">
      <alignment horizontal="center" vertical="center" wrapText="1"/>
    </xf>
    <xf numFmtId="0" fontId="18" fillId="21" borderId="53" xfId="0" applyFont="1" applyFill="1" applyBorder="1" applyAlignment="1">
      <alignment horizontal="center" vertical="center"/>
    </xf>
    <xf numFmtId="0" fontId="7" fillId="13" borderId="133" xfId="0" applyFont="1" applyFill="1" applyBorder="1" applyAlignment="1">
      <alignment horizontal="center" vertical="center"/>
    </xf>
    <xf numFmtId="0" fontId="19" fillId="5" borderId="88" xfId="0" applyFont="1" applyFill="1" applyBorder="1" applyAlignment="1">
      <alignment horizontal="center" vertical="center"/>
    </xf>
    <xf numFmtId="0" fontId="16" fillId="22" borderId="132" xfId="0" applyFont="1" applyFill="1" applyBorder="1" applyAlignment="1">
      <alignment horizontal="center" vertical="center" wrapText="1"/>
    </xf>
    <xf numFmtId="0" fontId="16" fillId="21" borderId="132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horizontal="center" vertical="center" wrapText="1"/>
    </xf>
    <xf numFmtId="0" fontId="18" fillId="21" borderId="136" xfId="0" applyFont="1" applyFill="1" applyBorder="1" applyAlignment="1">
      <alignment horizontal="center" vertical="center"/>
    </xf>
    <xf numFmtId="0" fontId="3" fillId="0" borderId="138" xfId="0" applyFont="1" applyBorder="1" applyAlignment="1">
      <alignment vertical="center"/>
    </xf>
    <xf numFmtId="0" fontId="18" fillId="44" borderId="136" xfId="0" applyFont="1" applyFill="1" applyBorder="1" applyAlignment="1">
      <alignment horizontal="center" vertical="center"/>
    </xf>
    <xf numFmtId="0" fontId="3" fillId="0" borderId="134" xfId="0" applyFont="1" applyBorder="1" applyAlignment="1">
      <alignment vertical="center"/>
    </xf>
    <xf numFmtId="0" fontId="35" fillId="21" borderId="19" xfId="0" applyFont="1" applyFill="1" applyBorder="1" applyAlignment="1">
      <alignment horizontal="center" vertical="center" wrapText="1"/>
    </xf>
    <xf numFmtId="0" fontId="35" fillId="21" borderId="19" xfId="0" applyFont="1" applyFill="1" applyBorder="1" applyAlignment="1">
      <alignment horizontal="center" vertical="center"/>
    </xf>
    <xf numFmtId="0" fontId="35" fillId="22" borderId="19" xfId="0" applyFont="1" applyFill="1" applyBorder="1" applyAlignment="1">
      <alignment horizontal="center" vertical="center" wrapText="1"/>
    </xf>
    <xf numFmtId="0" fontId="35" fillId="22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 textRotation="90" wrapText="1"/>
    </xf>
    <xf numFmtId="0" fontId="5" fillId="0" borderId="94" xfId="0" applyFont="1" applyBorder="1" applyAlignment="1">
      <alignment horizontal="center" vertical="center" textRotation="90"/>
    </xf>
    <xf numFmtId="0" fontId="3" fillId="0" borderId="43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5" fillId="0" borderId="94" xfId="0" applyFont="1" applyBorder="1" applyAlignment="1">
      <alignment horizontal="center" vertical="center" textRotation="90" wrapText="1"/>
    </xf>
    <xf numFmtId="0" fontId="5" fillId="0" borderId="7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/>
    </xf>
    <xf numFmtId="0" fontId="35" fillId="21" borderId="90" xfId="0" applyFont="1" applyFill="1" applyBorder="1" applyAlignment="1">
      <alignment horizontal="center" vertical="center" wrapText="1"/>
    </xf>
    <xf numFmtId="0" fontId="35" fillId="48" borderId="129" xfId="0" applyFont="1" applyFill="1" applyBorder="1" applyAlignment="1">
      <alignment horizontal="center" vertical="center" wrapText="1"/>
    </xf>
    <xf numFmtId="0" fontId="35" fillId="48" borderId="20" xfId="0" applyFont="1" applyFill="1" applyBorder="1" applyAlignment="1">
      <alignment horizontal="center" vertical="center" wrapText="1"/>
    </xf>
    <xf numFmtId="0" fontId="35" fillId="34" borderId="1" xfId="0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center" wrapText="1"/>
    </xf>
    <xf numFmtId="0" fontId="73" fillId="34" borderId="20" xfId="0" applyFont="1" applyFill="1" applyBorder="1" applyAlignment="1">
      <alignment horizontal="center" vertical="center" wrapText="1"/>
    </xf>
    <xf numFmtId="0" fontId="35" fillId="48" borderId="154" xfId="0" applyFont="1" applyFill="1" applyBorder="1" applyAlignment="1">
      <alignment horizontal="center" vertical="center" wrapText="1"/>
    </xf>
    <xf numFmtId="0" fontId="3" fillId="0" borderId="152" xfId="0" applyFont="1" applyBorder="1" applyAlignment="1">
      <alignment vertical="center"/>
    </xf>
    <xf numFmtId="0" fontId="3" fillId="0" borderId="151" xfId="0" applyFont="1" applyBorder="1" applyAlignment="1">
      <alignment vertical="center"/>
    </xf>
    <xf numFmtId="0" fontId="35" fillId="48" borderId="150" xfId="0" applyFont="1" applyFill="1" applyBorder="1" applyAlignment="1">
      <alignment horizontal="center" vertical="center" wrapText="1"/>
    </xf>
    <xf numFmtId="0" fontId="4" fillId="38" borderId="106" xfId="0" applyFont="1" applyFill="1" applyBorder="1" applyAlignment="1">
      <alignment horizontal="center" vertical="center"/>
    </xf>
    <xf numFmtId="0" fontId="4" fillId="0" borderId="83" xfId="0" applyFont="1" applyBorder="1" applyAlignment="1">
      <alignment horizontal="center" vertical="center" wrapText="1"/>
    </xf>
    <xf numFmtId="0" fontId="73" fillId="34" borderId="150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56" xfId="0" applyFont="1" applyBorder="1" applyAlignment="1">
      <alignment vertical="center"/>
    </xf>
    <xf numFmtId="0" fontId="35" fillId="48" borderId="157" xfId="0" applyFont="1" applyFill="1" applyBorder="1" applyAlignment="1">
      <alignment horizontal="center" vertical="center" wrapText="1"/>
    </xf>
    <xf numFmtId="0" fontId="3" fillId="0" borderId="158" xfId="0" applyFont="1" applyBorder="1" applyAlignment="1">
      <alignment vertical="center"/>
    </xf>
    <xf numFmtId="0" fontId="2" fillId="48" borderId="20" xfId="0" applyFont="1" applyFill="1" applyBorder="1" applyAlignment="1">
      <alignment horizontal="center" vertical="center" wrapText="1"/>
    </xf>
    <xf numFmtId="0" fontId="4" fillId="21" borderId="20" xfId="0" applyFont="1" applyFill="1" applyBorder="1" applyAlignment="1">
      <alignment horizontal="center" vertical="center" wrapText="1"/>
    </xf>
    <xf numFmtId="0" fontId="75" fillId="26" borderId="20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2" fillId="16" borderId="83" xfId="0" applyFont="1" applyFill="1" applyBorder="1" applyAlignment="1">
      <alignment horizontal="center" vertical="center" wrapText="1"/>
    </xf>
    <xf numFmtId="0" fontId="4" fillId="28" borderId="20" xfId="0" applyFont="1" applyFill="1" applyBorder="1" applyAlignment="1">
      <alignment horizontal="center" vertical="center"/>
    </xf>
    <xf numFmtId="0" fontId="3" fillId="0" borderId="148" xfId="0" applyFont="1" applyBorder="1" applyAlignment="1">
      <alignment vertical="center"/>
    </xf>
    <xf numFmtId="0" fontId="14" fillId="19" borderId="42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79" fillId="34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/>
    </xf>
    <xf numFmtId="0" fontId="18" fillId="50" borderId="1" xfId="0" applyFont="1" applyFill="1" applyBorder="1" applyAlignment="1">
      <alignment horizontal="center" vertical="center"/>
    </xf>
    <xf numFmtId="164" fontId="34" fillId="14" borderId="83" xfId="0" applyNumberFormat="1" applyFont="1" applyFill="1" applyBorder="1" applyAlignment="1">
      <alignment horizontal="center" vertical="center"/>
    </xf>
    <xf numFmtId="0" fontId="79" fillId="49" borderId="1" xfId="0" applyFont="1" applyFill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78" fillId="35" borderId="32" xfId="0" applyFont="1" applyFill="1" applyBorder="1" applyAlignment="1">
      <alignment horizontal="center" vertical="center"/>
    </xf>
    <xf numFmtId="0" fontId="26" fillId="35" borderId="1" xfId="0" applyFont="1" applyFill="1" applyBorder="1" applyAlignment="1">
      <alignment horizontal="center" vertical="center"/>
    </xf>
    <xf numFmtId="0" fontId="78" fillId="35" borderId="45" xfId="0" applyFont="1" applyFill="1" applyBorder="1" applyAlignment="1">
      <alignment horizontal="center" vertical="center"/>
    </xf>
    <xf numFmtId="0" fontId="78" fillId="34" borderId="32" xfId="0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7" fillId="34" borderId="20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7" fillId="0" borderId="20" xfId="0" applyFont="1" applyBorder="1" applyAlignment="1">
      <alignment horizontal="center" vertical="center" wrapText="1"/>
    </xf>
    <xf numFmtId="0" fontId="83" fillId="23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4" fillId="23" borderId="86" xfId="0" applyFont="1" applyFill="1" applyBorder="1" applyAlignment="1">
      <alignment horizontal="center" vertical="center"/>
    </xf>
    <xf numFmtId="0" fontId="4" fillId="37" borderId="20" xfId="0" applyFont="1" applyFill="1" applyBorder="1" applyAlignment="1">
      <alignment horizontal="center" vertical="center" wrapText="1"/>
    </xf>
    <xf numFmtId="0" fontId="84" fillId="52" borderId="1" xfId="0" applyFont="1" applyFill="1" applyBorder="1" applyAlignment="1">
      <alignment horizontal="center" vertical="center"/>
    </xf>
    <xf numFmtId="0" fontId="2" fillId="51" borderId="19" xfId="0" applyFont="1" applyFill="1" applyBorder="1" applyAlignment="1">
      <alignment horizontal="center" vertical="center" wrapText="1"/>
    </xf>
    <xf numFmtId="0" fontId="5" fillId="30" borderId="20" xfId="0" applyFont="1" applyFill="1" applyBorder="1" applyAlignment="1">
      <alignment horizontal="center" vertical="center"/>
    </xf>
    <xf numFmtId="0" fontId="4" fillId="37" borderId="112" xfId="0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/>
    </xf>
    <xf numFmtId="0" fontId="4" fillId="53" borderId="94" xfId="0" applyFont="1" applyFill="1" applyBorder="1" applyAlignment="1">
      <alignment horizontal="center" vertical="center"/>
    </xf>
    <xf numFmtId="0" fontId="3" fillId="0" borderId="75" xfId="0" applyFont="1" applyBorder="1" applyAlignment="1">
      <alignment vertical="center"/>
    </xf>
    <xf numFmtId="0" fontId="3" fillId="0" borderId="76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61" fillId="52" borderId="112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5" fillId="30" borderId="25" xfId="0" applyFont="1" applyFill="1" applyBorder="1" applyAlignment="1">
      <alignment horizontal="center" vertical="center"/>
    </xf>
    <xf numFmtId="0" fontId="61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18" fillId="52" borderId="1" xfId="0" applyFont="1" applyFill="1" applyBorder="1" applyAlignment="1">
      <alignment horizontal="center" vertical="center"/>
    </xf>
    <xf numFmtId="0" fontId="5" fillId="56" borderId="20" xfId="0" applyFont="1" applyFill="1" applyBorder="1" applyAlignment="1">
      <alignment horizontal="left" vertical="center"/>
    </xf>
    <xf numFmtId="0" fontId="86" fillId="56" borderId="11" xfId="0" applyFont="1" applyFill="1" applyBorder="1" applyAlignment="1">
      <alignment horizontal="center" vertical="center" wrapText="1"/>
    </xf>
    <xf numFmtId="0" fontId="86" fillId="58" borderId="11" xfId="0" applyFont="1" applyFill="1" applyBorder="1" applyAlignment="1">
      <alignment horizontal="center" vertical="center" wrapText="1"/>
    </xf>
    <xf numFmtId="0" fontId="88" fillId="58" borderId="20" xfId="0" applyFont="1" applyFill="1" applyBorder="1" applyAlignment="1">
      <alignment horizontal="left" vertical="center"/>
    </xf>
    <xf numFmtId="0" fontId="5" fillId="59" borderId="20" xfId="0" applyFont="1" applyFill="1" applyBorder="1" applyAlignment="1">
      <alignment horizontal="left" vertical="center" wrapText="1"/>
    </xf>
    <xf numFmtId="0" fontId="85" fillId="35" borderId="1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36" fillId="35" borderId="1" xfId="0" applyFont="1" applyFill="1" applyBorder="1" applyAlignment="1">
      <alignment horizontal="center" vertical="center" wrapText="1"/>
    </xf>
    <xf numFmtId="0" fontId="2" fillId="51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55" borderId="20" xfId="0" applyFont="1" applyFill="1" applyBorder="1" applyAlignment="1">
      <alignment horizontal="left" vertical="center" wrapText="1"/>
    </xf>
    <xf numFmtId="0" fontId="88" fillId="56" borderId="20" xfId="0" applyFont="1" applyFill="1" applyBorder="1" applyAlignment="1">
      <alignment horizontal="left" vertical="center"/>
    </xf>
    <xf numFmtId="0" fontId="35" fillId="58" borderId="20" xfId="0" applyFont="1" applyFill="1" applyBorder="1" applyAlignment="1">
      <alignment horizontal="left" vertical="center"/>
    </xf>
    <xf numFmtId="0" fontId="5" fillId="59" borderId="20" xfId="0" applyFont="1" applyFill="1" applyBorder="1" applyAlignment="1">
      <alignment horizontal="center" vertical="center"/>
    </xf>
    <xf numFmtId="0" fontId="5" fillId="58" borderId="20" xfId="0" applyFont="1" applyFill="1" applyBorder="1" applyAlignment="1">
      <alignment horizontal="left" vertical="center"/>
    </xf>
    <xf numFmtId="0" fontId="86" fillId="60" borderId="11" xfId="0" applyFont="1" applyFill="1" applyBorder="1" applyAlignment="1">
      <alignment horizontal="center" vertical="center" wrapText="1"/>
    </xf>
    <xf numFmtId="0" fontId="5" fillId="61" borderId="20" xfId="0" applyFont="1" applyFill="1" applyBorder="1" applyAlignment="1">
      <alignment horizontal="center" vertical="center"/>
    </xf>
    <xf numFmtId="0" fontId="5" fillId="56" borderId="20" xfId="0" applyFont="1" applyFill="1" applyBorder="1" applyAlignment="1">
      <alignment horizontal="left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7" borderId="52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5" fillId="51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63" borderId="1" xfId="0" applyFont="1" applyFill="1" applyBorder="1" applyAlignment="1">
      <alignment horizontal="center" vertical="center" wrapText="1"/>
    </xf>
    <xf numFmtId="0" fontId="4" fillId="63" borderId="1" xfId="0" applyFont="1" applyFill="1" applyBorder="1" applyAlignment="1">
      <alignment horizontal="center" vertical="center" wrapText="1"/>
    </xf>
    <xf numFmtId="0" fontId="89" fillId="51" borderId="1" xfId="0" applyFont="1" applyFill="1" applyBorder="1" applyAlignment="1">
      <alignment horizontal="center" vertical="center" wrapText="1"/>
    </xf>
    <xf numFmtId="0" fontId="4" fillId="65" borderId="20" xfId="0" applyFont="1" applyFill="1" applyBorder="1" applyAlignment="1">
      <alignment horizontal="center" vertical="center" wrapText="1"/>
    </xf>
    <xf numFmtId="0" fontId="90" fillId="35" borderId="1" xfId="0" applyFont="1" applyFill="1" applyBorder="1" applyAlignment="1">
      <alignment horizontal="center" vertical="center" wrapText="1"/>
    </xf>
    <xf numFmtId="0" fontId="54" fillId="67" borderId="1" xfId="0" applyFont="1" applyFill="1" applyBorder="1" applyAlignment="1">
      <alignment horizontal="center" vertical="center" wrapText="1"/>
    </xf>
    <xf numFmtId="0" fontId="54" fillId="68" borderId="1" xfId="0" applyFont="1" applyFill="1" applyBorder="1" applyAlignment="1">
      <alignment horizontal="center" vertical="center" wrapText="1"/>
    </xf>
    <xf numFmtId="0" fontId="54" fillId="69" borderId="1" xfId="0" applyFont="1" applyFill="1" applyBorder="1" applyAlignment="1">
      <alignment horizontal="center" vertical="center" wrapText="1"/>
    </xf>
    <xf numFmtId="0" fontId="70" fillId="35" borderId="1" xfId="0" applyFont="1" applyFill="1" applyBorder="1" applyAlignment="1">
      <alignment horizontal="center" vertical="center" wrapText="1"/>
    </xf>
    <xf numFmtId="0" fontId="4" fillId="67" borderId="1" xfId="0" applyFont="1" applyFill="1" applyBorder="1" applyAlignment="1">
      <alignment horizontal="center" vertical="center" wrapText="1"/>
    </xf>
    <xf numFmtId="0" fontId="4" fillId="68" borderId="1" xfId="0" applyFont="1" applyFill="1" applyBorder="1" applyAlignment="1">
      <alignment horizontal="center" vertical="center" wrapText="1"/>
    </xf>
    <xf numFmtId="0" fontId="4" fillId="69" borderId="1" xfId="0" applyFont="1" applyFill="1" applyBorder="1" applyAlignment="1">
      <alignment horizontal="center" vertical="center" wrapText="1"/>
    </xf>
    <xf numFmtId="0" fontId="4" fillId="51" borderId="19" xfId="0" applyFont="1" applyFill="1" applyBorder="1" applyAlignment="1">
      <alignment horizontal="center" vertical="center" wrapText="1"/>
    </xf>
    <xf numFmtId="0" fontId="4" fillId="65" borderId="1" xfId="0" applyFont="1" applyFill="1" applyBorder="1" applyAlignment="1">
      <alignment horizontal="center" vertical="center" wrapText="1"/>
    </xf>
    <xf numFmtId="0" fontId="4" fillId="5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6" fillId="64" borderId="20" xfId="0" applyFont="1" applyFill="1" applyBorder="1" applyAlignment="1">
      <alignment horizontal="center" vertical="center"/>
    </xf>
    <xf numFmtId="0" fontId="81" fillId="50" borderId="20" xfId="0" applyFont="1" applyFill="1" applyBorder="1" applyAlignment="1">
      <alignment horizontal="center" vertical="center" wrapText="1"/>
    </xf>
    <xf numFmtId="0" fontId="5" fillId="0" borderId="160" xfId="0" applyFont="1" applyBorder="1" applyAlignment="1">
      <alignment horizontal="center" vertical="center"/>
    </xf>
    <xf numFmtId="0" fontId="3" fillId="0" borderId="161" xfId="0" applyFont="1" applyBorder="1" applyAlignment="1">
      <alignment vertical="center"/>
    </xf>
    <xf numFmtId="0" fontId="81" fillId="50" borderId="20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O1036"/>
  <sheetViews>
    <sheetView tabSelected="1" topLeftCell="A95" zoomScale="115" zoomScaleNormal="115" zoomScaleSheetLayoutView="85" workbookViewId="0">
      <selection activeCell="A117" sqref="A117"/>
    </sheetView>
  </sheetViews>
  <sheetFormatPr baseColWidth="10" defaultColWidth="14.42578125" defaultRowHeight="15" customHeight="1" x14ac:dyDescent="0.25"/>
  <cols>
    <col min="1" max="1" width="11.5703125" bestFit="1" customWidth="1"/>
    <col min="2" max="2" width="19.42578125" customWidth="1"/>
    <col min="3" max="3" width="10.85546875" customWidth="1"/>
    <col min="4" max="7" width="3.85546875" customWidth="1"/>
    <col min="8" max="9" width="3.85546875" bestFit="1" customWidth="1"/>
    <col min="10" max="10" width="13.28515625" customWidth="1"/>
    <col min="11" max="11" width="10.7109375" customWidth="1"/>
    <col min="12" max="12" width="13.140625" bestFit="1" customWidth="1"/>
    <col min="13" max="30" width="10.7109375" customWidth="1"/>
  </cols>
  <sheetData>
    <row r="1" spans="1:15" ht="37.5" customHeight="1" thickBot="1" x14ac:dyDescent="0.3">
      <c r="A1" s="545" t="s">
        <v>0</v>
      </c>
      <c r="B1" s="546"/>
      <c r="C1" s="546"/>
      <c r="D1" s="546"/>
      <c r="E1" s="546"/>
      <c r="F1" s="546"/>
      <c r="G1" s="546"/>
      <c r="H1" s="546"/>
      <c r="I1" s="546"/>
      <c r="J1" s="547"/>
      <c r="K1" t="s">
        <v>819</v>
      </c>
      <c r="L1" t="s">
        <v>820</v>
      </c>
    </row>
    <row r="2" spans="1:15" ht="15.75" thickBot="1" x14ac:dyDescent="0.3">
      <c r="A2" s="499" t="s">
        <v>59</v>
      </c>
      <c r="B2" s="501"/>
      <c r="C2" s="454" t="s">
        <v>805</v>
      </c>
      <c r="D2" s="499" t="s">
        <v>812</v>
      </c>
      <c r="E2" s="500"/>
      <c r="F2" s="500"/>
      <c r="G2" s="500"/>
      <c r="H2" s="500"/>
      <c r="I2" s="501"/>
      <c r="J2" s="455" t="s">
        <v>2</v>
      </c>
    </row>
    <row r="3" spans="1:15" x14ac:dyDescent="0.25">
      <c r="A3" s="447">
        <v>46119</v>
      </c>
      <c r="B3" s="457" t="s">
        <v>3</v>
      </c>
      <c r="C3" s="442">
        <f t="shared" ref="C3:C11" si="0">K3*L3</f>
        <v>0</v>
      </c>
      <c r="D3" s="506"/>
      <c r="E3" s="507"/>
      <c r="F3" s="508"/>
      <c r="G3" s="510"/>
      <c r="H3" s="508"/>
      <c r="I3" s="509"/>
      <c r="J3" s="438"/>
      <c r="K3">
        <v>0</v>
      </c>
      <c r="L3">
        <v>38</v>
      </c>
      <c r="M3" s="446"/>
    </row>
    <row r="4" spans="1:15" x14ac:dyDescent="0.25">
      <c r="A4" s="448" t="s">
        <v>803</v>
      </c>
      <c r="B4" s="458" t="s">
        <v>4</v>
      </c>
      <c r="C4" s="440">
        <f t="shared" si="0"/>
        <v>0</v>
      </c>
      <c r="D4" s="485"/>
      <c r="E4" s="486"/>
      <c r="F4" s="539"/>
      <c r="G4" s="540"/>
      <c r="H4" s="490"/>
      <c r="I4" s="492"/>
      <c r="J4" s="439"/>
      <c r="K4">
        <v>0</v>
      </c>
      <c r="L4">
        <v>16</v>
      </c>
    </row>
    <row r="5" spans="1:15" x14ac:dyDescent="0.25">
      <c r="A5" s="3"/>
      <c r="B5" s="458" t="s">
        <v>5</v>
      </c>
      <c r="C5" s="440">
        <f t="shared" si="0"/>
        <v>110</v>
      </c>
      <c r="D5" s="485"/>
      <c r="E5" s="527"/>
      <c r="F5" s="556" t="s">
        <v>18</v>
      </c>
      <c r="G5" s="556"/>
      <c r="H5" s="557" t="s">
        <v>12</v>
      </c>
      <c r="I5" s="558"/>
      <c r="J5" s="439"/>
      <c r="K5">
        <v>2</v>
      </c>
      <c r="L5">
        <v>55</v>
      </c>
      <c r="N5" s="459"/>
      <c r="O5" s="459"/>
    </row>
    <row r="6" spans="1:15" x14ac:dyDescent="0.25">
      <c r="A6" s="3"/>
      <c r="B6" s="458" t="s">
        <v>6</v>
      </c>
      <c r="C6" s="440">
        <f t="shared" si="0"/>
        <v>0</v>
      </c>
      <c r="D6" s="485"/>
      <c r="E6" s="486"/>
      <c r="F6" s="550"/>
      <c r="G6" s="552"/>
      <c r="H6" s="490"/>
      <c r="I6" s="492"/>
      <c r="J6" s="439"/>
      <c r="K6">
        <v>0</v>
      </c>
      <c r="L6">
        <v>33.15</v>
      </c>
    </row>
    <row r="7" spans="1:15" x14ac:dyDescent="0.25">
      <c r="A7" s="3"/>
      <c r="B7" s="458" t="s">
        <v>9</v>
      </c>
      <c r="C7" s="440">
        <f t="shared" si="0"/>
        <v>0</v>
      </c>
      <c r="D7" s="485"/>
      <c r="E7" s="486"/>
      <c r="F7" s="490"/>
      <c r="G7" s="491"/>
      <c r="H7" s="490"/>
      <c r="I7" s="492"/>
      <c r="J7" s="439"/>
      <c r="K7">
        <v>0</v>
      </c>
      <c r="L7">
        <v>26.5</v>
      </c>
    </row>
    <row r="8" spans="1:15" x14ac:dyDescent="0.25">
      <c r="A8" s="3"/>
      <c r="B8" s="458" t="s">
        <v>11</v>
      </c>
      <c r="C8" s="440">
        <f t="shared" si="0"/>
        <v>0</v>
      </c>
      <c r="D8" s="485"/>
      <c r="E8" s="486"/>
      <c r="F8" s="490"/>
      <c r="G8" s="491"/>
      <c r="H8" s="490"/>
      <c r="I8" s="492"/>
      <c r="J8" s="439"/>
      <c r="K8">
        <v>0</v>
      </c>
      <c r="L8">
        <v>20.2</v>
      </c>
    </row>
    <row r="9" spans="1:15" x14ac:dyDescent="0.25">
      <c r="A9" s="3" t="s">
        <v>813</v>
      </c>
      <c r="B9" s="458" t="s">
        <v>13</v>
      </c>
      <c r="C9" s="440">
        <f t="shared" si="0"/>
        <v>0</v>
      </c>
      <c r="D9" s="485"/>
      <c r="E9" s="486"/>
      <c r="F9" s="539"/>
      <c r="G9" s="540"/>
      <c r="H9" s="490"/>
      <c r="I9" s="492"/>
      <c r="J9" s="439"/>
      <c r="K9">
        <v>0</v>
      </c>
      <c r="L9">
        <v>23.1</v>
      </c>
    </row>
    <row r="10" spans="1:15" x14ac:dyDescent="0.25">
      <c r="A10" s="3" t="s">
        <v>814</v>
      </c>
      <c r="B10" s="461" t="s">
        <v>14</v>
      </c>
      <c r="C10" s="440">
        <f t="shared" si="0"/>
        <v>41.8</v>
      </c>
      <c r="D10" s="485"/>
      <c r="E10" s="527"/>
      <c r="F10" s="559" t="s">
        <v>15</v>
      </c>
      <c r="G10" s="559"/>
      <c r="H10" s="560" t="s">
        <v>21</v>
      </c>
      <c r="I10" s="561"/>
      <c r="J10" s="439"/>
      <c r="K10">
        <v>2</v>
      </c>
      <c r="L10">
        <v>20.9</v>
      </c>
    </row>
    <row r="11" spans="1:15" ht="15.75" thickBot="1" x14ac:dyDescent="0.3">
      <c r="A11" s="3"/>
      <c r="B11" s="461" t="s">
        <v>807</v>
      </c>
      <c r="C11" s="440">
        <f t="shared" si="0"/>
        <v>0</v>
      </c>
      <c r="D11" s="485"/>
      <c r="E11" s="486"/>
      <c r="F11" s="550"/>
      <c r="G11" s="552"/>
      <c r="H11" s="490"/>
      <c r="I11" s="492"/>
      <c r="J11" s="439"/>
      <c r="K11">
        <v>0</v>
      </c>
      <c r="L11">
        <v>1.5</v>
      </c>
    </row>
    <row r="12" spans="1:15" ht="16.5" thickBot="1" x14ac:dyDescent="0.25">
      <c r="A12" s="548" t="s">
        <v>806</v>
      </c>
      <c r="B12" s="549"/>
      <c r="C12" s="471">
        <f>SUM(C3:C11)</f>
        <v>151.80000000000001</v>
      </c>
      <c r="D12" s="470"/>
      <c r="E12" s="467">
        <f>SUM(C5:C11)</f>
        <v>151.80000000000001</v>
      </c>
      <c r="F12" s="469" t="s">
        <v>805</v>
      </c>
      <c r="G12" s="472" t="s">
        <v>811</v>
      </c>
      <c r="H12" s="466">
        <f>SUM(C3:C4)</f>
        <v>0</v>
      </c>
      <c r="I12" s="469" t="s">
        <v>805</v>
      </c>
      <c r="J12" s="468" t="s">
        <v>821</v>
      </c>
      <c r="M12" s="464"/>
      <c r="N12" s="464"/>
    </row>
    <row r="13" spans="1:15" ht="15.75" thickBot="1" x14ac:dyDescent="0.3">
      <c r="A13" s="5"/>
      <c r="B13" s="5"/>
      <c r="C13" s="1"/>
      <c r="D13" s="1"/>
      <c r="E13" s="1"/>
      <c r="F13" s="1"/>
      <c r="G13" s="1"/>
      <c r="H13" s="1"/>
      <c r="I13" s="1"/>
      <c r="J13" s="5"/>
    </row>
    <row r="14" spans="1:15" x14ac:dyDescent="0.25">
      <c r="A14" s="2">
        <v>46139</v>
      </c>
      <c r="B14" s="458" t="s">
        <v>3</v>
      </c>
      <c r="C14" s="442">
        <f t="shared" ref="C14:C22" si="1">K14*L14</f>
        <v>0</v>
      </c>
      <c r="D14" s="485"/>
      <c r="E14" s="486"/>
      <c r="F14" s="490"/>
      <c r="G14" s="491"/>
      <c r="H14" s="490"/>
      <c r="I14" s="492"/>
      <c r="J14" s="438"/>
      <c r="K14">
        <v>0</v>
      </c>
      <c r="L14">
        <v>38</v>
      </c>
    </row>
    <row r="15" spans="1:15" x14ac:dyDescent="0.25">
      <c r="A15" s="448" t="s">
        <v>803</v>
      </c>
      <c r="B15" s="458" t="s">
        <v>4</v>
      </c>
      <c r="C15" s="440">
        <f t="shared" si="1"/>
        <v>0</v>
      </c>
      <c r="D15" s="485"/>
      <c r="E15" s="486"/>
      <c r="F15" s="539"/>
      <c r="G15" s="540"/>
      <c r="H15" s="490"/>
      <c r="I15" s="492"/>
      <c r="J15" s="439"/>
      <c r="K15">
        <v>0</v>
      </c>
      <c r="L15">
        <v>16</v>
      </c>
    </row>
    <row r="16" spans="1:15" x14ac:dyDescent="0.25">
      <c r="A16" s="3"/>
      <c r="B16" s="458" t="s">
        <v>5</v>
      </c>
      <c r="C16" s="440">
        <f t="shared" si="1"/>
        <v>110</v>
      </c>
      <c r="D16" s="485"/>
      <c r="E16" s="527"/>
      <c r="F16" s="562" t="s">
        <v>10</v>
      </c>
      <c r="G16" s="562"/>
      <c r="H16" s="563" t="s">
        <v>7</v>
      </c>
      <c r="I16" s="517"/>
      <c r="J16" s="439"/>
      <c r="K16">
        <v>2</v>
      </c>
      <c r="L16">
        <v>55</v>
      </c>
      <c r="N16" s="459"/>
      <c r="O16" s="459"/>
    </row>
    <row r="17" spans="1:15" x14ac:dyDescent="0.25">
      <c r="A17" s="3"/>
      <c r="B17" s="458" t="s">
        <v>6</v>
      </c>
      <c r="C17" s="440">
        <f t="shared" si="1"/>
        <v>66.3</v>
      </c>
      <c r="D17" s="485"/>
      <c r="E17" s="527"/>
      <c r="F17" s="556" t="s">
        <v>18</v>
      </c>
      <c r="G17" s="556"/>
      <c r="H17" s="557" t="s">
        <v>12</v>
      </c>
      <c r="I17" s="558"/>
      <c r="J17" s="439"/>
      <c r="K17">
        <v>2</v>
      </c>
      <c r="L17">
        <v>33.15</v>
      </c>
    </row>
    <row r="18" spans="1:15" x14ac:dyDescent="0.25">
      <c r="A18" s="3"/>
      <c r="B18" s="458" t="s">
        <v>9</v>
      </c>
      <c r="C18" s="440">
        <f t="shared" si="1"/>
        <v>0</v>
      </c>
      <c r="D18" s="485"/>
      <c r="E18" s="486"/>
      <c r="F18" s="550"/>
      <c r="G18" s="552"/>
      <c r="H18" s="490"/>
      <c r="I18" s="492"/>
      <c r="J18" s="439"/>
      <c r="K18">
        <v>0</v>
      </c>
      <c r="L18">
        <v>26.5</v>
      </c>
    </row>
    <row r="19" spans="1:15" ht="15.75" customHeight="1" x14ac:dyDescent="0.25">
      <c r="A19" s="3"/>
      <c r="B19" s="458" t="s">
        <v>11</v>
      </c>
      <c r="C19" s="440">
        <f t="shared" si="1"/>
        <v>0</v>
      </c>
      <c r="D19" s="485"/>
      <c r="E19" s="486"/>
      <c r="F19" s="490"/>
      <c r="G19" s="491"/>
      <c r="H19" s="490"/>
      <c r="I19" s="492"/>
      <c r="J19" s="439"/>
      <c r="K19">
        <v>0</v>
      </c>
      <c r="L19">
        <v>20.2</v>
      </c>
    </row>
    <row r="20" spans="1:15" ht="15.75" customHeight="1" x14ac:dyDescent="0.25">
      <c r="A20" s="3" t="s">
        <v>815</v>
      </c>
      <c r="B20" s="458" t="s">
        <v>13</v>
      </c>
      <c r="C20" s="440">
        <f t="shared" si="1"/>
        <v>0</v>
      </c>
      <c r="D20" s="485"/>
      <c r="E20" s="486"/>
      <c r="F20" s="490"/>
      <c r="G20" s="491"/>
      <c r="H20" s="490"/>
      <c r="I20" s="492"/>
      <c r="J20" s="439"/>
      <c r="K20">
        <v>0</v>
      </c>
      <c r="L20">
        <v>23.1</v>
      </c>
    </row>
    <row r="21" spans="1:15" ht="15.75" customHeight="1" x14ac:dyDescent="0.25">
      <c r="A21" s="3"/>
      <c r="B21" s="458" t="s">
        <v>14</v>
      </c>
      <c r="C21" s="440">
        <f t="shared" si="1"/>
        <v>0</v>
      </c>
      <c r="D21" s="485"/>
      <c r="E21" s="486"/>
      <c r="F21" s="490"/>
      <c r="G21" s="491"/>
      <c r="H21" s="490"/>
      <c r="I21" s="492"/>
      <c r="J21" s="439"/>
      <c r="K21">
        <v>0</v>
      </c>
      <c r="L21">
        <v>20.9</v>
      </c>
    </row>
    <row r="22" spans="1:15" ht="15.75" customHeight="1" thickBot="1" x14ac:dyDescent="0.3">
      <c r="A22" s="3"/>
      <c r="B22" s="461" t="s">
        <v>807</v>
      </c>
      <c r="C22" s="440">
        <f t="shared" si="1"/>
        <v>0</v>
      </c>
      <c r="D22" s="485"/>
      <c r="E22" s="486"/>
      <c r="F22" s="490"/>
      <c r="G22" s="491"/>
      <c r="H22" s="490"/>
      <c r="I22" s="492"/>
      <c r="J22" s="439"/>
      <c r="K22">
        <v>0</v>
      </c>
      <c r="L22">
        <v>1.5</v>
      </c>
    </row>
    <row r="23" spans="1:15" ht="15.75" customHeight="1" thickBot="1" x14ac:dyDescent="0.25">
      <c r="A23" s="548" t="s">
        <v>806</v>
      </c>
      <c r="B23" s="549"/>
      <c r="C23" s="471">
        <f>SUM(C14:C22)</f>
        <v>176.3</v>
      </c>
      <c r="D23" s="470"/>
      <c r="E23" s="467">
        <f>SUM(C16:C22)</f>
        <v>176.3</v>
      </c>
      <c r="F23" s="469" t="s">
        <v>805</v>
      </c>
      <c r="G23" s="472" t="s">
        <v>811</v>
      </c>
      <c r="H23" s="466">
        <f>SUM(C14:C15)</f>
        <v>0</v>
      </c>
      <c r="I23" s="469" t="s">
        <v>805</v>
      </c>
      <c r="J23" s="468" t="s">
        <v>821</v>
      </c>
    </row>
    <row r="24" spans="1:15" ht="15.75" customHeight="1" thickBot="1" x14ac:dyDescent="0.3">
      <c r="A24" s="474"/>
      <c r="B24" s="473"/>
      <c r="C24" s="473"/>
      <c r="D24" s="473"/>
      <c r="E24" s="473"/>
      <c r="F24" s="473"/>
      <c r="G24" s="473"/>
      <c r="H24" s="473"/>
      <c r="I24" s="473"/>
      <c r="J24" s="473"/>
    </row>
    <row r="25" spans="1:15" ht="15.75" customHeight="1" thickBot="1" x14ac:dyDescent="0.3">
      <c r="A25" s="499" t="s">
        <v>1</v>
      </c>
      <c r="B25" s="501"/>
      <c r="C25" s="460" t="s">
        <v>805</v>
      </c>
      <c r="D25" s="499" t="s">
        <v>812</v>
      </c>
      <c r="E25" s="500"/>
      <c r="F25" s="500"/>
      <c r="G25" s="500"/>
      <c r="H25" s="500"/>
      <c r="I25" s="501"/>
      <c r="J25" s="456" t="s">
        <v>2</v>
      </c>
    </row>
    <row r="26" spans="1:15" ht="15.75" customHeight="1" x14ac:dyDescent="0.25">
      <c r="A26" s="447">
        <v>46150</v>
      </c>
      <c r="B26" s="457" t="s">
        <v>3</v>
      </c>
      <c r="C26" s="442">
        <f t="shared" ref="C26:C34" si="2">K26*L26</f>
        <v>0</v>
      </c>
      <c r="D26" s="506"/>
      <c r="E26" s="507"/>
      <c r="F26" s="508"/>
      <c r="G26" s="510"/>
      <c r="H26" s="508"/>
      <c r="I26" s="509"/>
      <c r="J26" s="438"/>
      <c r="K26">
        <v>0</v>
      </c>
      <c r="L26">
        <v>38</v>
      </c>
    </row>
    <row r="27" spans="1:15" ht="15.75" customHeight="1" x14ac:dyDescent="0.25">
      <c r="A27" s="448" t="s">
        <v>803</v>
      </c>
      <c r="B27" s="458" t="s">
        <v>4</v>
      </c>
      <c r="C27" s="440">
        <f t="shared" si="2"/>
        <v>0</v>
      </c>
      <c r="D27" s="485"/>
      <c r="E27" s="486"/>
      <c r="F27" s="490"/>
      <c r="G27" s="491"/>
      <c r="H27" s="490"/>
      <c r="I27" s="492"/>
      <c r="J27" s="439"/>
      <c r="K27">
        <v>0</v>
      </c>
      <c r="L27">
        <v>16</v>
      </c>
    </row>
    <row r="28" spans="1:15" ht="15.75" customHeight="1" x14ac:dyDescent="0.25">
      <c r="A28" s="3"/>
      <c r="B28" s="458" t="s">
        <v>5</v>
      </c>
      <c r="C28" s="440">
        <f t="shared" si="2"/>
        <v>0</v>
      </c>
      <c r="D28" s="485"/>
      <c r="E28" s="486"/>
      <c r="F28" s="490"/>
      <c r="G28" s="491"/>
      <c r="H28" s="490"/>
      <c r="I28" s="492"/>
      <c r="J28" s="439"/>
      <c r="K28">
        <v>0</v>
      </c>
      <c r="L28">
        <v>54</v>
      </c>
      <c r="N28" s="459"/>
      <c r="O28" s="459"/>
    </row>
    <row r="29" spans="1:15" ht="15.75" customHeight="1" x14ac:dyDescent="0.25">
      <c r="A29" s="3"/>
      <c r="B29" s="458" t="s">
        <v>6</v>
      </c>
      <c r="C29" s="440">
        <f t="shared" si="2"/>
        <v>0</v>
      </c>
      <c r="D29" s="485"/>
      <c r="E29" s="486"/>
      <c r="F29" s="490"/>
      <c r="G29" s="491"/>
      <c r="H29" s="541" t="s">
        <v>10</v>
      </c>
      <c r="I29" s="542"/>
      <c r="J29" s="439"/>
      <c r="K29">
        <v>0</v>
      </c>
      <c r="L29">
        <v>33.15</v>
      </c>
    </row>
    <row r="30" spans="1:15" ht="15.75" customHeight="1" x14ac:dyDescent="0.25">
      <c r="A30" s="6"/>
      <c r="B30" s="458" t="s">
        <v>9</v>
      </c>
      <c r="C30" s="440">
        <f t="shared" si="2"/>
        <v>0</v>
      </c>
      <c r="D30" s="485"/>
      <c r="E30" s="486"/>
      <c r="F30" s="490"/>
      <c r="G30" s="491"/>
      <c r="H30" s="490"/>
      <c r="I30" s="492"/>
      <c r="J30" s="440"/>
      <c r="K30">
        <v>0</v>
      </c>
      <c r="L30">
        <v>26.5</v>
      </c>
    </row>
    <row r="31" spans="1:15" ht="15.75" customHeight="1" x14ac:dyDescent="0.25">
      <c r="A31" s="6"/>
      <c r="B31" s="458" t="s">
        <v>11</v>
      </c>
      <c r="C31" s="440">
        <f t="shared" si="2"/>
        <v>0</v>
      </c>
      <c r="D31" s="485"/>
      <c r="E31" s="486"/>
      <c r="F31" s="490"/>
      <c r="G31" s="491"/>
      <c r="H31" s="490"/>
      <c r="I31" s="492"/>
      <c r="J31" s="462"/>
      <c r="K31">
        <v>0</v>
      </c>
      <c r="L31">
        <v>20.2</v>
      </c>
    </row>
    <row r="32" spans="1:15" ht="15.75" customHeight="1" x14ac:dyDescent="0.25">
      <c r="A32" s="6" t="s">
        <v>816</v>
      </c>
      <c r="B32" s="458" t="s">
        <v>13</v>
      </c>
      <c r="C32" s="440">
        <f t="shared" si="2"/>
        <v>0</v>
      </c>
      <c r="D32" s="485"/>
      <c r="E32" s="486"/>
      <c r="F32" s="490"/>
      <c r="G32" s="491"/>
      <c r="H32" s="490"/>
      <c r="I32" s="492"/>
      <c r="J32" s="440"/>
      <c r="K32">
        <v>0</v>
      </c>
      <c r="L32">
        <v>23.1</v>
      </c>
    </row>
    <row r="33" spans="1:15" ht="15.75" customHeight="1" x14ac:dyDescent="0.25">
      <c r="A33" s="3"/>
      <c r="B33" s="458" t="s">
        <v>14</v>
      </c>
      <c r="C33" s="440">
        <f t="shared" si="2"/>
        <v>0</v>
      </c>
      <c r="D33" s="485"/>
      <c r="E33" s="486"/>
      <c r="F33" s="490"/>
      <c r="G33" s="491"/>
      <c r="H33" s="490"/>
      <c r="I33" s="492"/>
      <c r="J33" s="440"/>
      <c r="K33">
        <v>0</v>
      </c>
      <c r="L33">
        <v>20.9</v>
      </c>
    </row>
    <row r="34" spans="1:15" ht="15.75" customHeight="1" thickBot="1" x14ac:dyDescent="0.3">
      <c r="A34" s="3"/>
      <c r="B34" s="461" t="s">
        <v>807</v>
      </c>
      <c r="C34" s="440">
        <f t="shared" si="2"/>
        <v>0</v>
      </c>
      <c r="D34" s="531"/>
      <c r="E34" s="520"/>
      <c r="F34" s="487"/>
      <c r="G34" s="488"/>
      <c r="H34" s="487"/>
      <c r="I34" s="489"/>
      <c r="J34" s="439"/>
      <c r="K34">
        <v>0</v>
      </c>
      <c r="L34">
        <v>1.5</v>
      </c>
    </row>
    <row r="35" spans="1:15" ht="15.75" customHeight="1" thickBot="1" x14ac:dyDescent="0.25">
      <c r="A35" s="548" t="s">
        <v>806</v>
      </c>
      <c r="B35" s="549"/>
      <c r="C35" s="471">
        <f>SUM(C26:C34)</f>
        <v>0</v>
      </c>
      <c r="D35" s="470"/>
      <c r="E35" s="467">
        <f>SUM(C28:C34)</f>
        <v>0</v>
      </c>
      <c r="F35" s="469" t="s">
        <v>805</v>
      </c>
      <c r="G35" s="472" t="s">
        <v>811</v>
      </c>
      <c r="H35" s="466">
        <f>SUM(C26:C27)</f>
        <v>0</v>
      </c>
      <c r="I35" s="469" t="s">
        <v>805</v>
      </c>
      <c r="J35" s="468" t="s">
        <v>821</v>
      </c>
    </row>
    <row r="36" spans="1:15" ht="15.75" customHeight="1" thickBot="1" x14ac:dyDescent="0.3">
      <c r="A36" s="5"/>
      <c r="B36" s="5"/>
      <c r="C36" s="1"/>
      <c r="D36" s="1"/>
      <c r="E36" s="1"/>
      <c r="F36" s="1"/>
      <c r="G36" s="1"/>
      <c r="H36" s="1"/>
      <c r="I36" s="1"/>
      <c r="J36" s="5"/>
    </row>
    <row r="37" spans="1:15" ht="15.75" customHeight="1" x14ac:dyDescent="0.25">
      <c r="A37" s="2">
        <v>46154</v>
      </c>
      <c r="B37" s="458" t="s">
        <v>3</v>
      </c>
      <c r="C37" s="442">
        <f t="shared" ref="C37:C45" si="3">K37*L37</f>
        <v>0</v>
      </c>
      <c r="D37" s="534"/>
      <c r="E37" s="535"/>
      <c r="F37" s="511"/>
      <c r="G37" s="491"/>
      <c r="H37" s="490"/>
      <c r="I37" s="492"/>
      <c r="J37" s="438"/>
      <c r="K37">
        <v>0</v>
      </c>
      <c r="L37">
        <v>38</v>
      </c>
    </row>
    <row r="38" spans="1:15" ht="15.75" customHeight="1" x14ac:dyDescent="0.25">
      <c r="A38" s="448" t="s">
        <v>803</v>
      </c>
      <c r="B38" s="458" t="s">
        <v>802</v>
      </c>
      <c r="C38" s="440">
        <f t="shared" si="3"/>
        <v>0</v>
      </c>
      <c r="D38" s="536"/>
      <c r="E38" s="537"/>
      <c r="F38" s="490"/>
      <c r="G38" s="491"/>
      <c r="H38" s="490"/>
      <c r="I38" s="492"/>
      <c r="J38" s="439"/>
      <c r="K38">
        <v>0</v>
      </c>
      <c r="L38">
        <v>26</v>
      </c>
    </row>
    <row r="39" spans="1:15" ht="15.75" customHeight="1" x14ac:dyDescent="0.25">
      <c r="A39" s="3"/>
      <c r="B39" s="458" t="s">
        <v>5</v>
      </c>
      <c r="C39" s="440">
        <f t="shared" si="3"/>
        <v>0</v>
      </c>
      <c r="D39" s="527"/>
      <c r="E39" s="486"/>
      <c r="F39" s="490"/>
      <c r="G39" s="491"/>
      <c r="H39" s="490"/>
      <c r="I39" s="492"/>
      <c r="J39" s="439"/>
      <c r="K39">
        <v>0</v>
      </c>
      <c r="L39">
        <v>54</v>
      </c>
      <c r="N39" s="459"/>
      <c r="O39" s="459"/>
    </row>
    <row r="40" spans="1:15" ht="15.75" customHeight="1" x14ac:dyDescent="0.25">
      <c r="A40" s="3"/>
      <c r="B40" s="458" t="s">
        <v>6</v>
      </c>
      <c r="C40" s="440">
        <f t="shared" si="3"/>
        <v>0</v>
      </c>
      <c r="D40" s="527"/>
      <c r="E40" s="486"/>
      <c r="F40" s="490"/>
      <c r="G40" s="491"/>
      <c r="H40" s="490"/>
      <c r="I40" s="492"/>
      <c r="J40" s="439"/>
      <c r="K40">
        <v>0</v>
      </c>
      <c r="L40">
        <v>33.15</v>
      </c>
    </row>
    <row r="41" spans="1:15" ht="15.75" customHeight="1" x14ac:dyDescent="0.25">
      <c r="A41" s="6"/>
      <c r="B41" s="458" t="s">
        <v>9</v>
      </c>
      <c r="C41" s="440">
        <f t="shared" si="3"/>
        <v>0</v>
      </c>
      <c r="D41" s="527"/>
      <c r="E41" s="486"/>
      <c r="F41" s="514"/>
      <c r="G41" s="486"/>
      <c r="H41" s="514"/>
      <c r="I41" s="515"/>
      <c r="J41" s="439"/>
      <c r="K41">
        <v>0</v>
      </c>
      <c r="L41">
        <v>26.5</v>
      </c>
    </row>
    <row r="42" spans="1:15" ht="15.75" customHeight="1" x14ac:dyDescent="0.25">
      <c r="A42" s="6"/>
      <c r="B42" s="458" t="s">
        <v>11</v>
      </c>
      <c r="C42" s="440">
        <f t="shared" si="3"/>
        <v>40.4</v>
      </c>
      <c r="D42" s="527"/>
      <c r="E42" s="486"/>
      <c r="F42" s="514"/>
      <c r="G42" s="486"/>
      <c r="H42" s="514"/>
      <c r="I42" s="515"/>
      <c r="J42" s="440"/>
      <c r="K42">
        <v>2</v>
      </c>
      <c r="L42">
        <v>20.2</v>
      </c>
    </row>
    <row r="43" spans="1:15" ht="15.75" customHeight="1" x14ac:dyDescent="0.25">
      <c r="A43" s="6" t="s">
        <v>816</v>
      </c>
      <c r="B43" s="458" t="s">
        <v>13</v>
      </c>
      <c r="C43" s="440">
        <f t="shared" si="3"/>
        <v>0</v>
      </c>
      <c r="D43" s="511"/>
      <c r="E43" s="491"/>
      <c r="F43" s="490"/>
      <c r="G43" s="491"/>
      <c r="H43" s="490"/>
      <c r="I43" s="492"/>
      <c r="J43" s="462"/>
      <c r="K43">
        <v>0</v>
      </c>
      <c r="L43">
        <v>23.1</v>
      </c>
    </row>
    <row r="44" spans="1:15" ht="15.75" customHeight="1" x14ac:dyDescent="0.25">
      <c r="A44" s="6"/>
      <c r="B44" s="458" t="s">
        <v>14</v>
      </c>
      <c r="C44" s="440">
        <f t="shared" si="3"/>
        <v>0</v>
      </c>
      <c r="D44" s="511"/>
      <c r="E44" s="491"/>
      <c r="F44" s="490"/>
      <c r="G44" s="491"/>
      <c r="H44" s="490"/>
      <c r="I44" s="492"/>
      <c r="J44" s="462"/>
      <c r="K44">
        <v>0</v>
      </c>
      <c r="L44">
        <v>20.9</v>
      </c>
    </row>
    <row r="45" spans="1:15" ht="15.75" customHeight="1" thickBot="1" x14ac:dyDescent="0.3">
      <c r="A45" s="6"/>
      <c r="B45" s="461" t="s">
        <v>807</v>
      </c>
      <c r="C45" s="441">
        <f t="shared" si="3"/>
        <v>0</v>
      </c>
      <c r="D45" s="521"/>
      <c r="E45" s="520"/>
      <c r="F45" s="518"/>
      <c r="G45" s="520"/>
      <c r="H45" s="518"/>
      <c r="I45" s="519"/>
      <c r="J45" s="440"/>
      <c r="K45">
        <v>0</v>
      </c>
      <c r="L45">
        <v>1.5</v>
      </c>
    </row>
    <row r="46" spans="1:15" ht="15.75" customHeight="1" thickBot="1" x14ac:dyDescent="0.25">
      <c r="A46" s="566" t="s">
        <v>806</v>
      </c>
      <c r="B46" s="567"/>
      <c r="C46" s="475">
        <f>SUM(C37:C45)</f>
        <v>40.4</v>
      </c>
      <c r="D46" s="476"/>
      <c r="E46" s="477">
        <f>SUM(C39:C45)</f>
        <v>40.4</v>
      </c>
      <c r="F46" s="478" t="s">
        <v>805</v>
      </c>
      <c r="G46" s="479" t="s">
        <v>811</v>
      </c>
      <c r="H46" s="480">
        <f>SUM(C37:C38)</f>
        <v>0</v>
      </c>
      <c r="I46" s="478" t="s">
        <v>805</v>
      </c>
      <c r="J46" s="468" t="s">
        <v>821</v>
      </c>
      <c r="K46" s="452"/>
      <c r="L46" s="452"/>
    </row>
    <row r="47" spans="1:15" ht="15.75" customHeight="1" x14ac:dyDescent="0.25">
      <c r="A47" s="564" t="s">
        <v>817</v>
      </c>
      <c r="B47" s="564"/>
      <c r="C47" s="564"/>
      <c r="D47" s="564"/>
      <c r="E47" s="564"/>
      <c r="F47" s="564"/>
      <c r="G47" s="564"/>
      <c r="H47" s="564"/>
      <c r="I47" s="564"/>
      <c r="J47" s="564"/>
      <c r="K47" s="452"/>
      <c r="L47" s="452"/>
    </row>
    <row r="48" spans="1:15" ht="15.75" customHeight="1" x14ac:dyDescent="0.25">
      <c r="A48" s="447">
        <v>46156</v>
      </c>
      <c r="B48" s="457" t="s">
        <v>3</v>
      </c>
      <c r="C48" s="481">
        <f t="shared" ref="C48:C56" si="4">K48*L48</f>
        <v>0</v>
      </c>
      <c r="D48" s="553"/>
      <c r="E48" s="537"/>
      <c r="F48" s="550"/>
      <c r="G48" s="552"/>
      <c r="H48" s="550"/>
      <c r="I48" s="551"/>
      <c r="J48" s="482"/>
      <c r="K48" s="452">
        <v>0</v>
      </c>
      <c r="L48" s="452">
        <v>38</v>
      </c>
    </row>
    <row r="49" spans="1:15" ht="15.75" customHeight="1" x14ac:dyDescent="0.25">
      <c r="A49" s="448" t="s">
        <v>803</v>
      </c>
      <c r="B49" s="458" t="s">
        <v>4</v>
      </c>
      <c r="C49" s="440">
        <f t="shared" si="4"/>
        <v>0</v>
      </c>
      <c r="D49" s="485"/>
      <c r="E49" s="486"/>
      <c r="F49" s="490"/>
      <c r="G49" s="491"/>
      <c r="H49" s="490"/>
      <c r="I49" s="492"/>
      <c r="J49" s="439"/>
      <c r="K49">
        <v>0</v>
      </c>
      <c r="L49">
        <v>16</v>
      </c>
      <c r="N49" s="459"/>
      <c r="O49" s="459"/>
    </row>
    <row r="50" spans="1:15" ht="15.75" customHeight="1" x14ac:dyDescent="0.25">
      <c r="A50" s="3"/>
      <c r="B50" s="458" t="s">
        <v>5</v>
      </c>
      <c r="C50" s="440">
        <f t="shared" si="4"/>
        <v>0</v>
      </c>
      <c r="D50" s="485"/>
      <c r="E50" s="486"/>
      <c r="F50" s="490"/>
      <c r="G50" s="491"/>
      <c r="H50" s="490"/>
      <c r="I50" s="492"/>
      <c r="J50" s="439"/>
      <c r="K50">
        <v>0</v>
      </c>
      <c r="L50">
        <v>54</v>
      </c>
    </row>
    <row r="51" spans="1:15" ht="15.75" customHeight="1" x14ac:dyDescent="0.25">
      <c r="A51" s="3"/>
      <c r="B51" s="458" t="s">
        <v>6</v>
      </c>
      <c r="C51" s="440">
        <f t="shared" si="4"/>
        <v>33.15</v>
      </c>
      <c r="D51" s="485"/>
      <c r="E51" s="486"/>
      <c r="F51" s="490"/>
      <c r="G51" s="491"/>
      <c r="H51" s="516" t="s">
        <v>7</v>
      </c>
      <c r="I51" s="517"/>
      <c r="J51" s="439" t="s">
        <v>8</v>
      </c>
      <c r="K51">
        <v>1</v>
      </c>
      <c r="L51">
        <v>33.15</v>
      </c>
    </row>
    <row r="52" spans="1:15" ht="15.75" customHeight="1" x14ac:dyDescent="0.25">
      <c r="A52" s="3"/>
      <c r="B52" s="458" t="s">
        <v>9</v>
      </c>
      <c r="C52" s="440">
        <f t="shared" si="4"/>
        <v>26.5</v>
      </c>
      <c r="D52" s="485"/>
      <c r="E52" s="486"/>
      <c r="F52" s="490"/>
      <c r="G52" s="491"/>
      <c r="H52" s="541" t="s">
        <v>10</v>
      </c>
      <c r="I52" s="542"/>
      <c r="J52" s="439" t="s">
        <v>8</v>
      </c>
      <c r="K52">
        <v>1</v>
      </c>
      <c r="L52">
        <v>26.5</v>
      </c>
    </row>
    <row r="53" spans="1:15" ht="15.75" customHeight="1" x14ac:dyDescent="0.25">
      <c r="A53" s="3"/>
      <c r="B53" s="458" t="s">
        <v>11</v>
      </c>
      <c r="C53" s="440">
        <f t="shared" si="4"/>
        <v>20.2</v>
      </c>
      <c r="D53" s="485"/>
      <c r="E53" s="486"/>
      <c r="F53" s="490"/>
      <c r="G53" s="491"/>
      <c r="H53" s="541" t="s">
        <v>12</v>
      </c>
      <c r="I53" s="542"/>
      <c r="J53" s="439" t="s">
        <v>8</v>
      </c>
      <c r="K53">
        <v>1</v>
      </c>
      <c r="L53">
        <v>20.2</v>
      </c>
    </row>
    <row r="54" spans="1:15" ht="15.75" customHeight="1" x14ac:dyDescent="0.25">
      <c r="A54" s="3"/>
      <c r="B54" s="458" t="s">
        <v>13</v>
      </c>
      <c r="C54" s="440">
        <f t="shared" si="4"/>
        <v>0</v>
      </c>
      <c r="D54" s="485"/>
      <c r="E54" s="486"/>
      <c r="F54" s="490"/>
      <c r="G54" s="491"/>
      <c r="H54" s="490"/>
      <c r="I54" s="492"/>
      <c r="J54" s="439"/>
      <c r="K54">
        <v>0</v>
      </c>
      <c r="L54">
        <v>23.1</v>
      </c>
    </row>
    <row r="55" spans="1:15" ht="15.75" customHeight="1" x14ac:dyDescent="0.25">
      <c r="A55" s="3"/>
      <c r="B55" s="458" t="s">
        <v>14</v>
      </c>
      <c r="C55" s="440">
        <f t="shared" si="4"/>
        <v>0</v>
      </c>
      <c r="D55" s="485" t="s">
        <v>545</v>
      </c>
      <c r="E55" s="486"/>
      <c r="F55" s="490"/>
      <c r="G55" s="491"/>
      <c r="H55" s="490"/>
      <c r="I55" s="492"/>
      <c r="J55" s="439"/>
      <c r="K55">
        <v>0</v>
      </c>
      <c r="L55">
        <v>20.9</v>
      </c>
    </row>
    <row r="56" spans="1:15" ht="15.75" customHeight="1" thickBot="1" x14ac:dyDescent="0.3">
      <c r="A56" s="3"/>
      <c r="B56" s="461" t="s">
        <v>807</v>
      </c>
      <c r="C56" s="440">
        <f t="shared" si="4"/>
        <v>1.5</v>
      </c>
      <c r="D56" s="554"/>
      <c r="E56" s="555"/>
      <c r="F56" s="539"/>
      <c r="G56" s="540"/>
      <c r="H56" s="543" t="s">
        <v>15</v>
      </c>
      <c r="I56" s="544"/>
      <c r="J56" s="449" t="s">
        <v>8</v>
      </c>
      <c r="K56">
        <v>1</v>
      </c>
      <c r="L56">
        <v>1.5</v>
      </c>
    </row>
    <row r="57" spans="1:15" ht="15.75" customHeight="1" thickBot="1" x14ac:dyDescent="0.25">
      <c r="A57" s="548" t="s">
        <v>806</v>
      </c>
      <c r="B57" s="549"/>
      <c r="C57" s="471">
        <f>SUM(C48:C56)</f>
        <v>81.349999999999994</v>
      </c>
      <c r="D57" s="470"/>
      <c r="E57" s="467">
        <f>SUM(C50:C56)</f>
        <v>81.349999999999994</v>
      </c>
      <c r="F57" s="469" t="s">
        <v>805</v>
      </c>
      <c r="G57" s="472" t="s">
        <v>811</v>
      </c>
      <c r="H57" s="466">
        <f>SUM(C48:C49)</f>
        <v>0</v>
      </c>
      <c r="I57" s="469" t="s">
        <v>805</v>
      </c>
      <c r="J57" s="468" t="s">
        <v>821</v>
      </c>
    </row>
    <row r="58" spans="1:15" ht="15.75" customHeight="1" thickBo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5" ht="15.75" customHeight="1" x14ac:dyDescent="0.25">
      <c r="A59" s="2">
        <v>46163</v>
      </c>
      <c r="B59" s="458" t="s">
        <v>3</v>
      </c>
      <c r="C59" s="442">
        <f t="shared" ref="C59:C67" si="5">K59*L59</f>
        <v>0</v>
      </c>
      <c r="D59" s="534"/>
      <c r="E59" s="535"/>
      <c r="F59" s="511"/>
      <c r="G59" s="491"/>
      <c r="H59" s="490"/>
      <c r="I59" s="492"/>
      <c r="J59" s="438"/>
      <c r="K59">
        <v>0</v>
      </c>
      <c r="L59">
        <v>38</v>
      </c>
    </row>
    <row r="60" spans="1:15" x14ac:dyDescent="0.25">
      <c r="A60" s="448" t="s">
        <v>803</v>
      </c>
      <c r="B60" s="458" t="s">
        <v>4</v>
      </c>
      <c r="C60" s="440">
        <f t="shared" si="5"/>
        <v>0</v>
      </c>
      <c r="D60" s="536"/>
      <c r="E60" s="537"/>
      <c r="F60" s="490"/>
      <c r="G60" s="491"/>
      <c r="H60" s="490"/>
      <c r="I60" s="492"/>
      <c r="J60" s="439"/>
      <c r="K60">
        <v>0</v>
      </c>
      <c r="L60">
        <v>16</v>
      </c>
    </row>
    <row r="61" spans="1:15" ht="15.75" customHeight="1" x14ac:dyDescent="0.25">
      <c r="A61" s="3"/>
      <c r="B61" s="458" t="s">
        <v>5</v>
      </c>
      <c r="C61" s="440">
        <f t="shared" si="5"/>
        <v>0</v>
      </c>
      <c r="D61" s="527"/>
      <c r="E61" s="486"/>
      <c r="F61" s="490"/>
      <c r="G61" s="491"/>
      <c r="H61" s="490"/>
      <c r="I61" s="492"/>
      <c r="J61" s="439"/>
      <c r="K61">
        <v>0</v>
      </c>
      <c r="L61">
        <v>54</v>
      </c>
      <c r="N61" s="459"/>
      <c r="O61" s="459"/>
    </row>
    <row r="62" spans="1:15" ht="15.75" customHeight="1" x14ac:dyDescent="0.25">
      <c r="A62" s="3"/>
      <c r="B62" s="458" t="s">
        <v>6</v>
      </c>
      <c r="C62" s="440">
        <f t="shared" si="5"/>
        <v>33.15</v>
      </c>
      <c r="D62" s="485"/>
      <c r="E62" s="486"/>
      <c r="F62" s="490"/>
      <c r="G62" s="491"/>
      <c r="H62" s="524" t="s">
        <v>16</v>
      </c>
      <c r="I62" s="538"/>
      <c r="J62" s="439" t="s">
        <v>17</v>
      </c>
      <c r="K62">
        <v>1</v>
      </c>
      <c r="L62">
        <v>33.15</v>
      </c>
    </row>
    <row r="63" spans="1:15" ht="15.75" customHeight="1" x14ac:dyDescent="0.25">
      <c r="A63" s="3"/>
      <c r="B63" s="458" t="s">
        <v>9</v>
      </c>
      <c r="C63" s="440">
        <f t="shared" si="5"/>
        <v>53</v>
      </c>
      <c r="D63" s="485"/>
      <c r="E63" s="486"/>
      <c r="F63" s="524" t="s">
        <v>16</v>
      </c>
      <c r="G63" s="525"/>
      <c r="H63" s="516" t="s">
        <v>7</v>
      </c>
      <c r="I63" s="517"/>
      <c r="J63" s="462" t="s">
        <v>808</v>
      </c>
      <c r="K63">
        <v>2</v>
      </c>
      <c r="L63">
        <v>26.5</v>
      </c>
    </row>
    <row r="64" spans="1:15" ht="15.75" customHeight="1" x14ac:dyDescent="0.25">
      <c r="A64" s="3"/>
      <c r="B64" s="458" t="s">
        <v>11</v>
      </c>
      <c r="C64" s="440">
        <f t="shared" si="5"/>
        <v>40.4</v>
      </c>
      <c r="D64" s="485"/>
      <c r="E64" s="486"/>
      <c r="F64" s="522" t="s">
        <v>10</v>
      </c>
      <c r="G64" s="526"/>
      <c r="H64" s="522" t="s">
        <v>18</v>
      </c>
      <c r="I64" s="523"/>
      <c r="J64" s="439" t="s">
        <v>8</v>
      </c>
      <c r="K64">
        <v>2</v>
      </c>
      <c r="L64">
        <v>20.2</v>
      </c>
    </row>
    <row r="65" spans="1:15" ht="15.75" customHeight="1" x14ac:dyDescent="0.25">
      <c r="A65" s="3"/>
      <c r="B65" s="458" t="s">
        <v>13</v>
      </c>
      <c r="C65" s="440">
        <f t="shared" si="5"/>
        <v>23.1</v>
      </c>
      <c r="D65" s="485"/>
      <c r="E65" s="486"/>
      <c r="F65" s="490"/>
      <c r="G65" s="491"/>
      <c r="H65" s="528" t="s">
        <v>12</v>
      </c>
      <c r="I65" s="529"/>
      <c r="J65" s="439" t="s">
        <v>8</v>
      </c>
      <c r="K65">
        <v>1</v>
      </c>
      <c r="L65">
        <v>23.1</v>
      </c>
    </row>
    <row r="66" spans="1:15" ht="15.75" customHeight="1" x14ac:dyDescent="0.25">
      <c r="A66" s="3"/>
      <c r="B66" s="458" t="s">
        <v>14</v>
      </c>
      <c r="C66" s="440">
        <f t="shared" si="5"/>
        <v>0</v>
      </c>
      <c r="D66" s="485"/>
      <c r="E66" s="486"/>
      <c r="F66" s="490"/>
      <c r="G66" s="491"/>
      <c r="H66" s="490"/>
      <c r="I66" s="492"/>
      <c r="J66" s="439"/>
      <c r="K66">
        <v>0</v>
      </c>
      <c r="L66">
        <v>20.9</v>
      </c>
    </row>
    <row r="67" spans="1:15" ht="15.75" customHeight="1" thickBot="1" x14ac:dyDescent="0.3">
      <c r="A67" s="3"/>
      <c r="B67" s="461" t="s">
        <v>807</v>
      </c>
      <c r="C67" s="441">
        <f t="shared" si="5"/>
        <v>0</v>
      </c>
      <c r="D67" s="531"/>
      <c r="E67" s="520"/>
      <c r="F67" s="487"/>
      <c r="G67" s="488"/>
      <c r="H67" s="487"/>
      <c r="I67" s="489"/>
      <c r="J67" s="439"/>
      <c r="K67">
        <v>0</v>
      </c>
      <c r="L67">
        <v>1.5</v>
      </c>
    </row>
    <row r="68" spans="1:15" ht="15.75" customHeight="1" thickBot="1" x14ac:dyDescent="0.25">
      <c r="A68" s="548" t="s">
        <v>806</v>
      </c>
      <c r="B68" s="549"/>
      <c r="C68" s="471">
        <f>SUM(C59:C67)</f>
        <v>149.65</v>
      </c>
      <c r="D68" s="470"/>
      <c r="E68" s="467">
        <f>SUM(C61:C67)</f>
        <v>149.65</v>
      </c>
      <c r="F68" s="469" t="s">
        <v>805</v>
      </c>
      <c r="G68" s="472" t="s">
        <v>811</v>
      </c>
      <c r="H68" s="466">
        <f>SUM(C59:C60)</f>
        <v>0</v>
      </c>
      <c r="I68" s="469" t="s">
        <v>805</v>
      </c>
      <c r="J68" s="468" t="s">
        <v>821</v>
      </c>
    </row>
    <row r="69" spans="1:15" ht="15.75" customHeight="1" thickBot="1" x14ac:dyDescent="0.3">
      <c r="A69" s="451"/>
      <c r="B69" s="452"/>
      <c r="C69" s="450"/>
      <c r="D69" s="450"/>
      <c r="E69" s="450"/>
      <c r="F69" s="450"/>
      <c r="G69" s="450"/>
      <c r="H69" s="450"/>
      <c r="I69" s="450"/>
      <c r="J69" s="450"/>
    </row>
    <row r="70" spans="1:15" ht="15.75" customHeight="1" thickBot="1" x14ac:dyDescent="0.3">
      <c r="A70" s="499" t="s">
        <v>19</v>
      </c>
      <c r="B70" s="501"/>
      <c r="C70" s="460" t="s">
        <v>805</v>
      </c>
      <c r="D70" s="499" t="s">
        <v>812</v>
      </c>
      <c r="E70" s="500"/>
      <c r="F70" s="500"/>
      <c r="G70" s="500"/>
      <c r="H70" s="500"/>
      <c r="I70" s="501"/>
      <c r="J70" s="456" t="s">
        <v>2</v>
      </c>
    </row>
    <row r="71" spans="1:15" ht="15.75" customHeight="1" x14ac:dyDescent="0.25">
      <c r="A71" s="447">
        <v>46175</v>
      </c>
      <c r="B71" s="457" t="s">
        <v>3</v>
      </c>
      <c r="C71" s="442">
        <f t="shared" ref="C71:C79" si="6">K71*L71</f>
        <v>38</v>
      </c>
      <c r="D71" s="506"/>
      <c r="E71" s="507"/>
      <c r="F71" s="508"/>
      <c r="G71" s="510"/>
      <c r="H71" s="532" t="s">
        <v>20</v>
      </c>
      <c r="I71" s="533"/>
      <c r="J71" s="438" t="s">
        <v>17</v>
      </c>
      <c r="K71">
        <v>1</v>
      </c>
      <c r="L71">
        <v>38</v>
      </c>
    </row>
    <row r="72" spans="1:15" ht="15.75" customHeight="1" x14ac:dyDescent="0.25">
      <c r="A72" s="448" t="s">
        <v>803</v>
      </c>
      <c r="B72" s="458" t="s">
        <v>4</v>
      </c>
      <c r="C72" s="440">
        <f t="shared" si="6"/>
        <v>0</v>
      </c>
      <c r="D72" s="485"/>
      <c r="E72" s="486"/>
      <c r="F72" s="490"/>
      <c r="G72" s="491"/>
      <c r="H72" s="490"/>
      <c r="I72" s="492"/>
      <c r="J72" s="439"/>
      <c r="K72">
        <v>0</v>
      </c>
      <c r="L72">
        <v>16</v>
      </c>
      <c r="N72" s="459"/>
      <c r="O72" s="459"/>
    </row>
    <row r="73" spans="1:15" ht="15.75" customHeight="1" x14ac:dyDescent="0.25">
      <c r="A73" s="3"/>
      <c r="B73" s="458" t="s">
        <v>5</v>
      </c>
      <c r="C73" s="440">
        <f t="shared" si="6"/>
        <v>0</v>
      </c>
      <c r="D73" s="485"/>
      <c r="E73" s="486"/>
      <c r="F73" s="490"/>
      <c r="G73" s="491"/>
      <c r="H73" s="490"/>
      <c r="I73" s="492"/>
      <c r="J73" s="439"/>
      <c r="K73">
        <v>0</v>
      </c>
      <c r="L73">
        <v>54</v>
      </c>
    </row>
    <row r="74" spans="1:15" ht="15.75" customHeight="1" x14ac:dyDescent="0.25">
      <c r="A74" s="3"/>
      <c r="B74" s="458" t="s">
        <v>6</v>
      </c>
      <c r="C74" s="440">
        <f t="shared" si="6"/>
        <v>0</v>
      </c>
      <c r="D74" s="485"/>
      <c r="E74" s="486"/>
      <c r="F74" s="490"/>
      <c r="G74" s="491"/>
      <c r="H74" s="490"/>
      <c r="I74" s="492"/>
      <c r="J74" s="439"/>
      <c r="K74">
        <v>0</v>
      </c>
      <c r="L74">
        <v>33.15</v>
      </c>
    </row>
    <row r="75" spans="1:15" ht="15.75" customHeight="1" x14ac:dyDescent="0.25">
      <c r="A75" s="6"/>
      <c r="B75" s="458" t="s">
        <v>9</v>
      </c>
      <c r="C75" s="440">
        <f t="shared" si="6"/>
        <v>0</v>
      </c>
      <c r="D75" s="485"/>
      <c r="E75" s="486"/>
      <c r="F75" s="514"/>
      <c r="G75" s="486"/>
      <c r="H75" s="514"/>
      <c r="I75" s="515"/>
      <c r="J75" s="440"/>
      <c r="K75">
        <v>0</v>
      </c>
      <c r="L75">
        <v>26.5</v>
      </c>
    </row>
    <row r="76" spans="1:15" ht="15.75" customHeight="1" x14ac:dyDescent="0.25">
      <c r="A76" s="6"/>
      <c r="B76" s="458" t="s">
        <v>11</v>
      </c>
      <c r="C76" s="440">
        <f t="shared" si="6"/>
        <v>40.4</v>
      </c>
      <c r="D76" s="485"/>
      <c r="E76" s="486"/>
      <c r="F76" s="524" t="s">
        <v>16</v>
      </c>
      <c r="G76" s="525"/>
      <c r="H76" s="516" t="s">
        <v>7</v>
      </c>
      <c r="I76" s="517"/>
      <c r="J76" s="462" t="s">
        <v>808</v>
      </c>
      <c r="K76">
        <v>2</v>
      </c>
      <c r="L76">
        <v>20.2</v>
      </c>
    </row>
    <row r="77" spans="1:15" ht="15.75" customHeight="1" x14ac:dyDescent="0.25">
      <c r="A77" s="6"/>
      <c r="B77" s="458" t="s">
        <v>13</v>
      </c>
      <c r="C77" s="440">
        <f t="shared" si="6"/>
        <v>46.2</v>
      </c>
      <c r="D77" s="485"/>
      <c r="E77" s="486"/>
      <c r="F77" s="522" t="s">
        <v>10</v>
      </c>
      <c r="G77" s="526"/>
      <c r="H77" s="522" t="s">
        <v>18</v>
      </c>
      <c r="I77" s="523"/>
      <c r="J77" s="440" t="s">
        <v>8</v>
      </c>
      <c r="K77">
        <v>2</v>
      </c>
      <c r="L77">
        <v>23.1</v>
      </c>
    </row>
    <row r="78" spans="1:15" ht="15.75" customHeight="1" x14ac:dyDescent="0.25">
      <c r="A78" s="3"/>
      <c r="B78" s="458" t="s">
        <v>14</v>
      </c>
      <c r="C78" s="440">
        <f t="shared" si="6"/>
        <v>20.9</v>
      </c>
      <c r="D78" s="485"/>
      <c r="E78" s="486"/>
      <c r="F78" s="490"/>
      <c r="G78" s="491"/>
      <c r="H78" s="528" t="s">
        <v>12</v>
      </c>
      <c r="I78" s="529"/>
      <c r="J78" s="440" t="s">
        <v>8</v>
      </c>
      <c r="K78">
        <v>1</v>
      </c>
      <c r="L78">
        <v>20.9</v>
      </c>
    </row>
    <row r="79" spans="1:15" ht="15.75" customHeight="1" thickBot="1" x14ac:dyDescent="0.3">
      <c r="A79" s="3"/>
      <c r="B79" s="461" t="s">
        <v>807</v>
      </c>
      <c r="C79" s="440">
        <f t="shared" si="6"/>
        <v>3</v>
      </c>
      <c r="D79" s="531"/>
      <c r="E79" s="520"/>
      <c r="F79" s="487" t="s">
        <v>21</v>
      </c>
      <c r="G79" s="488"/>
      <c r="H79" s="487" t="s">
        <v>22</v>
      </c>
      <c r="I79" s="489"/>
      <c r="J79" s="439" t="s">
        <v>8</v>
      </c>
      <c r="K79">
        <v>2</v>
      </c>
      <c r="L79">
        <v>1.5</v>
      </c>
    </row>
    <row r="80" spans="1:15" ht="15.75" customHeight="1" thickBot="1" x14ac:dyDescent="0.25">
      <c r="A80" s="548" t="s">
        <v>806</v>
      </c>
      <c r="B80" s="549"/>
      <c r="C80" s="471">
        <f>SUM(C71:C79)</f>
        <v>148.5</v>
      </c>
      <c r="D80" s="470"/>
      <c r="E80" s="467">
        <f>SUM(C73:C79)</f>
        <v>110.5</v>
      </c>
      <c r="F80" s="469" t="s">
        <v>805</v>
      </c>
      <c r="G80" s="472" t="s">
        <v>811</v>
      </c>
      <c r="H80" s="466">
        <f>SUM(C71:C72)</f>
        <v>38</v>
      </c>
      <c r="I80" s="469" t="s">
        <v>805</v>
      </c>
      <c r="J80" s="468" t="s">
        <v>821</v>
      </c>
    </row>
    <row r="81" spans="1:15" ht="15.75" customHeight="1" thickBot="1" x14ac:dyDescent="0.3">
      <c r="A81" s="5"/>
      <c r="B81" s="5"/>
      <c r="C81" s="1"/>
      <c r="D81" s="1"/>
      <c r="E81" s="1"/>
      <c r="F81" s="1"/>
      <c r="G81" s="1"/>
      <c r="H81" s="1"/>
      <c r="I81" s="1"/>
      <c r="J81" s="5"/>
    </row>
    <row r="82" spans="1:15" ht="15.75" customHeight="1" x14ac:dyDescent="0.25">
      <c r="A82" s="2">
        <v>46189</v>
      </c>
      <c r="B82" s="458" t="s">
        <v>3</v>
      </c>
      <c r="C82" s="442">
        <f t="shared" ref="C82:C90" si="7">K82*L82</f>
        <v>0</v>
      </c>
      <c r="D82" s="534"/>
      <c r="E82" s="535"/>
      <c r="F82" s="511"/>
      <c r="G82" s="491"/>
      <c r="H82" s="490"/>
      <c r="I82" s="492"/>
      <c r="J82" s="438"/>
      <c r="K82">
        <v>0</v>
      </c>
      <c r="L82">
        <v>38</v>
      </c>
    </row>
    <row r="83" spans="1:15" ht="15.75" customHeight="1" x14ac:dyDescent="0.25">
      <c r="A83" s="448" t="s">
        <v>803</v>
      </c>
      <c r="B83" s="458" t="s">
        <v>802</v>
      </c>
      <c r="C83" s="440">
        <f t="shared" si="7"/>
        <v>26</v>
      </c>
      <c r="D83" s="536"/>
      <c r="E83" s="537"/>
      <c r="F83" s="490"/>
      <c r="G83" s="491"/>
      <c r="H83" s="497" t="s">
        <v>20</v>
      </c>
      <c r="I83" s="498"/>
      <c r="J83" s="439" t="s">
        <v>17</v>
      </c>
      <c r="K83">
        <v>1</v>
      </c>
      <c r="L83">
        <v>26</v>
      </c>
    </row>
    <row r="84" spans="1:15" ht="15.75" customHeight="1" x14ac:dyDescent="0.25">
      <c r="A84" s="3"/>
      <c r="B84" s="458" t="s">
        <v>5</v>
      </c>
      <c r="C84" s="440">
        <f t="shared" si="7"/>
        <v>0</v>
      </c>
      <c r="D84" s="527"/>
      <c r="E84" s="486"/>
      <c r="F84" s="490"/>
      <c r="G84" s="491"/>
      <c r="H84" s="490"/>
      <c r="I84" s="492"/>
      <c r="J84" s="439"/>
      <c r="K84">
        <v>0</v>
      </c>
      <c r="L84">
        <v>54</v>
      </c>
      <c r="N84" s="459"/>
      <c r="O84" s="459"/>
    </row>
    <row r="85" spans="1:15" ht="15.75" customHeight="1" x14ac:dyDescent="0.25">
      <c r="A85" s="3"/>
      <c r="B85" s="458" t="s">
        <v>6</v>
      </c>
      <c r="C85" s="440">
        <f t="shared" si="7"/>
        <v>0</v>
      </c>
      <c r="D85" s="527"/>
      <c r="E85" s="486"/>
      <c r="F85" s="490"/>
      <c r="G85" s="491"/>
      <c r="H85" s="490"/>
      <c r="I85" s="492"/>
      <c r="J85" s="439"/>
      <c r="K85">
        <v>0</v>
      </c>
      <c r="L85">
        <v>33.15</v>
      </c>
    </row>
    <row r="86" spans="1:15" ht="15.75" customHeight="1" x14ac:dyDescent="0.25">
      <c r="A86" s="6"/>
      <c r="B86" s="458" t="s">
        <v>9</v>
      </c>
      <c r="C86" s="440">
        <f t="shared" si="7"/>
        <v>0</v>
      </c>
      <c r="D86" s="527"/>
      <c r="E86" s="486"/>
      <c r="F86" s="514"/>
      <c r="G86" s="486"/>
      <c r="H86" s="514"/>
      <c r="I86" s="515"/>
      <c r="J86" s="439"/>
      <c r="K86">
        <v>0</v>
      </c>
      <c r="L86">
        <v>26.5</v>
      </c>
    </row>
    <row r="87" spans="1:15" ht="15.75" customHeight="1" x14ac:dyDescent="0.25">
      <c r="A87" s="6"/>
      <c r="B87" s="458" t="s">
        <v>11</v>
      </c>
      <c r="C87" s="440">
        <f t="shared" si="7"/>
        <v>0</v>
      </c>
      <c r="D87" s="527"/>
      <c r="E87" s="486"/>
      <c r="F87" s="514"/>
      <c r="G87" s="486"/>
      <c r="H87" s="514"/>
      <c r="I87" s="515"/>
      <c r="J87" s="440"/>
      <c r="K87">
        <v>0</v>
      </c>
      <c r="L87">
        <v>20.2</v>
      </c>
    </row>
    <row r="88" spans="1:15" ht="15.75" customHeight="1" x14ac:dyDescent="0.25">
      <c r="A88" s="6"/>
      <c r="B88" s="458" t="s">
        <v>13</v>
      </c>
      <c r="C88" s="440">
        <f t="shared" si="7"/>
        <v>46.2</v>
      </c>
      <c r="D88" s="527"/>
      <c r="E88" s="486"/>
      <c r="F88" s="524" t="s">
        <v>16</v>
      </c>
      <c r="G88" s="525"/>
      <c r="H88" s="516" t="s">
        <v>7</v>
      </c>
      <c r="I88" s="517"/>
      <c r="J88" s="462" t="s">
        <v>808</v>
      </c>
      <c r="K88">
        <v>2</v>
      </c>
      <c r="L88">
        <v>23.1</v>
      </c>
    </row>
    <row r="89" spans="1:15" ht="15.75" customHeight="1" x14ac:dyDescent="0.25">
      <c r="A89" s="6"/>
      <c r="B89" s="458" t="s">
        <v>14</v>
      </c>
      <c r="C89" s="440">
        <f t="shared" si="7"/>
        <v>62.699999999999996</v>
      </c>
      <c r="D89" s="530" t="s">
        <v>16</v>
      </c>
      <c r="E89" s="525"/>
      <c r="F89" s="522" t="s">
        <v>10</v>
      </c>
      <c r="G89" s="526"/>
      <c r="H89" s="522" t="s">
        <v>18</v>
      </c>
      <c r="I89" s="523"/>
      <c r="J89" s="462" t="s">
        <v>809</v>
      </c>
      <c r="K89">
        <v>3</v>
      </c>
      <c r="L89">
        <v>20.9</v>
      </c>
    </row>
    <row r="90" spans="1:15" ht="15.75" customHeight="1" thickBot="1" x14ac:dyDescent="0.3">
      <c r="A90" s="6"/>
      <c r="B90" s="461" t="s">
        <v>807</v>
      </c>
      <c r="C90" s="441">
        <f t="shared" si="7"/>
        <v>4.5</v>
      </c>
      <c r="D90" s="521"/>
      <c r="E90" s="520"/>
      <c r="F90" s="518"/>
      <c r="G90" s="520"/>
      <c r="H90" s="518"/>
      <c r="I90" s="519"/>
      <c r="J90" s="440"/>
      <c r="K90">
        <v>3</v>
      </c>
      <c r="L90">
        <v>1.5</v>
      </c>
    </row>
    <row r="91" spans="1:15" ht="15.75" customHeight="1" thickBot="1" x14ac:dyDescent="0.25">
      <c r="A91" s="548" t="s">
        <v>806</v>
      </c>
      <c r="B91" s="549"/>
      <c r="C91" s="471">
        <f>SUM(C82:C90)</f>
        <v>139.4</v>
      </c>
      <c r="D91" s="470"/>
      <c r="E91" s="467">
        <f>SUM(C84:C90)</f>
        <v>113.4</v>
      </c>
      <c r="F91" s="469" t="s">
        <v>805</v>
      </c>
      <c r="G91" s="472" t="s">
        <v>811</v>
      </c>
      <c r="H91" s="466">
        <f>SUM(C82:C83)</f>
        <v>26</v>
      </c>
      <c r="I91" s="469" t="s">
        <v>805</v>
      </c>
      <c r="J91" s="468" t="s">
        <v>821</v>
      </c>
    </row>
    <row r="92" spans="1:15" ht="15.75" customHeight="1" thickBot="1" x14ac:dyDescent="0.3">
      <c r="A92" s="7"/>
      <c r="B92" s="7"/>
      <c r="C92" s="8"/>
      <c r="D92" s="465"/>
      <c r="E92" s="8"/>
      <c r="F92" s="465"/>
      <c r="G92" s="8"/>
      <c r="H92" s="465"/>
      <c r="I92" s="8"/>
      <c r="J92" s="7"/>
    </row>
    <row r="93" spans="1:15" ht="15.75" customHeight="1" x14ac:dyDescent="0.25">
      <c r="A93" s="9">
        <v>46203</v>
      </c>
      <c r="B93" s="458" t="s">
        <v>3</v>
      </c>
      <c r="C93" s="442">
        <f t="shared" ref="C93:C101" si="8">K93*L93</f>
        <v>0</v>
      </c>
      <c r="D93" s="485"/>
      <c r="E93" s="486"/>
      <c r="F93" s="514"/>
      <c r="G93" s="486"/>
      <c r="H93" s="514"/>
      <c r="I93" s="515"/>
      <c r="J93" s="442"/>
      <c r="K93">
        <v>0</v>
      </c>
      <c r="L93">
        <v>38</v>
      </c>
    </row>
    <row r="94" spans="1:15" ht="15.75" customHeight="1" x14ac:dyDescent="0.25">
      <c r="A94" s="448" t="s">
        <v>803</v>
      </c>
      <c r="B94" s="458" t="s">
        <v>4</v>
      </c>
      <c r="C94" s="440">
        <f t="shared" si="8"/>
        <v>16</v>
      </c>
      <c r="D94" s="485"/>
      <c r="E94" s="486"/>
      <c r="F94" s="514"/>
      <c r="G94" s="486"/>
      <c r="H94" s="497" t="s">
        <v>20</v>
      </c>
      <c r="I94" s="498"/>
      <c r="J94" s="440" t="s">
        <v>17</v>
      </c>
      <c r="K94">
        <v>1</v>
      </c>
      <c r="L94">
        <v>16</v>
      </c>
    </row>
    <row r="95" spans="1:15" ht="15.75" customHeight="1" x14ac:dyDescent="0.25">
      <c r="A95" s="6"/>
      <c r="B95" s="458" t="s">
        <v>5</v>
      </c>
      <c r="C95" s="440">
        <f t="shared" si="8"/>
        <v>0</v>
      </c>
      <c r="D95" s="485"/>
      <c r="E95" s="486"/>
      <c r="F95" s="514"/>
      <c r="G95" s="486"/>
      <c r="H95" s="514"/>
      <c r="I95" s="515"/>
      <c r="J95" s="440"/>
      <c r="K95">
        <v>0</v>
      </c>
      <c r="L95">
        <v>54</v>
      </c>
      <c r="N95" s="459"/>
      <c r="O95" s="459"/>
    </row>
    <row r="96" spans="1:15" ht="15.75" customHeight="1" x14ac:dyDescent="0.25">
      <c r="A96" s="6"/>
      <c r="B96" s="458" t="s">
        <v>6</v>
      </c>
      <c r="C96" s="440">
        <f t="shared" si="8"/>
        <v>0</v>
      </c>
      <c r="D96" s="485"/>
      <c r="E96" s="486"/>
      <c r="F96" s="514"/>
      <c r="G96" s="486"/>
      <c r="H96" s="514"/>
      <c r="I96" s="515"/>
      <c r="J96" s="440"/>
      <c r="K96">
        <v>0</v>
      </c>
      <c r="L96">
        <v>33.15</v>
      </c>
    </row>
    <row r="97" spans="1:15" ht="15.75" customHeight="1" x14ac:dyDescent="0.25">
      <c r="A97" s="6"/>
      <c r="B97" s="458" t="s">
        <v>9</v>
      </c>
      <c r="C97" s="440">
        <f t="shared" si="8"/>
        <v>0</v>
      </c>
      <c r="D97" s="485"/>
      <c r="E97" s="486"/>
      <c r="F97" s="514"/>
      <c r="G97" s="486"/>
      <c r="H97" s="514"/>
      <c r="I97" s="515"/>
      <c r="J97" s="440"/>
      <c r="K97">
        <v>0</v>
      </c>
      <c r="L97">
        <v>26.5</v>
      </c>
    </row>
    <row r="98" spans="1:15" ht="15.75" customHeight="1" x14ac:dyDescent="0.25">
      <c r="A98" s="6"/>
      <c r="B98" s="458" t="s">
        <v>11</v>
      </c>
      <c r="C98" s="440">
        <f t="shared" si="8"/>
        <v>0</v>
      </c>
      <c r="D98" s="485"/>
      <c r="E98" s="486"/>
      <c r="F98" s="514"/>
      <c r="G98" s="486"/>
      <c r="H98" s="514"/>
      <c r="I98" s="515"/>
      <c r="J98" s="440"/>
      <c r="K98">
        <v>0</v>
      </c>
      <c r="L98">
        <v>20.2</v>
      </c>
    </row>
    <row r="99" spans="1:15" ht="15.75" customHeight="1" x14ac:dyDescent="0.25">
      <c r="A99" s="6"/>
      <c r="B99" s="458" t="s">
        <v>13</v>
      </c>
      <c r="C99" s="440">
        <f t="shared" si="8"/>
        <v>0</v>
      </c>
      <c r="D99" s="485"/>
      <c r="E99" s="486"/>
      <c r="F99" s="514"/>
      <c r="G99" s="486"/>
      <c r="H99" s="514"/>
      <c r="I99" s="515"/>
      <c r="J99" s="440"/>
      <c r="K99">
        <v>0</v>
      </c>
      <c r="L99">
        <v>23.1</v>
      </c>
    </row>
    <row r="100" spans="1:15" ht="15.75" customHeight="1" x14ac:dyDescent="0.25">
      <c r="A100" s="6"/>
      <c r="B100" s="458" t="s">
        <v>14</v>
      </c>
      <c r="C100" s="440">
        <f t="shared" si="8"/>
        <v>20.9</v>
      </c>
      <c r="D100" s="485"/>
      <c r="E100" s="486"/>
      <c r="F100" s="514"/>
      <c r="G100" s="486"/>
      <c r="H100" s="516" t="s">
        <v>7</v>
      </c>
      <c r="I100" s="517"/>
      <c r="J100" s="440" t="s">
        <v>8</v>
      </c>
      <c r="K100">
        <v>1</v>
      </c>
      <c r="L100">
        <v>20.9</v>
      </c>
    </row>
    <row r="101" spans="1:15" ht="15.75" customHeight="1" thickBot="1" x14ac:dyDescent="0.3">
      <c r="A101" s="3"/>
      <c r="B101" s="461" t="s">
        <v>807</v>
      </c>
      <c r="C101" s="440">
        <f t="shared" si="8"/>
        <v>3</v>
      </c>
      <c r="D101" s="485"/>
      <c r="E101" s="486"/>
      <c r="F101" s="514"/>
      <c r="G101" s="486"/>
      <c r="H101" s="487"/>
      <c r="I101" s="489"/>
      <c r="J101" s="439"/>
      <c r="K101">
        <v>2</v>
      </c>
      <c r="L101">
        <v>1.5</v>
      </c>
    </row>
    <row r="102" spans="1:15" ht="15.75" customHeight="1" thickBot="1" x14ac:dyDescent="0.25">
      <c r="A102" s="548" t="s">
        <v>806</v>
      </c>
      <c r="B102" s="549"/>
      <c r="C102" s="471">
        <f>SUM(C93:C101)</f>
        <v>39.9</v>
      </c>
      <c r="D102" s="470"/>
      <c r="E102" s="467">
        <f>SUM(C95:C101)</f>
        <v>23.9</v>
      </c>
      <c r="F102" s="469" t="s">
        <v>805</v>
      </c>
      <c r="G102" s="472" t="s">
        <v>811</v>
      </c>
      <c r="H102" s="466">
        <f>SUM(C93:C94)</f>
        <v>16</v>
      </c>
      <c r="I102" s="469" t="s">
        <v>805</v>
      </c>
      <c r="J102" s="468" t="s">
        <v>821</v>
      </c>
    </row>
    <row r="103" spans="1:15" ht="15.75" customHeight="1" thickBot="1" x14ac:dyDescent="0.3">
      <c r="A103" s="565" t="s">
        <v>818</v>
      </c>
      <c r="B103" s="565"/>
      <c r="C103" s="565"/>
      <c r="D103" s="565"/>
      <c r="E103" s="565"/>
      <c r="F103" s="565"/>
      <c r="G103" s="565"/>
      <c r="H103" s="565"/>
      <c r="I103" s="565"/>
      <c r="J103" s="565"/>
      <c r="K103" s="565"/>
      <c r="L103" s="565"/>
    </row>
    <row r="104" spans="1:15" ht="15.75" customHeight="1" thickBot="1" x14ac:dyDescent="0.3">
      <c r="A104" s="499" t="s">
        <v>25</v>
      </c>
      <c r="B104" s="501"/>
      <c r="C104" s="454" t="s">
        <v>805</v>
      </c>
      <c r="D104" s="499" t="s">
        <v>812</v>
      </c>
      <c r="E104" s="500"/>
      <c r="F104" s="500"/>
      <c r="G104" s="500"/>
      <c r="H104" s="500"/>
      <c r="I104" s="501"/>
      <c r="J104" s="455" t="s">
        <v>2</v>
      </c>
    </row>
    <row r="105" spans="1:15" ht="15.75" customHeight="1" x14ac:dyDescent="0.25">
      <c r="A105" s="447">
        <v>46213</v>
      </c>
      <c r="B105" s="457" t="s">
        <v>3</v>
      </c>
      <c r="C105" s="442">
        <f t="shared" ref="C105:C113" si="9">K105*L105</f>
        <v>0</v>
      </c>
      <c r="D105" s="506"/>
      <c r="E105" s="507"/>
      <c r="F105" s="508"/>
      <c r="G105" s="510"/>
      <c r="H105" s="508"/>
      <c r="I105" s="513"/>
      <c r="J105" s="438"/>
      <c r="K105">
        <v>0</v>
      </c>
      <c r="L105">
        <v>38</v>
      </c>
    </row>
    <row r="106" spans="1:15" ht="15.75" customHeight="1" x14ac:dyDescent="0.25">
      <c r="A106" s="448" t="s">
        <v>804</v>
      </c>
      <c r="B106" s="458" t="s">
        <v>822</v>
      </c>
      <c r="C106" s="440">
        <f t="shared" si="9"/>
        <v>16</v>
      </c>
      <c r="D106" s="485"/>
      <c r="E106" s="486"/>
      <c r="F106" s="490"/>
      <c r="G106" s="491"/>
      <c r="H106" s="497" t="s">
        <v>20</v>
      </c>
      <c r="I106" s="512"/>
      <c r="J106" s="439" t="s">
        <v>17</v>
      </c>
      <c r="K106">
        <v>1</v>
      </c>
      <c r="L106">
        <v>16</v>
      </c>
    </row>
    <row r="107" spans="1:15" ht="15.75" customHeight="1" x14ac:dyDescent="0.25">
      <c r="A107" s="3"/>
      <c r="B107" s="458" t="s">
        <v>5</v>
      </c>
      <c r="C107" s="440">
        <f t="shared" si="9"/>
        <v>0</v>
      </c>
      <c r="D107" s="485"/>
      <c r="E107" s="486"/>
      <c r="F107" s="490"/>
      <c r="G107" s="491"/>
      <c r="I107" s="452"/>
      <c r="J107" s="483"/>
      <c r="K107">
        <v>0</v>
      </c>
      <c r="L107">
        <v>54</v>
      </c>
      <c r="N107" s="459"/>
      <c r="O107" s="459"/>
    </row>
    <row r="108" spans="1:15" ht="15.75" customHeight="1" x14ac:dyDescent="0.25">
      <c r="A108" s="3"/>
      <c r="B108" s="458" t="s">
        <v>6</v>
      </c>
      <c r="C108" s="440">
        <f t="shared" si="9"/>
        <v>0</v>
      </c>
      <c r="D108" s="485"/>
      <c r="E108" s="486"/>
      <c r="F108" s="490"/>
      <c r="G108" s="491"/>
      <c r="H108" s="490"/>
      <c r="I108" s="511"/>
      <c r="J108" s="439"/>
      <c r="K108">
        <v>0</v>
      </c>
      <c r="L108">
        <v>33.15</v>
      </c>
    </row>
    <row r="109" spans="1:15" ht="15.75" customHeight="1" x14ac:dyDescent="0.25">
      <c r="A109" s="3"/>
      <c r="B109" s="458" t="s">
        <v>9</v>
      </c>
      <c r="C109" s="440">
        <f t="shared" si="9"/>
        <v>0</v>
      </c>
      <c r="D109" s="485"/>
      <c r="E109" s="486"/>
      <c r="F109" s="490"/>
      <c r="G109" s="491"/>
      <c r="H109" s="490"/>
      <c r="I109" s="511"/>
      <c r="J109" s="439"/>
      <c r="K109">
        <v>0</v>
      </c>
      <c r="L109">
        <v>26.5</v>
      </c>
    </row>
    <row r="110" spans="1:15" ht="15.75" customHeight="1" x14ac:dyDescent="0.25">
      <c r="A110" s="3"/>
      <c r="B110" s="458" t="s">
        <v>11</v>
      </c>
      <c r="C110" s="440">
        <f t="shared" si="9"/>
        <v>0</v>
      </c>
      <c r="D110" s="485"/>
      <c r="E110" s="486"/>
      <c r="F110" s="490"/>
      <c r="G110" s="491"/>
      <c r="H110" s="490"/>
      <c r="I110" s="511"/>
      <c r="J110" s="439"/>
      <c r="K110">
        <v>0</v>
      </c>
      <c r="L110">
        <v>20.2</v>
      </c>
    </row>
    <row r="111" spans="1:15" ht="15.75" customHeight="1" x14ac:dyDescent="0.25">
      <c r="A111" s="3"/>
      <c r="B111" s="458" t="s">
        <v>13</v>
      </c>
      <c r="C111" s="440">
        <f t="shared" si="9"/>
        <v>0</v>
      </c>
      <c r="D111" s="485"/>
      <c r="E111" s="486"/>
      <c r="F111" s="490"/>
      <c r="G111" s="491"/>
      <c r="H111" s="490"/>
      <c r="I111" s="511"/>
      <c r="J111" s="439"/>
      <c r="K111">
        <v>0</v>
      </c>
      <c r="L111">
        <v>23.1</v>
      </c>
    </row>
    <row r="112" spans="1:15" ht="15.75" customHeight="1" x14ac:dyDescent="0.25">
      <c r="A112" s="3"/>
      <c r="B112" s="461" t="s">
        <v>14</v>
      </c>
      <c r="C112" s="440">
        <f t="shared" si="9"/>
        <v>0</v>
      </c>
      <c r="D112" s="485"/>
      <c r="E112" s="486"/>
      <c r="F112" s="490"/>
      <c r="G112" s="491"/>
      <c r="H112" s="490"/>
      <c r="I112" s="511"/>
      <c r="J112" s="439"/>
      <c r="K112">
        <v>0</v>
      </c>
      <c r="L112">
        <v>20.9</v>
      </c>
    </row>
    <row r="113" spans="1:15" ht="15.75" customHeight="1" thickBot="1" x14ac:dyDescent="0.3">
      <c r="A113" s="3"/>
      <c r="B113" s="461" t="s">
        <v>807</v>
      </c>
      <c r="C113" s="440">
        <f t="shared" si="9"/>
        <v>3</v>
      </c>
      <c r="D113" s="485"/>
      <c r="E113" s="486"/>
      <c r="F113" s="490"/>
      <c r="G113" s="491"/>
      <c r="H113" s="490"/>
      <c r="I113" s="511"/>
      <c r="J113" s="484"/>
      <c r="K113">
        <v>2</v>
      </c>
      <c r="L113">
        <v>1.5</v>
      </c>
    </row>
    <row r="114" spans="1:15" ht="15.75" customHeight="1" thickBot="1" x14ac:dyDescent="0.25">
      <c r="A114" s="548" t="s">
        <v>806</v>
      </c>
      <c r="B114" s="549"/>
      <c r="C114" s="471">
        <f>SUM(C105:C113)</f>
        <v>19</v>
      </c>
      <c r="D114" s="470"/>
      <c r="E114" s="467">
        <f>SUM(C107:C113)</f>
        <v>3</v>
      </c>
      <c r="F114" s="469" t="s">
        <v>805</v>
      </c>
      <c r="G114" s="472" t="s">
        <v>811</v>
      </c>
      <c r="H114" s="466">
        <f>SUM(C105:C106)</f>
        <v>16</v>
      </c>
      <c r="I114" s="469" t="s">
        <v>805</v>
      </c>
      <c r="J114" s="468" t="s">
        <v>821</v>
      </c>
    </row>
    <row r="115" spans="1:15" ht="15.75" customHeight="1" thickBot="1" x14ac:dyDescent="0.3">
      <c r="A115" s="5"/>
      <c r="B115" s="5"/>
      <c r="C115" s="1"/>
      <c r="D115" s="1"/>
      <c r="E115" s="1"/>
      <c r="F115" s="1"/>
      <c r="G115" s="1"/>
      <c r="H115" s="1"/>
      <c r="I115" s="1"/>
      <c r="J115" s="5"/>
    </row>
    <row r="116" spans="1:15" ht="15.75" customHeight="1" x14ac:dyDescent="0.25">
      <c r="A116" s="2">
        <v>46233</v>
      </c>
      <c r="B116" s="458" t="s">
        <v>3</v>
      </c>
      <c r="C116" s="442">
        <f t="shared" ref="C116:C124" si="10">K116*L116</f>
        <v>0</v>
      </c>
      <c r="D116" s="485"/>
      <c r="E116" s="486"/>
      <c r="F116" s="490"/>
      <c r="G116" s="491"/>
      <c r="H116" s="490"/>
      <c r="I116" s="492"/>
      <c r="J116" s="438"/>
      <c r="K116">
        <v>0</v>
      </c>
      <c r="L116">
        <v>38</v>
      </c>
    </row>
    <row r="117" spans="1:15" ht="15.75" customHeight="1" x14ac:dyDescent="0.25">
      <c r="A117" s="3"/>
      <c r="B117" s="458" t="s">
        <v>4</v>
      </c>
      <c r="C117" s="440">
        <f t="shared" si="10"/>
        <v>0</v>
      </c>
      <c r="D117" s="485"/>
      <c r="E117" s="486"/>
      <c r="F117" s="490"/>
      <c r="G117" s="491"/>
      <c r="H117" s="490"/>
      <c r="I117" s="492"/>
      <c r="J117" s="439"/>
      <c r="K117">
        <v>0</v>
      </c>
      <c r="L117">
        <v>16</v>
      </c>
    </row>
    <row r="118" spans="1:15" ht="15.75" customHeight="1" x14ac:dyDescent="0.25">
      <c r="A118" s="3"/>
      <c r="B118" s="458" t="s">
        <v>5</v>
      </c>
      <c r="C118" s="440">
        <f t="shared" si="10"/>
        <v>54</v>
      </c>
      <c r="D118" s="485"/>
      <c r="E118" s="486"/>
      <c r="F118" s="490"/>
      <c r="G118" s="491"/>
      <c r="H118" s="497" t="s">
        <v>20</v>
      </c>
      <c r="I118" s="498"/>
      <c r="J118" s="439" t="s">
        <v>17</v>
      </c>
      <c r="K118">
        <v>1</v>
      </c>
      <c r="L118">
        <v>54</v>
      </c>
      <c r="N118" s="459"/>
      <c r="O118" s="459"/>
    </row>
    <row r="119" spans="1:15" ht="15.75" customHeight="1" x14ac:dyDescent="0.25">
      <c r="A119" s="3"/>
      <c r="B119" s="458" t="s">
        <v>6</v>
      </c>
      <c r="C119" s="440">
        <f t="shared" si="10"/>
        <v>0</v>
      </c>
      <c r="D119" s="485"/>
      <c r="E119" s="486"/>
      <c r="F119" s="490"/>
      <c r="G119" s="491"/>
      <c r="J119" s="439"/>
      <c r="K119">
        <v>0</v>
      </c>
      <c r="L119">
        <v>33.15</v>
      </c>
    </row>
    <row r="120" spans="1:15" ht="15.75" customHeight="1" x14ac:dyDescent="0.25">
      <c r="A120" s="3"/>
      <c r="B120" s="458" t="s">
        <v>9</v>
      </c>
      <c r="C120" s="440">
        <f t="shared" si="10"/>
        <v>0</v>
      </c>
      <c r="D120" s="485"/>
      <c r="E120" s="486"/>
      <c r="F120" s="490"/>
      <c r="G120" s="491"/>
      <c r="H120" s="490"/>
      <c r="I120" s="492"/>
      <c r="J120" s="439"/>
      <c r="K120">
        <v>0</v>
      </c>
      <c r="L120">
        <v>26.5</v>
      </c>
    </row>
    <row r="121" spans="1:15" ht="15.75" customHeight="1" x14ac:dyDescent="0.25">
      <c r="A121" s="3"/>
      <c r="B121" s="458" t="s">
        <v>11</v>
      </c>
      <c r="C121" s="440">
        <f t="shared" si="10"/>
        <v>0</v>
      </c>
      <c r="D121" s="485"/>
      <c r="E121" s="486"/>
      <c r="F121" s="490"/>
      <c r="G121" s="491"/>
      <c r="H121" s="490"/>
      <c r="I121" s="492"/>
      <c r="J121" s="439"/>
      <c r="K121">
        <v>0</v>
      </c>
      <c r="L121">
        <v>20.2</v>
      </c>
    </row>
    <row r="122" spans="1:15" ht="15.75" customHeight="1" x14ac:dyDescent="0.25">
      <c r="A122" s="3"/>
      <c r="B122" s="458" t="s">
        <v>13</v>
      </c>
      <c r="C122" s="440">
        <f t="shared" si="10"/>
        <v>0</v>
      </c>
      <c r="D122" s="485"/>
      <c r="E122" s="486"/>
      <c r="F122" s="490"/>
      <c r="G122" s="491"/>
      <c r="H122" s="490"/>
      <c r="I122" s="492"/>
      <c r="J122" s="439"/>
      <c r="K122">
        <v>0</v>
      </c>
      <c r="L122">
        <v>23.1</v>
      </c>
    </row>
    <row r="123" spans="1:15" ht="15.75" customHeight="1" x14ac:dyDescent="0.25">
      <c r="A123" s="3"/>
      <c r="B123" s="458" t="s">
        <v>14</v>
      </c>
      <c r="C123" s="440">
        <f t="shared" si="10"/>
        <v>0</v>
      </c>
      <c r="D123" s="485"/>
      <c r="E123" s="486"/>
      <c r="F123" s="490"/>
      <c r="G123" s="491"/>
      <c r="H123" s="490"/>
      <c r="I123" s="492"/>
      <c r="J123" s="439"/>
      <c r="K123">
        <v>0</v>
      </c>
      <c r="L123">
        <v>20.9</v>
      </c>
    </row>
    <row r="124" spans="1:15" ht="15.75" customHeight="1" thickBot="1" x14ac:dyDescent="0.3">
      <c r="A124" s="3"/>
      <c r="B124" s="461" t="s">
        <v>807</v>
      </c>
      <c r="C124" s="440">
        <f t="shared" si="10"/>
        <v>0</v>
      </c>
      <c r="D124" s="485"/>
      <c r="E124" s="486"/>
      <c r="F124" s="490"/>
      <c r="G124" s="491"/>
      <c r="H124" s="490"/>
      <c r="I124" s="492"/>
      <c r="J124" s="439"/>
      <c r="K124">
        <v>0</v>
      </c>
      <c r="L124">
        <v>1.5</v>
      </c>
    </row>
    <row r="125" spans="1:15" ht="15.75" customHeight="1" thickBot="1" x14ac:dyDescent="0.25">
      <c r="A125" s="548" t="s">
        <v>806</v>
      </c>
      <c r="B125" s="549"/>
      <c r="C125" s="471">
        <f>SUM(C116:C124)</f>
        <v>54</v>
      </c>
      <c r="D125" s="470"/>
      <c r="E125" s="467">
        <f>SUM(C118:C124)</f>
        <v>54</v>
      </c>
      <c r="F125" s="469" t="s">
        <v>805</v>
      </c>
      <c r="G125" s="472" t="s">
        <v>811</v>
      </c>
      <c r="H125" s="466">
        <f>SUM(C116:C117)</f>
        <v>0</v>
      </c>
      <c r="I125" s="469" t="s">
        <v>805</v>
      </c>
      <c r="J125" s="468" t="s">
        <v>821</v>
      </c>
    </row>
    <row r="126" spans="1:15" ht="15.75" customHeight="1" thickBot="1" x14ac:dyDescent="0.3">
      <c r="A126" s="453"/>
      <c r="B126" s="450"/>
      <c r="C126" s="450"/>
      <c r="D126" s="450"/>
      <c r="E126" s="450"/>
      <c r="F126" s="450"/>
      <c r="G126" s="450"/>
      <c r="H126" s="450"/>
      <c r="I126" s="450"/>
      <c r="J126" s="450"/>
    </row>
    <row r="127" spans="1:15" ht="15.75" customHeight="1" thickBot="1" x14ac:dyDescent="0.3">
      <c r="A127" s="499" t="s">
        <v>26</v>
      </c>
      <c r="B127" s="501"/>
      <c r="C127" s="454" t="s">
        <v>805</v>
      </c>
      <c r="D127" s="499" t="s">
        <v>812</v>
      </c>
      <c r="E127" s="500"/>
      <c r="F127" s="500"/>
      <c r="G127" s="500"/>
      <c r="H127" s="500"/>
      <c r="I127" s="501"/>
      <c r="J127" s="455" t="s">
        <v>2</v>
      </c>
    </row>
    <row r="128" spans="1:15" ht="15.75" customHeight="1" x14ac:dyDescent="0.25">
      <c r="A128" s="447">
        <v>46248</v>
      </c>
      <c r="B128" s="457" t="s">
        <v>3</v>
      </c>
      <c r="C128" s="442">
        <f t="shared" ref="C128:C136" si="11">K128*L128</f>
        <v>76</v>
      </c>
      <c r="D128" s="506"/>
      <c r="E128" s="507"/>
      <c r="F128" s="504" t="s">
        <v>24</v>
      </c>
      <c r="G128" s="505"/>
      <c r="H128" s="502" t="s">
        <v>23</v>
      </c>
      <c r="I128" s="503"/>
      <c r="J128" s="463" t="s">
        <v>810</v>
      </c>
      <c r="K128">
        <v>2</v>
      </c>
      <c r="L128">
        <v>38</v>
      </c>
    </row>
    <row r="129" spans="1:15" x14ac:dyDescent="0.25">
      <c r="A129" s="3"/>
      <c r="B129" s="458" t="s">
        <v>4</v>
      </c>
      <c r="C129" s="440">
        <f t="shared" si="11"/>
        <v>0</v>
      </c>
      <c r="D129" s="485"/>
      <c r="E129" s="486"/>
      <c r="F129" s="490"/>
      <c r="G129" s="491"/>
      <c r="H129" s="490"/>
      <c r="I129" s="492"/>
      <c r="J129" s="439"/>
      <c r="K129">
        <v>0</v>
      </c>
      <c r="L129">
        <v>16</v>
      </c>
    </row>
    <row r="130" spans="1:15" x14ac:dyDescent="0.25">
      <c r="A130" s="3"/>
      <c r="B130" s="458" t="s">
        <v>5</v>
      </c>
      <c r="C130" s="440">
        <f t="shared" si="11"/>
        <v>0</v>
      </c>
      <c r="D130" s="485"/>
      <c r="E130" s="486"/>
      <c r="F130" s="490"/>
      <c r="G130" s="491"/>
      <c r="H130" s="490"/>
      <c r="I130" s="492"/>
      <c r="J130" s="439"/>
      <c r="K130">
        <v>0</v>
      </c>
      <c r="L130">
        <v>54</v>
      </c>
      <c r="N130" s="459"/>
      <c r="O130" s="459"/>
    </row>
    <row r="131" spans="1:15" ht="15.75" customHeight="1" x14ac:dyDescent="0.25">
      <c r="A131" s="3"/>
      <c r="B131" s="458" t="s">
        <v>6</v>
      </c>
      <c r="C131" s="440">
        <f t="shared" si="11"/>
        <v>33.15</v>
      </c>
      <c r="D131" s="485"/>
      <c r="E131" s="486"/>
      <c r="F131" s="490"/>
      <c r="G131" s="491"/>
      <c r="H131" s="497" t="s">
        <v>20</v>
      </c>
      <c r="I131" s="498"/>
      <c r="J131" s="439" t="s">
        <v>17</v>
      </c>
      <c r="K131">
        <v>1</v>
      </c>
      <c r="L131">
        <v>33.15</v>
      </c>
    </row>
    <row r="132" spans="1:15" ht="15.75" customHeight="1" x14ac:dyDescent="0.25">
      <c r="A132" s="3"/>
      <c r="B132" s="458" t="s">
        <v>9</v>
      </c>
      <c r="C132" s="440">
        <f t="shared" si="11"/>
        <v>0</v>
      </c>
      <c r="D132" s="485"/>
      <c r="E132" s="486"/>
      <c r="F132" s="490"/>
      <c r="G132" s="491"/>
      <c r="J132" s="439"/>
      <c r="K132">
        <v>0</v>
      </c>
      <c r="L132">
        <v>26.5</v>
      </c>
    </row>
    <row r="133" spans="1:15" ht="15.75" customHeight="1" x14ac:dyDescent="0.25">
      <c r="A133" s="3"/>
      <c r="B133" s="458" t="s">
        <v>11</v>
      </c>
      <c r="C133" s="440">
        <f t="shared" si="11"/>
        <v>0</v>
      </c>
      <c r="D133" s="485"/>
      <c r="E133" s="486"/>
      <c r="F133" s="490"/>
      <c r="G133" s="491"/>
      <c r="H133" s="490"/>
      <c r="I133" s="492"/>
      <c r="J133" s="439"/>
      <c r="K133">
        <v>0</v>
      </c>
      <c r="L133">
        <v>20.2</v>
      </c>
    </row>
    <row r="134" spans="1:15" ht="15.75" customHeight="1" x14ac:dyDescent="0.25">
      <c r="A134" s="3"/>
      <c r="B134" s="458" t="s">
        <v>13</v>
      </c>
      <c r="C134" s="440">
        <f t="shared" si="11"/>
        <v>0</v>
      </c>
      <c r="D134" s="485"/>
      <c r="E134" s="486"/>
      <c r="F134" s="490"/>
      <c r="G134" s="491"/>
      <c r="H134" s="490"/>
      <c r="I134" s="492"/>
      <c r="J134" s="443"/>
      <c r="K134">
        <v>0</v>
      </c>
      <c r="L134">
        <v>23.1</v>
      </c>
    </row>
    <row r="135" spans="1:15" ht="15.75" customHeight="1" x14ac:dyDescent="0.25">
      <c r="A135" s="3"/>
      <c r="B135" s="458" t="s">
        <v>14</v>
      </c>
      <c r="C135" s="440">
        <f t="shared" si="11"/>
        <v>0</v>
      </c>
      <c r="D135" s="485"/>
      <c r="E135" s="486"/>
      <c r="F135" s="490"/>
      <c r="G135" s="491"/>
      <c r="H135" s="490"/>
      <c r="I135" s="492"/>
      <c r="J135" s="443"/>
      <c r="K135">
        <v>0</v>
      </c>
      <c r="L135">
        <v>20.9</v>
      </c>
    </row>
    <row r="136" spans="1:15" ht="15.75" customHeight="1" thickBot="1" x14ac:dyDescent="0.3">
      <c r="A136" s="3"/>
      <c r="B136" s="461" t="s">
        <v>807</v>
      </c>
      <c r="C136" s="440">
        <f t="shared" si="11"/>
        <v>0</v>
      </c>
      <c r="D136" s="485"/>
      <c r="E136" s="486"/>
      <c r="F136" s="490"/>
      <c r="G136" s="491"/>
      <c r="H136" s="487"/>
      <c r="I136" s="489"/>
      <c r="J136" s="443"/>
      <c r="K136">
        <v>0</v>
      </c>
      <c r="L136">
        <v>1.5</v>
      </c>
    </row>
    <row r="137" spans="1:15" ht="15.75" customHeight="1" thickBot="1" x14ac:dyDescent="0.25">
      <c r="A137" s="548" t="s">
        <v>806</v>
      </c>
      <c r="B137" s="549"/>
      <c r="C137" s="471">
        <f>SUM(C128:C136)</f>
        <v>109.15</v>
      </c>
      <c r="D137" s="470"/>
      <c r="E137" s="467">
        <f>SUM(C130:C136)</f>
        <v>33.15</v>
      </c>
      <c r="F137" s="469" t="s">
        <v>805</v>
      </c>
      <c r="G137" s="472" t="s">
        <v>811</v>
      </c>
      <c r="H137" s="466">
        <f>SUM(C128:C129)</f>
        <v>76</v>
      </c>
      <c r="I137" s="469" t="s">
        <v>805</v>
      </c>
      <c r="J137" s="468" t="s">
        <v>821</v>
      </c>
    </row>
    <row r="138" spans="1:15" ht="15.75" customHeight="1" thickBot="1" x14ac:dyDescent="0.3">
      <c r="A138" s="5"/>
      <c r="B138" s="5"/>
      <c r="C138" s="1"/>
      <c r="D138" s="1"/>
      <c r="E138" s="1"/>
      <c r="F138" s="1"/>
      <c r="G138" s="1"/>
      <c r="H138" s="1"/>
      <c r="I138" s="1"/>
      <c r="J138" s="5"/>
    </row>
    <row r="139" spans="1:15" ht="15.75" customHeight="1" x14ac:dyDescent="0.25">
      <c r="A139" s="2">
        <v>46265</v>
      </c>
      <c r="B139" s="458" t="s">
        <v>3</v>
      </c>
      <c r="C139" s="442">
        <f t="shared" ref="C139:C147" si="12">K139*L139</f>
        <v>0</v>
      </c>
      <c r="D139" s="485"/>
      <c r="E139" s="486"/>
      <c r="F139" s="490"/>
      <c r="G139" s="491"/>
      <c r="H139" s="490"/>
      <c r="I139" s="492"/>
      <c r="J139" s="445"/>
      <c r="K139">
        <v>0</v>
      </c>
      <c r="L139">
        <v>38</v>
      </c>
    </row>
    <row r="140" spans="1:15" ht="15.75" customHeight="1" x14ac:dyDescent="0.25">
      <c r="A140" s="3"/>
      <c r="B140" s="458" t="s">
        <v>4</v>
      </c>
      <c r="C140" s="440">
        <f t="shared" si="12"/>
        <v>32</v>
      </c>
      <c r="D140" s="485"/>
      <c r="E140" s="486"/>
      <c r="F140" s="495" t="s">
        <v>24</v>
      </c>
      <c r="G140" s="496"/>
      <c r="H140" s="493" t="s">
        <v>23</v>
      </c>
      <c r="I140" s="494"/>
      <c r="J140" s="462" t="s">
        <v>810</v>
      </c>
      <c r="K140">
        <v>2</v>
      </c>
      <c r="L140">
        <v>16</v>
      </c>
    </row>
    <row r="141" spans="1:15" ht="15.75" customHeight="1" x14ac:dyDescent="0.25">
      <c r="A141" s="3"/>
      <c r="B141" s="458" t="s">
        <v>5</v>
      </c>
      <c r="C141" s="440">
        <f t="shared" si="12"/>
        <v>0</v>
      </c>
      <c r="D141" s="485"/>
      <c r="E141" s="486"/>
      <c r="F141" s="490"/>
      <c r="G141" s="491"/>
      <c r="H141" s="490"/>
      <c r="I141" s="492"/>
      <c r="J141" s="443"/>
      <c r="K141">
        <v>0</v>
      </c>
      <c r="L141">
        <v>54</v>
      </c>
      <c r="N141" s="459"/>
      <c r="O141" s="459"/>
    </row>
    <row r="142" spans="1:15" ht="15.75" customHeight="1" x14ac:dyDescent="0.25">
      <c r="A142" s="3"/>
      <c r="B142" s="458" t="s">
        <v>6</v>
      </c>
      <c r="C142" s="440">
        <f t="shared" si="12"/>
        <v>0</v>
      </c>
      <c r="D142" s="485"/>
      <c r="E142" s="486"/>
      <c r="F142" s="490"/>
      <c r="G142" s="491"/>
      <c r="H142" s="490"/>
      <c r="I142" s="492"/>
      <c r="J142" s="443"/>
      <c r="K142">
        <v>0</v>
      </c>
      <c r="L142">
        <v>33.15</v>
      </c>
    </row>
    <row r="143" spans="1:15" ht="15.75" customHeight="1" x14ac:dyDescent="0.25">
      <c r="A143" s="3"/>
      <c r="B143" s="458" t="s">
        <v>9</v>
      </c>
      <c r="C143" s="440">
        <f t="shared" si="12"/>
        <v>26.5</v>
      </c>
      <c r="D143" s="485"/>
      <c r="E143" s="486"/>
      <c r="F143" s="490"/>
      <c r="G143" s="491"/>
      <c r="H143" s="497" t="s">
        <v>20</v>
      </c>
      <c r="I143" s="498"/>
      <c r="J143" s="462" t="s">
        <v>17</v>
      </c>
      <c r="K143">
        <v>1</v>
      </c>
      <c r="L143">
        <v>26.5</v>
      </c>
    </row>
    <row r="144" spans="1:15" ht="15.75" customHeight="1" x14ac:dyDescent="0.25">
      <c r="A144" s="3"/>
      <c r="B144" s="458" t="s">
        <v>11</v>
      </c>
      <c r="C144" s="440">
        <f t="shared" si="12"/>
        <v>0</v>
      </c>
      <c r="D144" s="485"/>
      <c r="E144" s="486"/>
      <c r="F144" s="490"/>
      <c r="G144" s="491"/>
      <c r="J144" s="462"/>
      <c r="K144">
        <v>0</v>
      </c>
      <c r="L144">
        <v>20.2</v>
      </c>
    </row>
    <row r="145" spans="1:15" ht="15.75" customHeight="1" x14ac:dyDescent="0.25">
      <c r="A145" s="3"/>
      <c r="B145" s="458" t="s">
        <v>13</v>
      </c>
      <c r="C145" s="440">
        <f t="shared" si="12"/>
        <v>0</v>
      </c>
      <c r="D145" s="485"/>
      <c r="E145" s="486"/>
      <c r="F145" s="490"/>
      <c r="G145" s="491"/>
      <c r="H145" s="490"/>
      <c r="I145" s="492"/>
      <c r="J145" s="439"/>
      <c r="K145">
        <v>0</v>
      </c>
      <c r="L145">
        <v>23.1</v>
      </c>
    </row>
    <row r="146" spans="1:15" ht="15.75" customHeight="1" x14ac:dyDescent="0.25">
      <c r="A146" s="3"/>
      <c r="B146" s="458" t="s">
        <v>14</v>
      </c>
      <c r="C146" s="440">
        <f t="shared" si="12"/>
        <v>0</v>
      </c>
      <c r="D146" s="485"/>
      <c r="E146" s="486"/>
      <c r="F146" s="490"/>
      <c r="G146" s="491"/>
      <c r="H146" s="490"/>
      <c r="I146" s="492"/>
      <c r="J146" s="443"/>
      <c r="K146">
        <v>0</v>
      </c>
      <c r="L146">
        <v>20.9</v>
      </c>
    </row>
    <row r="147" spans="1:15" ht="15.75" customHeight="1" thickBot="1" x14ac:dyDescent="0.3">
      <c r="A147" s="3"/>
      <c r="B147" s="461" t="s">
        <v>807</v>
      </c>
      <c r="C147" s="440">
        <f t="shared" si="12"/>
        <v>1.5</v>
      </c>
      <c r="D147" s="485"/>
      <c r="E147" s="486"/>
      <c r="F147" s="490"/>
      <c r="G147" s="491"/>
      <c r="H147" s="487"/>
      <c r="I147" s="489"/>
      <c r="J147" s="444"/>
      <c r="K147">
        <v>1</v>
      </c>
      <c r="L147">
        <v>1.5</v>
      </c>
    </row>
    <row r="148" spans="1:15" ht="15.75" customHeight="1" thickBot="1" x14ac:dyDescent="0.25">
      <c r="A148" s="548" t="s">
        <v>806</v>
      </c>
      <c r="B148" s="549"/>
      <c r="C148" s="471">
        <f>SUM(C139:C147)</f>
        <v>60</v>
      </c>
      <c r="D148" s="470"/>
      <c r="E148" s="467">
        <f>SUM(C141:C147)</f>
        <v>28</v>
      </c>
      <c r="F148" s="469" t="s">
        <v>805</v>
      </c>
      <c r="G148" s="472" t="s">
        <v>811</v>
      </c>
      <c r="H148" s="466">
        <f>SUM(C139:C140)</f>
        <v>32</v>
      </c>
      <c r="I148" s="469" t="s">
        <v>805</v>
      </c>
      <c r="J148" s="468" t="s">
        <v>821</v>
      </c>
    </row>
    <row r="149" spans="1:15" ht="15.75" customHeight="1" thickBot="1" x14ac:dyDescent="0.3">
      <c r="A149" s="453"/>
      <c r="B149" s="450"/>
      <c r="C149" s="450"/>
      <c r="D149" s="450"/>
      <c r="E149" s="450"/>
      <c r="F149" s="450"/>
      <c r="G149" s="450"/>
      <c r="H149" s="450"/>
      <c r="I149" s="450"/>
      <c r="J149" s="453"/>
    </row>
    <row r="150" spans="1:15" ht="15.75" customHeight="1" thickBot="1" x14ac:dyDescent="0.3">
      <c r="A150" s="499" t="s">
        <v>27</v>
      </c>
      <c r="B150" s="501"/>
      <c r="C150" s="454" t="s">
        <v>805</v>
      </c>
      <c r="D150" s="499" t="s">
        <v>812</v>
      </c>
      <c r="E150" s="500"/>
      <c r="F150" s="500"/>
      <c r="G150" s="500"/>
      <c r="H150" s="500"/>
      <c r="I150" s="501"/>
      <c r="J150" s="456" t="s">
        <v>2</v>
      </c>
    </row>
    <row r="151" spans="1:15" ht="15.75" customHeight="1" x14ac:dyDescent="0.25">
      <c r="A151" s="447">
        <v>46280</v>
      </c>
      <c r="B151" s="457" t="s">
        <v>3</v>
      </c>
      <c r="C151" s="442">
        <f t="shared" ref="C151:C159" si="13">K151*L151</f>
        <v>0</v>
      </c>
      <c r="D151" s="485"/>
      <c r="E151" s="486"/>
      <c r="F151" s="490"/>
      <c r="G151" s="491"/>
      <c r="H151" s="490"/>
      <c r="I151" s="492"/>
      <c r="J151" s="445"/>
      <c r="K151">
        <v>0</v>
      </c>
      <c r="L151">
        <v>38</v>
      </c>
    </row>
    <row r="152" spans="1:15" ht="15.75" customHeight="1" x14ac:dyDescent="0.25">
      <c r="A152" s="3"/>
      <c r="B152" s="458" t="s">
        <v>4</v>
      </c>
      <c r="C152" s="440">
        <f t="shared" si="13"/>
        <v>0</v>
      </c>
      <c r="D152" s="485"/>
      <c r="E152" s="486"/>
      <c r="F152" s="490"/>
      <c r="G152" s="491"/>
      <c r="H152" s="490"/>
      <c r="I152" s="492"/>
      <c r="J152" s="443"/>
      <c r="K152">
        <v>0</v>
      </c>
      <c r="L152">
        <v>16</v>
      </c>
    </row>
    <row r="153" spans="1:15" ht="15.75" customHeight="1" x14ac:dyDescent="0.25">
      <c r="A153" s="3"/>
      <c r="B153" s="458" t="s">
        <v>5</v>
      </c>
      <c r="C153" s="440">
        <f t="shared" si="13"/>
        <v>108</v>
      </c>
      <c r="D153" s="485"/>
      <c r="E153" s="486"/>
      <c r="F153" s="495" t="s">
        <v>24</v>
      </c>
      <c r="G153" s="496"/>
      <c r="H153" s="493" t="s">
        <v>23</v>
      </c>
      <c r="I153" s="494"/>
      <c r="J153" s="462" t="s">
        <v>810</v>
      </c>
      <c r="K153">
        <v>2</v>
      </c>
      <c r="L153">
        <v>54</v>
      </c>
      <c r="N153" s="459"/>
      <c r="O153" s="459"/>
    </row>
    <row r="154" spans="1:15" ht="15.75" customHeight="1" x14ac:dyDescent="0.25">
      <c r="A154" s="3"/>
      <c r="B154" s="458" t="s">
        <v>6</v>
      </c>
      <c r="C154" s="440">
        <f t="shared" si="13"/>
        <v>0</v>
      </c>
      <c r="D154" s="485"/>
      <c r="E154" s="486"/>
      <c r="F154" s="490"/>
      <c r="G154" s="491"/>
      <c r="H154" s="490"/>
      <c r="I154" s="492"/>
      <c r="J154" s="443"/>
      <c r="K154">
        <v>0</v>
      </c>
      <c r="L154">
        <v>33.15</v>
      </c>
    </row>
    <row r="155" spans="1:15" ht="15.75" customHeight="1" x14ac:dyDescent="0.25">
      <c r="A155" s="3"/>
      <c r="B155" s="458" t="s">
        <v>9</v>
      </c>
      <c r="C155" s="440">
        <f t="shared" si="13"/>
        <v>0</v>
      </c>
      <c r="D155" s="485"/>
      <c r="E155" s="486"/>
      <c r="F155" s="490"/>
      <c r="G155" s="491"/>
      <c r="H155" s="490"/>
      <c r="I155" s="492"/>
      <c r="J155" s="443"/>
      <c r="K155">
        <v>0</v>
      </c>
      <c r="L155">
        <v>26.5</v>
      </c>
    </row>
    <row r="156" spans="1:15" ht="15.75" customHeight="1" x14ac:dyDescent="0.25">
      <c r="A156" s="3"/>
      <c r="B156" s="458" t="s">
        <v>11</v>
      </c>
      <c r="C156" s="440">
        <f t="shared" si="13"/>
        <v>20.2</v>
      </c>
      <c r="D156" s="485"/>
      <c r="E156" s="486"/>
      <c r="F156" s="490"/>
      <c r="G156" s="491"/>
      <c r="H156" s="497" t="s">
        <v>20</v>
      </c>
      <c r="I156" s="498"/>
      <c r="J156" s="439" t="s">
        <v>17</v>
      </c>
      <c r="K156">
        <v>1</v>
      </c>
      <c r="L156">
        <v>20.2</v>
      </c>
    </row>
    <row r="157" spans="1:15" ht="15.75" customHeight="1" x14ac:dyDescent="0.25">
      <c r="A157" s="3"/>
      <c r="B157" s="458" t="s">
        <v>13</v>
      </c>
      <c r="C157" s="440">
        <f t="shared" si="13"/>
        <v>0</v>
      </c>
      <c r="D157" s="485"/>
      <c r="E157" s="486"/>
      <c r="F157" s="490"/>
      <c r="G157" s="491"/>
      <c r="J157" s="439"/>
      <c r="K157">
        <v>0</v>
      </c>
      <c r="L157">
        <v>23.1</v>
      </c>
    </row>
    <row r="158" spans="1:15" ht="15.75" customHeight="1" x14ac:dyDescent="0.25">
      <c r="A158" s="3"/>
      <c r="B158" s="458" t="s">
        <v>14</v>
      </c>
      <c r="C158" s="440">
        <f t="shared" si="13"/>
        <v>0</v>
      </c>
      <c r="D158" s="485"/>
      <c r="E158" s="486"/>
      <c r="F158" s="490"/>
      <c r="G158" s="491"/>
      <c r="H158" s="490"/>
      <c r="I158" s="492"/>
      <c r="J158" s="439"/>
      <c r="K158">
        <v>0</v>
      </c>
      <c r="L158">
        <v>20.9</v>
      </c>
    </row>
    <row r="159" spans="1:15" ht="15.75" customHeight="1" thickBot="1" x14ac:dyDescent="0.3">
      <c r="A159" s="3"/>
      <c r="B159" s="461" t="s">
        <v>807</v>
      </c>
      <c r="C159" s="440">
        <f t="shared" si="13"/>
        <v>1.5</v>
      </c>
      <c r="D159" s="485"/>
      <c r="E159" s="486"/>
      <c r="F159" s="490"/>
      <c r="G159" s="491"/>
      <c r="H159" s="490"/>
      <c r="I159" s="492"/>
      <c r="J159" s="443"/>
      <c r="K159">
        <v>1</v>
      </c>
      <c r="L159">
        <v>1.5</v>
      </c>
    </row>
    <row r="160" spans="1:15" ht="15.75" customHeight="1" thickBot="1" x14ac:dyDescent="0.25">
      <c r="A160" s="548" t="s">
        <v>806</v>
      </c>
      <c r="B160" s="549"/>
      <c r="C160" s="471">
        <f>SUM(C151:C159)</f>
        <v>129.69999999999999</v>
      </c>
      <c r="D160" s="470"/>
      <c r="E160" s="467">
        <f>SUM(C153:C159)</f>
        <v>129.69999999999999</v>
      </c>
      <c r="F160" s="469" t="s">
        <v>805</v>
      </c>
      <c r="G160" s="472" t="s">
        <v>811</v>
      </c>
      <c r="H160" s="466">
        <f>SUM(C151:C152)</f>
        <v>0</v>
      </c>
      <c r="I160" s="469" t="s">
        <v>805</v>
      </c>
      <c r="J160" s="468" t="s">
        <v>821</v>
      </c>
    </row>
    <row r="161" spans="1:15" ht="15.75" customHeight="1" thickBot="1" x14ac:dyDescent="0.3">
      <c r="A161" s="5"/>
      <c r="B161" s="5"/>
      <c r="C161" s="1"/>
      <c r="D161" s="1"/>
      <c r="E161" s="1"/>
      <c r="F161" s="1"/>
      <c r="G161" s="1"/>
      <c r="H161" s="1"/>
      <c r="I161" s="1"/>
      <c r="J161" s="5"/>
    </row>
    <row r="162" spans="1:15" ht="15.75" customHeight="1" x14ac:dyDescent="0.25">
      <c r="A162" s="2">
        <v>46295</v>
      </c>
      <c r="B162" s="458" t="s">
        <v>3</v>
      </c>
      <c r="C162" s="442">
        <f t="shared" ref="C162:C170" si="14">K162*L162</f>
        <v>0</v>
      </c>
      <c r="D162" s="485"/>
      <c r="E162" s="486"/>
      <c r="F162" s="490"/>
      <c r="G162" s="491"/>
      <c r="H162" s="490"/>
      <c r="I162" s="492"/>
      <c r="J162" s="445"/>
      <c r="K162">
        <v>0</v>
      </c>
      <c r="L162">
        <v>38</v>
      </c>
    </row>
    <row r="163" spans="1:15" ht="15.75" customHeight="1" x14ac:dyDescent="0.25">
      <c r="A163" s="3"/>
      <c r="B163" s="458" t="s">
        <v>4</v>
      </c>
      <c r="C163" s="440">
        <f t="shared" si="14"/>
        <v>0</v>
      </c>
      <c r="D163" s="485"/>
      <c r="E163" s="486"/>
      <c r="F163" s="490"/>
      <c r="G163" s="491"/>
      <c r="H163" s="490"/>
      <c r="I163" s="492"/>
      <c r="J163" s="443"/>
      <c r="K163">
        <v>0</v>
      </c>
      <c r="L163">
        <v>16</v>
      </c>
    </row>
    <row r="164" spans="1:15" ht="15.75" customHeight="1" x14ac:dyDescent="0.25">
      <c r="A164" s="3"/>
      <c r="B164" s="458" t="s">
        <v>5</v>
      </c>
      <c r="C164" s="440">
        <f t="shared" si="14"/>
        <v>0</v>
      </c>
      <c r="D164" s="485"/>
      <c r="E164" s="486"/>
      <c r="F164" s="490"/>
      <c r="G164" s="491"/>
      <c r="H164" s="490"/>
      <c r="I164" s="492"/>
      <c r="J164" s="443"/>
      <c r="K164">
        <v>0</v>
      </c>
      <c r="L164">
        <v>54</v>
      </c>
      <c r="N164" s="459"/>
      <c r="O164" s="459"/>
    </row>
    <row r="165" spans="1:15" ht="15.75" customHeight="1" x14ac:dyDescent="0.25">
      <c r="A165" s="3"/>
      <c r="B165" s="458" t="s">
        <v>6</v>
      </c>
      <c r="C165" s="440">
        <f t="shared" si="14"/>
        <v>66.3</v>
      </c>
      <c r="D165" s="485"/>
      <c r="E165" s="486"/>
      <c r="F165" s="495" t="s">
        <v>24</v>
      </c>
      <c r="G165" s="496"/>
      <c r="H165" s="493" t="s">
        <v>23</v>
      </c>
      <c r="I165" s="494"/>
      <c r="J165" s="462" t="s">
        <v>810</v>
      </c>
      <c r="K165">
        <v>2</v>
      </c>
      <c r="L165">
        <v>33.15</v>
      </c>
    </row>
    <row r="166" spans="1:15" ht="15.75" customHeight="1" x14ac:dyDescent="0.25">
      <c r="A166" s="3"/>
      <c r="B166" s="458" t="s">
        <v>9</v>
      </c>
      <c r="C166" s="440">
        <f t="shared" si="14"/>
        <v>0</v>
      </c>
      <c r="D166" s="485"/>
      <c r="E166" s="486"/>
      <c r="F166" s="490"/>
      <c r="G166" s="491"/>
      <c r="H166" s="490"/>
      <c r="I166" s="492"/>
      <c r="J166" s="443"/>
      <c r="K166">
        <v>0</v>
      </c>
      <c r="L166">
        <v>26.5</v>
      </c>
    </row>
    <row r="167" spans="1:15" ht="15.75" customHeight="1" x14ac:dyDescent="0.25">
      <c r="A167" s="3"/>
      <c r="B167" s="458" t="s">
        <v>11</v>
      </c>
      <c r="C167" s="440">
        <f t="shared" si="14"/>
        <v>0</v>
      </c>
      <c r="D167" s="485"/>
      <c r="E167" s="486"/>
      <c r="F167" s="490"/>
      <c r="G167" s="491"/>
      <c r="H167" s="490"/>
      <c r="I167" s="492"/>
      <c r="J167" s="443"/>
      <c r="K167">
        <v>0</v>
      </c>
      <c r="L167">
        <v>20.2</v>
      </c>
    </row>
    <row r="168" spans="1:15" ht="15.75" customHeight="1" x14ac:dyDescent="0.25">
      <c r="A168" s="3"/>
      <c r="B168" s="458" t="s">
        <v>13</v>
      </c>
      <c r="C168" s="440">
        <f t="shared" si="14"/>
        <v>23.1</v>
      </c>
      <c r="D168" s="485"/>
      <c r="E168" s="486"/>
      <c r="F168" s="490"/>
      <c r="G168" s="491"/>
      <c r="H168" s="497" t="s">
        <v>20</v>
      </c>
      <c r="I168" s="498"/>
      <c r="J168" s="439" t="s">
        <v>17</v>
      </c>
      <c r="K168">
        <v>1</v>
      </c>
      <c r="L168">
        <v>23.1</v>
      </c>
    </row>
    <row r="169" spans="1:15" ht="15.75" customHeight="1" x14ac:dyDescent="0.25">
      <c r="A169" s="3"/>
      <c r="B169" s="458" t="s">
        <v>14</v>
      </c>
      <c r="C169" s="440">
        <f t="shared" si="14"/>
        <v>0</v>
      </c>
      <c r="D169" s="485"/>
      <c r="E169" s="486"/>
      <c r="F169" s="490"/>
      <c r="G169" s="491"/>
      <c r="J169" s="439"/>
      <c r="K169">
        <v>0</v>
      </c>
      <c r="L169">
        <v>20.9</v>
      </c>
    </row>
    <row r="170" spans="1:15" ht="15.75" customHeight="1" thickBot="1" x14ac:dyDescent="0.3">
      <c r="A170" s="3"/>
      <c r="B170" s="461" t="s">
        <v>807</v>
      </c>
      <c r="C170" s="440">
        <f t="shared" si="14"/>
        <v>3</v>
      </c>
      <c r="D170" s="485"/>
      <c r="E170" s="486"/>
      <c r="F170" s="490"/>
      <c r="G170" s="491"/>
      <c r="H170" s="487"/>
      <c r="I170" s="489"/>
      <c r="J170" s="443"/>
      <c r="K170">
        <v>2</v>
      </c>
      <c r="L170">
        <v>1.5</v>
      </c>
    </row>
    <row r="171" spans="1:15" ht="15.75" customHeight="1" thickBot="1" x14ac:dyDescent="0.25">
      <c r="A171" s="548" t="s">
        <v>806</v>
      </c>
      <c r="B171" s="549"/>
      <c r="C171" s="471">
        <f>SUM(C162:C170)</f>
        <v>92.4</v>
      </c>
      <c r="D171" s="470"/>
      <c r="E171" s="467">
        <f>SUM(C164:C170)</f>
        <v>92.4</v>
      </c>
      <c r="F171" s="469" t="s">
        <v>805</v>
      </c>
      <c r="G171" s="472" t="s">
        <v>811</v>
      </c>
      <c r="H171" s="466">
        <f>SUM(C162:C163)</f>
        <v>0</v>
      </c>
      <c r="I171" s="469" t="s">
        <v>805</v>
      </c>
      <c r="J171" s="468" t="s">
        <v>821</v>
      </c>
    </row>
    <row r="172" spans="1:15" ht="15.75" customHeight="1" thickBot="1" x14ac:dyDescent="0.3">
      <c r="A172" s="453"/>
      <c r="B172" s="450"/>
      <c r="C172" s="450"/>
      <c r="D172" s="450"/>
      <c r="E172" s="450"/>
      <c r="F172" s="450"/>
      <c r="G172" s="450"/>
      <c r="H172" s="450"/>
      <c r="I172" s="450"/>
      <c r="J172" s="453"/>
    </row>
    <row r="173" spans="1:15" ht="15.75" customHeight="1" thickBot="1" x14ac:dyDescent="0.3">
      <c r="A173" s="499" t="s">
        <v>54</v>
      </c>
      <c r="B173" s="501"/>
      <c r="C173" s="454" t="s">
        <v>805</v>
      </c>
      <c r="D173" s="499" t="s">
        <v>812</v>
      </c>
      <c r="E173" s="500"/>
      <c r="F173" s="500"/>
      <c r="G173" s="500"/>
      <c r="H173" s="500"/>
      <c r="I173" s="501"/>
      <c r="J173" s="456" t="s">
        <v>2</v>
      </c>
    </row>
    <row r="174" spans="1:15" ht="15.75" customHeight="1" x14ac:dyDescent="0.25">
      <c r="A174" s="447">
        <v>46310</v>
      </c>
      <c r="B174" s="457" t="s">
        <v>3</v>
      </c>
      <c r="C174" s="442">
        <f t="shared" ref="C174:C182" si="15">K174*L174</f>
        <v>0</v>
      </c>
      <c r="D174" s="506"/>
      <c r="E174" s="507"/>
      <c r="F174" s="508"/>
      <c r="G174" s="510"/>
      <c r="H174" s="508"/>
      <c r="I174" s="509"/>
      <c r="J174" s="445"/>
      <c r="K174">
        <v>0</v>
      </c>
      <c r="L174">
        <v>38</v>
      </c>
    </row>
    <row r="175" spans="1:15" ht="15.75" customHeight="1" x14ac:dyDescent="0.25">
      <c r="A175" s="3"/>
      <c r="B175" s="458" t="s">
        <v>4</v>
      </c>
      <c r="C175" s="440">
        <f t="shared" si="15"/>
        <v>0</v>
      </c>
      <c r="D175" s="485"/>
      <c r="E175" s="486"/>
      <c r="F175" s="490"/>
      <c r="G175" s="491"/>
      <c r="H175" s="490"/>
      <c r="I175" s="492"/>
      <c r="J175" s="443"/>
      <c r="K175">
        <v>0</v>
      </c>
      <c r="L175">
        <v>16</v>
      </c>
    </row>
    <row r="176" spans="1:15" ht="15.75" customHeight="1" x14ac:dyDescent="0.25">
      <c r="A176" s="3"/>
      <c r="B176" s="458" t="s">
        <v>5</v>
      </c>
      <c r="C176" s="440">
        <f t="shared" si="15"/>
        <v>0</v>
      </c>
      <c r="D176" s="485"/>
      <c r="E176" s="486"/>
      <c r="F176" s="490"/>
      <c r="G176" s="491"/>
      <c r="H176" s="490"/>
      <c r="I176" s="492"/>
      <c r="J176" s="443"/>
      <c r="K176">
        <v>0</v>
      </c>
      <c r="L176">
        <v>54</v>
      </c>
    </row>
    <row r="177" spans="1:12" ht="15.75" customHeight="1" x14ac:dyDescent="0.25">
      <c r="A177" s="3"/>
      <c r="B177" s="458" t="s">
        <v>6</v>
      </c>
      <c r="C177" s="440">
        <f t="shared" si="15"/>
        <v>0</v>
      </c>
      <c r="D177" s="485"/>
      <c r="E177" s="486"/>
      <c r="F177" s="490"/>
      <c r="G177" s="491"/>
      <c r="H177" s="490"/>
      <c r="I177" s="492"/>
      <c r="J177" s="443"/>
      <c r="K177">
        <v>0</v>
      </c>
      <c r="L177">
        <v>33.15</v>
      </c>
    </row>
    <row r="178" spans="1:12" ht="15.75" customHeight="1" x14ac:dyDescent="0.25">
      <c r="A178" s="3"/>
      <c r="B178" s="458" t="s">
        <v>9</v>
      </c>
      <c r="C178" s="440">
        <f t="shared" si="15"/>
        <v>53</v>
      </c>
      <c r="D178" s="485"/>
      <c r="E178" s="486"/>
      <c r="F178" s="495" t="s">
        <v>24</v>
      </c>
      <c r="G178" s="496"/>
      <c r="H178" s="493" t="s">
        <v>23</v>
      </c>
      <c r="I178" s="494"/>
      <c r="J178" s="462" t="s">
        <v>810</v>
      </c>
      <c r="K178">
        <v>2</v>
      </c>
      <c r="L178">
        <v>26.5</v>
      </c>
    </row>
    <row r="179" spans="1:12" ht="15.75" customHeight="1" x14ac:dyDescent="0.25">
      <c r="A179" s="3"/>
      <c r="B179" s="458" t="s">
        <v>11</v>
      </c>
      <c r="C179" s="440">
        <f t="shared" si="15"/>
        <v>0</v>
      </c>
      <c r="D179" s="485"/>
      <c r="E179" s="486"/>
      <c r="F179" s="490"/>
      <c r="G179" s="491"/>
      <c r="H179" s="490"/>
      <c r="I179" s="492"/>
      <c r="J179" s="443"/>
      <c r="K179">
        <v>0</v>
      </c>
      <c r="L179">
        <v>20.2</v>
      </c>
    </row>
    <row r="180" spans="1:12" ht="15.75" customHeight="1" x14ac:dyDescent="0.25">
      <c r="A180" s="3"/>
      <c r="B180" s="458" t="s">
        <v>13</v>
      </c>
      <c r="C180" s="440">
        <f t="shared" si="15"/>
        <v>0</v>
      </c>
      <c r="D180" s="485"/>
      <c r="E180" s="486"/>
      <c r="F180" s="490"/>
      <c r="G180" s="491"/>
      <c r="H180" s="490"/>
      <c r="I180" s="492"/>
      <c r="J180" s="443"/>
      <c r="K180">
        <v>0</v>
      </c>
      <c r="L180">
        <v>23.1</v>
      </c>
    </row>
    <row r="181" spans="1:12" ht="15.75" customHeight="1" x14ac:dyDescent="0.25">
      <c r="A181" s="3"/>
      <c r="B181" s="458" t="s">
        <v>14</v>
      </c>
      <c r="C181" s="440">
        <f t="shared" si="15"/>
        <v>20.9</v>
      </c>
      <c r="D181" s="485"/>
      <c r="E181" s="486"/>
      <c r="F181" s="490"/>
      <c r="G181" s="491"/>
      <c r="H181" s="497" t="s">
        <v>20</v>
      </c>
      <c r="I181" s="498"/>
      <c r="J181" s="439" t="s">
        <v>17</v>
      </c>
      <c r="K181">
        <v>1</v>
      </c>
      <c r="L181">
        <v>20.9</v>
      </c>
    </row>
    <row r="182" spans="1:12" ht="15.75" customHeight="1" thickBot="1" x14ac:dyDescent="0.3">
      <c r="A182" s="3"/>
      <c r="B182" s="461" t="s">
        <v>807</v>
      </c>
      <c r="C182" s="440">
        <f t="shared" si="15"/>
        <v>1.5</v>
      </c>
      <c r="D182" s="485"/>
      <c r="E182" s="486"/>
      <c r="F182" s="490"/>
      <c r="G182" s="491"/>
      <c r="H182" s="490"/>
      <c r="I182" s="492"/>
      <c r="J182" s="443"/>
      <c r="K182">
        <v>1</v>
      </c>
      <c r="L182">
        <v>1.5</v>
      </c>
    </row>
    <row r="183" spans="1:12" ht="15.75" customHeight="1" thickBot="1" x14ac:dyDescent="0.25">
      <c r="A183" s="548" t="s">
        <v>806</v>
      </c>
      <c r="B183" s="549"/>
      <c r="C183" s="471">
        <f>SUM(C174:C182)</f>
        <v>75.400000000000006</v>
      </c>
      <c r="D183" s="470"/>
      <c r="E183" s="467">
        <f>SUM(C176:C182)</f>
        <v>75.400000000000006</v>
      </c>
      <c r="F183" s="469" t="s">
        <v>805</v>
      </c>
      <c r="G183" s="472" t="s">
        <v>811</v>
      </c>
      <c r="H183" s="466">
        <f>SUM(C174:C175)</f>
        <v>0</v>
      </c>
      <c r="I183" s="469" t="s">
        <v>805</v>
      </c>
      <c r="J183" s="468" t="s">
        <v>821</v>
      </c>
    </row>
    <row r="184" spans="1:12" ht="15.75" customHeight="1" thickBo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2" ht="15.75" customHeight="1" x14ac:dyDescent="0.25">
      <c r="A185" s="2">
        <v>46325</v>
      </c>
      <c r="B185" s="458" t="s">
        <v>3</v>
      </c>
      <c r="C185" s="442">
        <f t="shared" ref="C185:C193" si="16">K185*L185</f>
        <v>0</v>
      </c>
      <c r="D185" s="485"/>
      <c r="E185" s="486"/>
      <c r="F185" s="490"/>
      <c r="G185" s="491"/>
      <c r="H185" s="490"/>
      <c r="I185" s="492"/>
      <c r="J185" s="445"/>
      <c r="K185">
        <v>0</v>
      </c>
      <c r="L185">
        <v>38</v>
      </c>
    </row>
    <row r="186" spans="1:12" ht="15.75" customHeight="1" x14ac:dyDescent="0.25">
      <c r="A186" s="3"/>
      <c r="B186" s="458" t="s">
        <v>4</v>
      </c>
      <c r="C186" s="440">
        <f t="shared" si="16"/>
        <v>0</v>
      </c>
      <c r="D186" s="485"/>
      <c r="E186" s="486"/>
      <c r="F186" s="490"/>
      <c r="G186" s="491"/>
      <c r="H186" s="490"/>
      <c r="I186" s="492"/>
      <c r="J186" s="443"/>
      <c r="K186">
        <v>0</v>
      </c>
      <c r="L186">
        <v>16</v>
      </c>
    </row>
    <row r="187" spans="1:12" ht="15.75" customHeight="1" x14ac:dyDescent="0.25">
      <c r="A187" s="3"/>
      <c r="B187" s="458" t="s">
        <v>5</v>
      </c>
      <c r="C187" s="440">
        <f t="shared" si="16"/>
        <v>0</v>
      </c>
      <c r="D187" s="485"/>
      <c r="E187" s="486"/>
      <c r="F187" s="490"/>
      <c r="G187" s="491"/>
      <c r="H187" s="490"/>
      <c r="I187" s="492"/>
      <c r="J187" s="443"/>
      <c r="K187">
        <v>0</v>
      </c>
      <c r="L187">
        <v>54</v>
      </c>
    </row>
    <row r="188" spans="1:12" ht="15.75" customHeight="1" x14ac:dyDescent="0.25">
      <c r="A188" s="3"/>
      <c r="B188" s="458" t="s">
        <v>6</v>
      </c>
      <c r="C188" s="440">
        <f t="shared" si="16"/>
        <v>0</v>
      </c>
      <c r="D188" s="485"/>
      <c r="E188" s="486"/>
      <c r="F188" s="490"/>
      <c r="G188" s="491"/>
      <c r="H188" s="490"/>
      <c r="I188" s="492"/>
      <c r="J188" s="443"/>
      <c r="K188">
        <v>0</v>
      </c>
      <c r="L188">
        <v>33.15</v>
      </c>
    </row>
    <row r="189" spans="1:12" ht="15.75" customHeight="1" x14ac:dyDescent="0.25">
      <c r="A189" s="3"/>
      <c r="B189" s="458" t="s">
        <v>9</v>
      </c>
      <c r="C189" s="440">
        <f t="shared" si="16"/>
        <v>0</v>
      </c>
      <c r="D189" s="485"/>
      <c r="E189" s="486"/>
      <c r="F189" s="490"/>
      <c r="G189" s="491"/>
      <c r="H189" s="490"/>
      <c r="I189" s="492"/>
      <c r="J189" s="443"/>
      <c r="K189">
        <v>0</v>
      </c>
      <c r="L189">
        <v>26.5</v>
      </c>
    </row>
    <row r="190" spans="1:12" ht="15.75" customHeight="1" x14ac:dyDescent="0.25">
      <c r="A190" s="3"/>
      <c r="B190" s="458" t="s">
        <v>11</v>
      </c>
      <c r="C190" s="440">
        <f t="shared" si="16"/>
        <v>40.4</v>
      </c>
      <c r="D190" s="485"/>
      <c r="E190" s="486"/>
      <c r="F190" s="495" t="s">
        <v>24</v>
      </c>
      <c r="G190" s="496"/>
      <c r="H190" s="493" t="s">
        <v>23</v>
      </c>
      <c r="I190" s="494"/>
      <c r="J190" s="462" t="s">
        <v>810</v>
      </c>
      <c r="K190">
        <v>2</v>
      </c>
      <c r="L190">
        <v>20.2</v>
      </c>
    </row>
    <row r="191" spans="1:12" ht="15.75" customHeight="1" x14ac:dyDescent="0.25">
      <c r="A191" s="3"/>
      <c r="B191" s="458" t="s">
        <v>13</v>
      </c>
      <c r="C191" s="440">
        <f t="shared" si="16"/>
        <v>0</v>
      </c>
      <c r="D191" s="485"/>
      <c r="E191" s="486"/>
      <c r="F191" s="490"/>
      <c r="G191" s="491"/>
      <c r="H191" s="490"/>
      <c r="I191" s="492"/>
      <c r="J191" s="443"/>
      <c r="K191">
        <v>0</v>
      </c>
      <c r="L191">
        <v>23.1</v>
      </c>
    </row>
    <row r="192" spans="1:12" ht="15.75" customHeight="1" x14ac:dyDescent="0.25">
      <c r="A192" s="3"/>
      <c r="B192" s="458" t="s">
        <v>14</v>
      </c>
      <c r="C192" s="440">
        <f t="shared" si="16"/>
        <v>0</v>
      </c>
      <c r="D192" s="485"/>
      <c r="E192" s="486"/>
      <c r="F192" s="490"/>
      <c r="G192" s="491"/>
      <c r="H192" s="490"/>
      <c r="I192" s="492"/>
      <c r="J192" s="439"/>
      <c r="K192">
        <v>0</v>
      </c>
      <c r="L192">
        <v>20.9</v>
      </c>
    </row>
    <row r="193" spans="1:12" ht="15.75" customHeight="1" thickBot="1" x14ac:dyDescent="0.3">
      <c r="A193" s="3"/>
      <c r="B193" s="461" t="s">
        <v>807</v>
      </c>
      <c r="C193" s="440">
        <f t="shared" si="16"/>
        <v>1.5</v>
      </c>
      <c r="D193" s="485"/>
      <c r="E193" s="486"/>
      <c r="F193" s="490"/>
      <c r="G193" s="491"/>
      <c r="H193" s="490"/>
      <c r="I193" s="492"/>
      <c r="J193" s="443"/>
      <c r="K193">
        <v>1</v>
      </c>
      <c r="L193">
        <v>1.5</v>
      </c>
    </row>
    <row r="194" spans="1:12" ht="15.75" customHeight="1" thickBot="1" x14ac:dyDescent="0.25">
      <c r="A194" s="548" t="s">
        <v>806</v>
      </c>
      <c r="B194" s="549"/>
      <c r="C194" s="471">
        <f>SUM(C185:C193)</f>
        <v>41.9</v>
      </c>
      <c r="D194" s="470"/>
      <c r="E194" s="467">
        <f>SUM(C187:C193)</f>
        <v>41.9</v>
      </c>
      <c r="F194" s="469" t="s">
        <v>805</v>
      </c>
      <c r="G194" s="472" t="s">
        <v>811</v>
      </c>
      <c r="H194" s="466">
        <f>SUM(C185:C186)</f>
        <v>0</v>
      </c>
      <c r="I194" s="469" t="s">
        <v>805</v>
      </c>
      <c r="J194" s="468" t="s">
        <v>821</v>
      </c>
    </row>
    <row r="195" spans="1:12" ht="15.75" customHeight="1" thickBot="1" x14ac:dyDescent="0.3">
      <c r="A195" s="453"/>
      <c r="B195" s="450"/>
      <c r="C195" s="450"/>
      <c r="D195" s="450"/>
      <c r="E195" s="450"/>
      <c r="F195" s="450"/>
      <c r="G195" s="450"/>
      <c r="H195" s="450"/>
      <c r="I195" s="450"/>
      <c r="J195" s="453"/>
    </row>
    <row r="196" spans="1:12" ht="15.75" customHeight="1" thickBot="1" x14ac:dyDescent="0.3">
      <c r="A196" s="499" t="s">
        <v>60</v>
      </c>
      <c r="B196" s="501"/>
      <c r="C196" s="454" t="s">
        <v>805</v>
      </c>
      <c r="D196" s="499" t="s">
        <v>812</v>
      </c>
      <c r="E196" s="500"/>
      <c r="F196" s="500"/>
      <c r="G196" s="500"/>
      <c r="H196" s="500"/>
      <c r="I196" s="501"/>
      <c r="J196" s="456" t="s">
        <v>2</v>
      </c>
    </row>
    <row r="197" spans="1:12" ht="15.75" customHeight="1" x14ac:dyDescent="0.25">
      <c r="A197" s="447">
        <v>46339</v>
      </c>
      <c r="B197" s="457" t="s">
        <v>3</v>
      </c>
      <c r="C197" s="442">
        <f t="shared" ref="C197:C205" si="17">K197*L197</f>
        <v>0</v>
      </c>
      <c r="D197" s="485"/>
      <c r="E197" s="486"/>
      <c r="F197" s="490"/>
      <c r="G197" s="491"/>
      <c r="H197" s="490"/>
      <c r="I197" s="492"/>
      <c r="J197" s="445"/>
      <c r="K197">
        <v>0</v>
      </c>
      <c r="L197">
        <v>38</v>
      </c>
    </row>
    <row r="198" spans="1:12" ht="15.75" customHeight="1" x14ac:dyDescent="0.25">
      <c r="A198" s="3"/>
      <c r="B198" s="458" t="s">
        <v>4</v>
      </c>
      <c r="C198" s="440">
        <f t="shared" si="17"/>
        <v>0</v>
      </c>
      <c r="D198" s="485"/>
      <c r="E198" s="486"/>
      <c r="F198" s="490"/>
      <c r="G198" s="491"/>
      <c r="H198" s="490"/>
      <c r="I198" s="492"/>
      <c r="J198" s="443"/>
      <c r="K198">
        <v>0</v>
      </c>
      <c r="L198">
        <v>16</v>
      </c>
    </row>
    <row r="199" spans="1:12" ht="15.75" customHeight="1" x14ac:dyDescent="0.25">
      <c r="A199" s="3"/>
      <c r="B199" s="458" t="s">
        <v>5</v>
      </c>
      <c r="C199" s="440">
        <f t="shared" si="17"/>
        <v>0</v>
      </c>
      <c r="D199" s="485"/>
      <c r="E199" s="486"/>
      <c r="F199" s="490"/>
      <c r="G199" s="491"/>
      <c r="H199" s="490"/>
      <c r="I199" s="492"/>
      <c r="J199" s="443"/>
      <c r="K199">
        <v>0</v>
      </c>
      <c r="L199">
        <v>54</v>
      </c>
    </row>
    <row r="200" spans="1:12" ht="15.75" customHeight="1" x14ac:dyDescent="0.25">
      <c r="A200" s="3"/>
      <c r="B200" s="458" t="s">
        <v>6</v>
      </c>
      <c r="C200" s="440">
        <f t="shared" si="17"/>
        <v>0</v>
      </c>
      <c r="D200" s="485"/>
      <c r="E200" s="486"/>
      <c r="F200" s="490"/>
      <c r="G200" s="491"/>
      <c r="H200" s="490"/>
      <c r="I200" s="492"/>
      <c r="J200" s="443"/>
      <c r="K200">
        <v>0</v>
      </c>
      <c r="L200">
        <v>33.15</v>
      </c>
    </row>
    <row r="201" spans="1:12" ht="15.75" customHeight="1" x14ac:dyDescent="0.25">
      <c r="A201" s="3"/>
      <c r="B201" s="458" t="s">
        <v>9</v>
      </c>
      <c r="C201" s="440">
        <f t="shared" si="17"/>
        <v>0</v>
      </c>
      <c r="D201" s="485"/>
      <c r="E201" s="486"/>
      <c r="F201" s="490"/>
      <c r="G201" s="491"/>
      <c r="H201" s="490"/>
      <c r="I201" s="492"/>
      <c r="J201" s="443"/>
      <c r="K201">
        <v>0</v>
      </c>
      <c r="L201">
        <v>26.5</v>
      </c>
    </row>
    <row r="202" spans="1:12" ht="15.75" customHeight="1" x14ac:dyDescent="0.25">
      <c r="A202" s="3"/>
      <c r="B202" s="458" t="s">
        <v>11</v>
      </c>
      <c r="C202" s="440">
        <f t="shared" si="17"/>
        <v>0</v>
      </c>
      <c r="D202" s="485"/>
      <c r="E202" s="486"/>
      <c r="F202" s="490"/>
      <c r="G202" s="491"/>
      <c r="H202" s="490"/>
      <c r="I202" s="492"/>
      <c r="J202" s="443"/>
      <c r="K202">
        <v>0</v>
      </c>
      <c r="L202">
        <v>20.2</v>
      </c>
    </row>
    <row r="203" spans="1:12" ht="15.75" customHeight="1" x14ac:dyDescent="0.25">
      <c r="A203" s="3"/>
      <c r="B203" s="458" t="s">
        <v>13</v>
      </c>
      <c r="C203" s="440">
        <f t="shared" si="17"/>
        <v>46.2</v>
      </c>
      <c r="D203" s="485"/>
      <c r="E203" s="486"/>
      <c r="F203" s="495" t="s">
        <v>24</v>
      </c>
      <c r="G203" s="496"/>
      <c r="H203" s="493" t="s">
        <v>23</v>
      </c>
      <c r="I203" s="494"/>
      <c r="J203" s="462" t="s">
        <v>810</v>
      </c>
      <c r="K203">
        <v>2</v>
      </c>
      <c r="L203">
        <v>23.1</v>
      </c>
    </row>
    <row r="204" spans="1:12" ht="15.75" customHeight="1" x14ac:dyDescent="0.25">
      <c r="A204" s="3"/>
      <c r="B204" s="458" t="s">
        <v>14</v>
      </c>
      <c r="C204" s="440">
        <f t="shared" si="17"/>
        <v>0</v>
      </c>
      <c r="D204" s="485"/>
      <c r="E204" s="486"/>
      <c r="F204" s="490"/>
      <c r="G204" s="491"/>
      <c r="H204" s="490"/>
      <c r="I204" s="492"/>
      <c r="J204" s="439"/>
      <c r="K204">
        <v>0</v>
      </c>
      <c r="L204">
        <v>20.9</v>
      </c>
    </row>
    <row r="205" spans="1:12" ht="15.75" customHeight="1" thickBot="1" x14ac:dyDescent="0.3">
      <c r="A205" s="3"/>
      <c r="B205" s="461" t="s">
        <v>807</v>
      </c>
      <c r="C205" s="440">
        <f t="shared" si="17"/>
        <v>3</v>
      </c>
      <c r="D205" s="485"/>
      <c r="E205" s="486"/>
      <c r="F205" s="490"/>
      <c r="G205" s="491"/>
      <c r="H205" s="490"/>
      <c r="I205" s="492"/>
      <c r="J205" s="443"/>
      <c r="K205">
        <v>2</v>
      </c>
      <c r="L205">
        <v>1.5</v>
      </c>
    </row>
    <row r="206" spans="1:12" ht="15.75" customHeight="1" thickBot="1" x14ac:dyDescent="0.25">
      <c r="A206" s="548" t="s">
        <v>806</v>
      </c>
      <c r="B206" s="549"/>
      <c r="C206" s="471">
        <f>SUM(C197:C205)</f>
        <v>49.2</v>
      </c>
      <c r="D206" s="470"/>
      <c r="E206" s="467">
        <f>SUM(C199:C205)</f>
        <v>49.2</v>
      </c>
      <c r="F206" s="469" t="s">
        <v>805</v>
      </c>
      <c r="G206" s="472" t="s">
        <v>811</v>
      </c>
      <c r="H206" s="466">
        <f>SUM(C197:C198)</f>
        <v>0</v>
      </c>
      <c r="I206" s="469" t="s">
        <v>805</v>
      </c>
      <c r="J206" s="468" t="s">
        <v>821</v>
      </c>
    </row>
    <row r="207" spans="1:12" ht="15.75" customHeight="1" thickBo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2" ht="15.75" customHeight="1" x14ac:dyDescent="0.25">
      <c r="A208" s="2">
        <v>46353</v>
      </c>
      <c r="B208" s="458" t="s">
        <v>3</v>
      </c>
      <c r="C208" s="442">
        <f t="shared" ref="C208:C216" si="18">K208*L208</f>
        <v>0</v>
      </c>
      <c r="D208" s="485"/>
      <c r="E208" s="486"/>
      <c r="F208" s="490"/>
      <c r="G208" s="491"/>
      <c r="H208" s="490"/>
      <c r="I208" s="492"/>
      <c r="J208" s="445"/>
      <c r="K208">
        <v>0</v>
      </c>
      <c r="L208">
        <v>38</v>
      </c>
    </row>
    <row r="209" spans="1:12" ht="15.75" customHeight="1" x14ac:dyDescent="0.25">
      <c r="A209" s="3"/>
      <c r="B209" s="458" t="s">
        <v>4</v>
      </c>
      <c r="C209" s="440">
        <f t="shared" si="18"/>
        <v>0</v>
      </c>
      <c r="D209" s="485"/>
      <c r="E209" s="486"/>
      <c r="F209" s="490"/>
      <c r="G209" s="491"/>
      <c r="H209" s="490"/>
      <c r="I209" s="492"/>
      <c r="J209" s="443"/>
      <c r="K209">
        <v>0</v>
      </c>
      <c r="L209">
        <v>16</v>
      </c>
    </row>
    <row r="210" spans="1:12" ht="15.75" customHeight="1" x14ac:dyDescent="0.25">
      <c r="A210" s="3"/>
      <c r="B210" s="458" t="s">
        <v>5</v>
      </c>
      <c r="C210" s="440">
        <f t="shared" si="18"/>
        <v>0</v>
      </c>
      <c r="D210" s="485"/>
      <c r="E210" s="486"/>
      <c r="F210" s="490"/>
      <c r="G210" s="491"/>
      <c r="H210" s="490"/>
      <c r="I210" s="492"/>
      <c r="J210" s="443"/>
      <c r="K210">
        <v>0</v>
      </c>
      <c r="L210">
        <v>54</v>
      </c>
    </row>
    <row r="211" spans="1:12" ht="15.75" customHeight="1" x14ac:dyDescent="0.25">
      <c r="A211" s="3"/>
      <c r="B211" s="458" t="s">
        <v>6</v>
      </c>
      <c r="C211" s="440">
        <f t="shared" si="18"/>
        <v>0</v>
      </c>
      <c r="D211" s="485"/>
      <c r="E211" s="486"/>
      <c r="F211" s="490"/>
      <c r="G211" s="491"/>
      <c r="H211" s="490"/>
      <c r="I211" s="492"/>
      <c r="J211" s="443"/>
      <c r="K211">
        <v>0</v>
      </c>
      <c r="L211">
        <v>33.15</v>
      </c>
    </row>
    <row r="212" spans="1:12" ht="15.75" customHeight="1" x14ac:dyDescent="0.25">
      <c r="A212" s="3"/>
      <c r="B212" s="458" t="s">
        <v>9</v>
      </c>
      <c r="C212" s="440">
        <f t="shared" si="18"/>
        <v>0</v>
      </c>
      <c r="D212" s="485"/>
      <c r="E212" s="486"/>
      <c r="F212" s="490"/>
      <c r="G212" s="491"/>
      <c r="H212" s="490"/>
      <c r="I212" s="492"/>
      <c r="J212" s="443"/>
      <c r="K212">
        <v>0</v>
      </c>
      <c r="L212">
        <v>26.5</v>
      </c>
    </row>
    <row r="213" spans="1:12" ht="15.75" customHeight="1" x14ac:dyDescent="0.25">
      <c r="A213" s="3"/>
      <c r="B213" s="458" t="s">
        <v>11</v>
      </c>
      <c r="C213" s="440">
        <f t="shared" si="18"/>
        <v>0</v>
      </c>
      <c r="D213" s="485"/>
      <c r="E213" s="486"/>
      <c r="F213" s="490"/>
      <c r="G213" s="491"/>
      <c r="H213" s="490"/>
      <c r="I213" s="492"/>
      <c r="J213" s="443"/>
      <c r="K213">
        <v>0</v>
      </c>
      <c r="L213">
        <v>20.2</v>
      </c>
    </row>
    <row r="214" spans="1:12" ht="15.75" customHeight="1" x14ac:dyDescent="0.25">
      <c r="A214" s="3"/>
      <c r="B214" s="458" t="s">
        <v>13</v>
      </c>
      <c r="C214" s="440">
        <f t="shared" si="18"/>
        <v>0</v>
      </c>
      <c r="D214" s="485"/>
      <c r="E214" s="486"/>
      <c r="F214" s="490"/>
      <c r="G214" s="491"/>
      <c r="H214" s="490"/>
      <c r="I214" s="492"/>
      <c r="J214" s="443"/>
      <c r="K214">
        <v>0</v>
      </c>
      <c r="L214">
        <v>23.1</v>
      </c>
    </row>
    <row r="215" spans="1:12" ht="15.75" customHeight="1" x14ac:dyDescent="0.25">
      <c r="A215" s="3"/>
      <c r="B215" s="458" t="s">
        <v>14</v>
      </c>
      <c r="C215" s="440">
        <f t="shared" si="18"/>
        <v>41.8</v>
      </c>
      <c r="D215" s="485"/>
      <c r="E215" s="486"/>
      <c r="F215" s="495" t="s">
        <v>24</v>
      </c>
      <c r="G215" s="496"/>
      <c r="H215" s="493" t="s">
        <v>23</v>
      </c>
      <c r="I215" s="494"/>
      <c r="J215" s="462" t="s">
        <v>810</v>
      </c>
      <c r="K215">
        <v>2</v>
      </c>
      <c r="L215">
        <v>20.9</v>
      </c>
    </row>
    <row r="216" spans="1:12" ht="15.75" customHeight="1" thickBot="1" x14ac:dyDescent="0.3">
      <c r="A216" s="3"/>
      <c r="B216" s="461" t="s">
        <v>807</v>
      </c>
      <c r="C216" s="440">
        <f t="shared" si="18"/>
        <v>3</v>
      </c>
      <c r="D216" s="485"/>
      <c r="E216" s="486"/>
      <c r="F216" s="487"/>
      <c r="G216" s="488"/>
      <c r="H216" s="487"/>
      <c r="I216" s="489"/>
      <c r="J216" s="443"/>
      <c r="K216">
        <v>2</v>
      </c>
      <c r="L216">
        <v>1.5</v>
      </c>
    </row>
    <row r="217" spans="1:12" ht="15.75" customHeight="1" thickBot="1" x14ac:dyDescent="0.25">
      <c r="A217" s="548" t="s">
        <v>806</v>
      </c>
      <c r="B217" s="549"/>
      <c r="C217" s="471">
        <f>SUM(C208:C216)</f>
        <v>44.8</v>
      </c>
      <c r="D217" s="470"/>
      <c r="E217" s="467">
        <f>SUM(C210:C216)</f>
        <v>44.8</v>
      </c>
      <c r="F217" s="469" t="s">
        <v>805</v>
      </c>
      <c r="G217" s="472" t="s">
        <v>811</v>
      </c>
      <c r="H217" s="466">
        <f>SUM(C208:C209)</f>
        <v>0</v>
      </c>
      <c r="I217" s="469" t="s">
        <v>805</v>
      </c>
      <c r="J217" s="468" t="s">
        <v>821</v>
      </c>
    </row>
    <row r="218" spans="1:12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2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2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2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2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2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2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5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5" customHeight="1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 ht="15" customHeight="1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  <row r="1004" spans="1:10" ht="15" customHeight="1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</row>
    <row r="1005" spans="1:10" ht="15" customHeight="1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</row>
    <row r="1006" spans="1:10" ht="15" customHeight="1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</row>
    <row r="1007" spans="1:10" ht="15" customHeight="1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</row>
    <row r="1008" spans="1:10" ht="15" customHeight="1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</row>
    <row r="1009" spans="1:10" ht="15" customHeight="1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</row>
    <row r="1010" spans="1:10" ht="15" customHeight="1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</row>
    <row r="1011" spans="1:10" ht="15" customHeight="1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</row>
    <row r="1012" spans="1:10" ht="15" customHeight="1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</row>
    <row r="1013" spans="1:10" ht="15" customHeight="1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</row>
    <row r="1014" spans="1:10" ht="15" customHeight="1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</row>
    <row r="1015" spans="1:10" ht="15" customHeight="1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 ht="15" customHeight="1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</row>
    <row r="1017" spans="1:10" ht="15" customHeight="1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</row>
    <row r="1018" spans="1:10" ht="15" customHeight="1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</row>
    <row r="1019" spans="1:10" ht="15" customHeight="1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</row>
    <row r="1020" spans="1:10" ht="15" customHeight="1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</row>
    <row r="1021" spans="1:10" ht="15" customHeight="1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</row>
    <row r="1022" spans="1:10" ht="15" customHeight="1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</row>
    <row r="1023" spans="1:10" ht="15" customHeight="1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</row>
    <row r="1024" spans="1:10" ht="15" customHeight="1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 ht="15" customHeight="1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</row>
    <row r="1026" spans="1:10" ht="15" customHeight="1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</row>
    <row r="1027" spans="1:10" ht="15" customHeight="1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</row>
    <row r="1028" spans="1:10" ht="15" customHeight="1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</row>
    <row r="1029" spans="1:10" ht="15" customHeight="1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</row>
    <row r="1030" spans="1:10" ht="15" customHeight="1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</row>
    <row r="1031" spans="1:10" ht="15" customHeight="1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</row>
    <row r="1032" spans="1:10" ht="15" customHeight="1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</row>
    <row r="1033" spans="1:10" ht="15" customHeight="1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</row>
    <row r="1034" spans="1:10" ht="15" customHeight="1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</row>
    <row r="1035" spans="1:10" ht="15" customHeight="1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 ht="15" customHeight="1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</sheetData>
  <mergeCells count="545">
    <mergeCell ref="A47:J47"/>
    <mergeCell ref="A103:L103"/>
    <mergeCell ref="D45:E45"/>
    <mergeCell ref="F45:G45"/>
    <mergeCell ref="H45:I45"/>
    <mergeCell ref="A46:B46"/>
    <mergeCell ref="D42:E42"/>
    <mergeCell ref="F42:G42"/>
    <mergeCell ref="H42:I42"/>
    <mergeCell ref="D43:E43"/>
    <mergeCell ref="F43:G43"/>
    <mergeCell ref="H43:I43"/>
    <mergeCell ref="D44:E44"/>
    <mergeCell ref="F44:G44"/>
    <mergeCell ref="H44:I44"/>
    <mergeCell ref="H87:I87"/>
    <mergeCell ref="H86:I86"/>
    <mergeCell ref="H85:I85"/>
    <mergeCell ref="H84:I84"/>
    <mergeCell ref="H83:I83"/>
    <mergeCell ref="F73:G73"/>
    <mergeCell ref="F74:G74"/>
    <mergeCell ref="F52:G52"/>
    <mergeCell ref="F53:G53"/>
    <mergeCell ref="D39:E39"/>
    <mergeCell ref="F39:G39"/>
    <mergeCell ref="H39:I39"/>
    <mergeCell ref="D40:E40"/>
    <mergeCell ref="F40:G40"/>
    <mergeCell ref="H40:I40"/>
    <mergeCell ref="D41:E41"/>
    <mergeCell ref="F41:G41"/>
    <mergeCell ref="H41:I41"/>
    <mergeCell ref="D34:E34"/>
    <mergeCell ref="F34:G34"/>
    <mergeCell ref="H34:I34"/>
    <mergeCell ref="A35:B35"/>
    <mergeCell ref="D37:E37"/>
    <mergeCell ref="F37:G37"/>
    <mergeCell ref="H37:I37"/>
    <mergeCell ref="D38:E38"/>
    <mergeCell ref="F38:G38"/>
    <mergeCell ref="H38:I38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A23:B23"/>
    <mergeCell ref="A25:B25"/>
    <mergeCell ref="D25:I25"/>
    <mergeCell ref="D26:E26"/>
    <mergeCell ref="F26:G26"/>
    <mergeCell ref="H26:I26"/>
    <mergeCell ref="D27:E27"/>
    <mergeCell ref="F27:G27"/>
    <mergeCell ref="H27:I27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17:E17"/>
    <mergeCell ref="F17:G17"/>
    <mergeCell ref="H17:I17"/>
    <mergeCell ref="D18:E18"/>
    <mergeCell ref="F18:G18"/>
    <mergeCell ref="H18:I18"/>
    <mergeCell ref="D19:E19"/>
    <mergeCell ref="F19:G19"/>
    <mergeCell ref="H19:I19"/>
    <mergeCell ref="A12:B12"/>
    <mergeCell ref="D14:E14"/>
    <mergeCell ref="F14:G14"/>
    <mergeCell ref="H14:I14"/>
    <mergeCell ref="D15:E15"/>
    <mergeCell ref="F15:G15"/>
    <mergeCell ref="H15:I15"/>
    <mergeCell ref="D16:E16"/>
    <mergeCell ref="F16:G16"/>
    <mergeCell ref="H16:I16"/>
    <mergeCell ref="D9:E9"/>
    <mergeCell ref="F9:G9"/>
    <mergeCell ref="H9:I9"/>
    <mergeCell ref="D10:E10"/>
    <mergeCell ref="F10:G10"/>
    <mergeCell ref="H10:I10"/>
    <mergeCell ref="D11:E11"/>
    <mergeCell ref="F11:G11"/>
    <mergeCell ref="H11:I11"/>
    <mergeCell ref="D6:E6"/>
    <mergeCell ref="F6:G6"/>
    <mergeCell ref="H6:I6"/>
    <mergeCell ref="D7:E7"/>
    <mergeCell ref="F7:G7"/>
    <mergeCell ref="H7:I7"/>
    <mergeCell ref="D8:E8"/>
    <mergeCell ref="F8:G8"/>
    <mergeCell ref="H8:I8"/>
    <mergeCell ref="A2:B2"/>
    <mergeCell ref="D2:I2"/>
    <mergeCell ref="D3:E3"/>
    <mergeCell ref="F3:G3"/>
    <mergeCell ref="H3:I3"/>
    <mergeCell ref="D4:E4"/>
    <mergeCell ref="F4:G4"/>
    <mergeCell ref="H4:I4"/>
    <mergeCell ref="D5:E5"/>
    <mergeCell ref="F5:G5"/>
    <mergeCell ref="H5:I5"/>
    <mergeCell ref="A206:B206"/>
    <mergeCell ref="A217:B217"/>
    <mergeCell ref="A148:B148"/>
    <mergeCell ref="A57:B57"/>
    <mergeCell ref="A68:B68"/>
    <mergeCell ref="A80:B80"/>
    <mergeCell ref="A91:B91"/>
    <mergeCell ref="A173:B173"/>
    <mergeCell ref="A150:B150"/>
    <mergeCell ref="A127:B127"/>
    <mergeCell ref="A104:B104"/>
    <mergeCell ref="A70:B70"/>
    <mergeCell ref="A102:B102"/>
    <mergeCell ref="A114:B114"/>
    <mergeCell ref="A125:B125"/>
    <mergeCell ref="A137:B137"/>
    <mergeCell ref="A160:B160"/>
    <mergeCell ref="A171:B171"/>
    <mergeCell ref="A1:J1"/>
    <mergeCell ref="A196:B196"/>
    <mergeCell ref="A183:B183"/>
    <mergeCell ref="A194:B194"/>
    <mergeCell ref="F72:G72"/>
    <mergeCell ref="H48:I48"/>
    <mergeCell ref="H49:I49"/>
    <mergeCell ref="H50:I50"/>
    <mergeCell ref="H51:I51"/>
    <mergeCell ref="F48:G48"/>
    <mergeCell ref="F49:G49"/>
    <mergeCell ref="F50:G50"/>
    <mergeCell ref="F51:G51"/>
    <mergeCell ref="D48:E48"/>
    <mergeCell ref="D49:E49"/>
    <mergeCell ref="D50:E50"/>
    <mergeCell ref="D51:E51"/>
    <mergeCell ref="F60:G60"/>
    <mergeCell ref="D60:E60"/>
    <mergeCell ref="D52:E52"/>
    <mergeCell ref="D53:E53"/>
    <mergeCell ref="D54:E54"/>
    <mergeCell ref="D55:E55"/>
    <mergeCell ref="D56:E56"/>
    <mergeCell ref="F54:G54"/>
    <mergeCell ref="F55:G55"/>
    <mergeCell ref="F56:G56"/>
    <mergeCell ref="D59:E59"/>
    <mergeCell ref="F59:G59"/>
    <mergeCell ref="H52:I52"/>
    <mergeCell ref="H53:I53"/>
    <mergeCell ref="H54:I54"/>
    <mergeCell ref="H55:I55"/>
    <mergeCell ref="H56:I56"/>
    <mergeCell ref="F79:G79"/>
    <mergeCell ref="D84:E84"/>
    <mergeCell ref="D85:E85"/>
    <mergeCell ref="D86:E86"/>
    <mergeCell ref="H63:I63"/>
    <mergeCell ref="H64:I64"/>
    <mergeCell ref="H65:I65"/>
    <mergeCell ref="H66:I66"/>
    <mergeCell ref="H59:I59"/>
    <mergeCell ref="H60:I60"/>
    <mergeCell ref="D61:E61"/>
    <mergeCell ref="F61:G61"/>
    <mergeCell ref="H61:I61"/>
    <mergeCell ref="H62:I62"/>
    <mergeCell ref="F62:G62"/>
    <mergeCell ref="D62:E62"/>
    <mergeCell ref="D70:I70"/>
    <mergeCell ref="H71:I71"/>
    <mergeCell ref="H72:I72"/>
    <mergeCell ref="H73:I73"/>
    <mergeCell ref="H74:I74"/>
    <mergeCell ref="H76:I76"/>
    <mergeCell ref="H75:I75"/>
    <mergeCell ref="D72:E72"/>
    <mergeCell ref="H67:I67"/>
    <mergeCell ref="D75:E75"/>
    <mergeCell ref="D76:E76"/>
    <mergeCell ref="D63:E63"/>
    <mergeCell ref="D64:E64"/>
    <mergeCell ref="D65:E65"/>
    <mergeCell ref="D66:E66"/>
    <mergeCell ref="D67:E67"/>
    <mergeCell ref="F63:G63"/>
    <mergeCell ref="F64:G64"/>
    <mergeCell ref="F65:G65"/>
    <mergeCell ref="F66:G66"/>
    <mergeCell ref="F67:G67"/>
    <mergeCell ref="F71:G71"/>
    <mergeCell ref="D71:E71"/>
    <mergeCell ref="D87:E87"/>
    <mergeCell ref="H78:I78"/>
    <mergeCell ref="H79:I79"/>
    <mergeCell ref="D89:E89"/>
    <mergeCell ref="D88:E88"/>
    <mergeCell ref="D96:E96"/>
    <mergeCell ref="D97:E97"/>
    <mergeCell ref="D73:E73"/>
    <mergeCell ref="D74:E74"/>
    <mergeCell ref="F75:G75"/>
    <mergeCell ref="F76:G76"/>
    <mergeCell ref="F77:G77"/>
    <mergeCell ref="H93:I93"/>
    <mergeCell ref="F93:G93"/>
    <mergeCell ref="D93:E93"/>
    <mergeCell ref="D82:E82"/>
    <mergeCell ref="D83:E83"/>
    <mergeCell ref="D77:E77"/>
    <mergeCell ref="D78:E78"/>
    <mergeCell ref="D79:E79"/>
    <mergeCell ref="H77:I77"/>
    <mergeCell ref="F78:G78"/>
    <mergeCell ref="H90:I90"/>
    <mergeCell ref="F90:G90"/>
    <mergeCell ref="D90:E90"/>
    <mergeCell ref="H82:I82"/>
    <mergeCell ref="F87:G87"/>
    <mergeCell ref="F86:G86"/>
    <mergeCell ref="F85:G85"/>
    <mergeCell ref="F84:G84"/>
    <mergeCell ref="F83:G83"/>
    <mergeCell ref="F82:G82"/>
    <mergeCell ref="H88:I88"/>
    <mergeCell ref="H89:I89"/>
    <mergeCell ref="F88:G88"/>
    <mergeCell ref="F89:G89"/>
    <mergeCell ref="D100:E100"/>
    <mergeCell ref="H101:I101"/>
    <mergeCell ref="F94:G94"/>
    <mergeCell ref="F95:G95"/>
    <mergeCell ref="F96:G96"/>
    <mergeCell ref="F98:G98"/>
    <mergeCell ref="F97:G97"/>
    <mergeCell ref="F99:G99"/>
    <mergeCell ref="F100:G100"/>
    <mergeCell ref="F101:G101"/>
    <mergeCell ref="H96:I96"/>
    <mergeCell ref="H97:I97"/>
    <mergeCell ref="H98:I98"/>
    <mergeCell ref="H99:I99"/>
    <mergeCell ref="H100:I100"/>
    <mergeCell ref="H95:I95"/>
    <mergeCell ref="D94:E94"/>
    <mergeCell ref="D95:E95"/>
    <mergeCell ref="D98:E98"/>
    <mergeCell ref="D99:E99"/>
    <mergeCell ref="H94:I94"/>
    <mergeCell ref="H106:I106"/>
    <mergeCell ref="F105:G105"/>
    <mergeCell ref="D105:E105"/>
    <mergeCell ref="D106:E106"/>
    <mergeCell ref="F106:G106"/>
    <mergeCell ref="D107:E107"/>
    <mergeCell ref="F107:G107"/>
    <mergeCell ref="D101:E101"/>
    <mergeCell ref="D104:I104"/>
    <mergeCell ref="H105:I105"/>
    <mergeCell ref="H113:I113"/>
    <mergeCell ref="H116:I116"/>
    <mergeCell ref="F116:G116"/>
    <mergeCell ref="D116:E116"/>
    <mergeCell ref="H117:I117"/>
    <mergeCell ref="F117:G117"/>
    <mergeCell ref="D117:E117"/>
    <mergeCell ref="H108:I108"/>
    <mergeCell ref="H109:I109"/>
    <mergeCell ref="H110:I110"/>
    <mergeCell ref="H111:I111"/>
    <mergeCell ref="H112:I112"/>
    <mergeCell ref="D111:E111"/>
    <mergeCell ref="F111:G111"/>
    <mergeCell ref="D112:E112"/>
    <mergeCell ref="F112:G112"/>
    <mergeCell ref="D113:E113"/>
    <mergeCell ref="F113:G113"/>
    <mergeCell ref="D108:E108"/>
    <mergeCell ref="F108:G108"/>
    <mergeCell ref="D109:E109"/>
    <mergeCell ref="F109:G109"/>
    <mergeCell ref="D110:E110"/>
    <mergeCell ref="F110:G110"/>
    <mergeCell ref="F123:G123"/>
    <mergeCell ref="D124:E124"/>
    <mergeCell ref="F124:G124"/>
    <mergeCell ref="H118:I118"/>
    <mergeCell ref="H120:I120"/>
    <mergeCell ref="H121:I121"/>
    <mergeCell ref="H122:I122"/>
    <mergeCell ref="H123:I123"/>
    <mergeCell ref="H124:I124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D127:I127"/>
    <mergeCell ref="D150:I150"/>
    <mergeCell ref="D173:I173"/>
    <mergeCell ref="D196:I196"/>
    <mergeCell ref="H128:I128"/>
    <mergeCell ref="F128:G128"/>
    <mergeCell ref="D128:E128"/>
    <mergeCell ref="H129:I129"/>
    <mergeCell ref="F129:G129"/>
    <mergeCell ref="D129:E129"/>
    <mergeCell ref="H131:I131"/>
    <mergeCell ref="H130:I130"/>
    <mergeCell ref="F130:G130"/>
    <mergeCell ref="D130:E130"/>
    <mergeCell ref="D131:E131"/>
    <mergeCell ref="H174:I174"/>
    <mergeCell ref="F174:G174"/>
    <mergeCell ref="D174:E174"/>
    <mergeCell ref="H178:I178"/>
    <mergeCell ref="F178:G178"/>
    <mergeCell ref="D175:E175"/>
    <mergeCell ref="F175:G175"/>
    <mergeCell ref="H175:I175"/>
    <mergeCell ref="F131:G131"/>
    <mergeCell ref="F132:G132"/>
    <mergeCell ref="F133:G133"/>
    <mergeCell ref="F134:G134"/>
    <mergeCell ref="F135:G135"/>
    <mergeCell ref="D132:E132"/>
    <mergeCell ref="D133:E133"/>
    <mergeCell ref="D134:E134"/>
    <mergeCell ref="D135:E135"/>
    <mergeCell ref="H139:I139"/>
    <mergeCell ref="F139:G139"/>
    <mergeCell ref="D139:E139"/>
    <mergeCell ref="H140:I140"/>
    <mergeCell ref="F140:G140"/>
    <mergeCell ref="D140:E140"/>
    <mergeCell ref="F136:G136"/>
    <mergeCell ref="H133:I133"/>
    <mergeCell ref="H134:I134"/>
    <mergeCell ref="H135:I135"/>
    <mergeCell ref="H136:I136"/>
    <mergeCell ref="D136:E136"/>
    <mergeCell ref="F144:G144"/>
    <mergeCell ref="F145:G145"/>
    <mergeCell ref="F146:G146"/>
    <mergeCell ref="F147:G147"/>
    <mergeCell ref="H141:I141"/>
    <mergeCell ref="F141:G141"/>
    <mergeCell ref="D141:E141"/>
    <mergeCell ref="H143:I143"/>
    <mergeCell ref="H142:I142"/>
    <mergeCell ref="F142:G142"/>
    <mergeCell ref="F143:G143"/>
    <mergeCell ref="D142:E142"/>
    <mergeCell ref="D143:E143"/>
    <mergeCell ref="D144:E144"/>
    <mergeCell ref="D152:E152"/>
    <mergeCell ref="D151:E151"/>
    <mergeCell ref="F151:G151"/>
    <mergeCell ref="H151:I151"/>
    <mergeCell ref="D153:E153"/>
    <mergeCell ref="H145:I145"/>
    <mergeCell ref="H146:I146"/>
    <mergeCell ref="H147:I147"/>
    <mergeCell ref="H153:I153"/>
    <mergeCell ref="F153:G153"/>
    <mergeCell ref="H152:I152"/>
    <mergeCell ref="F152:G152"/>
    <mergeCell ref="D145:E145"/>
    <mergeCell ref="D146:E146"/>
    <mergeCell ref="D147:E147"/>
    <mergeCell ref="D159:E159"/>
    <mergeCell ref="H156:I156"/>
    <mergeCell ref="H154:I154"/>
    <mergeCell ref="F154:G154"/>
    <mergeCell ref="F155:G155"/>
    <mergeCell ref="F156:G156"/>
    <mergeCell ref="F157:G157"/>
    <mergeCell ref="F158:G158"/>
    <mergeCell ref="F159:G159"/>
    <mergeCell ref="H155:I155"/>
    <mergeCell ref="H158:I158"/>
    <mergeCell ref="H159:I159"/>
    <mergeCell ref="D154:E154"/>
    <mergeCell ref="D155:E155"/>
    <mergeCell ref="D156:E156"/>
    <mergeCell ref="D157:E157"/>
    <mergeCell ref="D158:E158"/>
    <mergeCell ref="D165:E165"/>
    <mergeCell ref="D166:E166"/>
    <mergeCell ref="D167:E167"/>
    <mergeCell ref="D168:E168"/>
    <mergeCell ref="D169:E169"/>
    <mergeCell ref="D162:E162"/>
    <mergeCell ref="D163:E163"/>
    <mergeCell ref="F163:G163"/>
    <mergeCell ref="H163:I163"/>
    <mergeCell ref="F164:G164"/>
    <mergeCell ref="H164:I164"/>
    <mergeCell ref="D164:E164"/>
    <mergeCell ref="H165:I165"/>
    <mergeCell ref="F165:G165"/>
    <mergeCell ref="H168:I168"/>
    <mergeCell ref="H162:I162"/>
    <mergeCell ref="F162:G162"/>
    <mergeCell ref="D177:E177"/>
    <mergeCell ref="F177:G177"/>
    <mergeCell ref="H177:I177"/>
    <mergeCell ref="D178:E178"/>
    <mergeCell ref="D179:E179"/>
    <mergeCell ref="D170:E170"/>
    <mergeCell ref="H166:I166"/>
    <mergeCell ref="F166:G166"/>
    <mergeCell ref="H170:I170"/>
    <mergeCell ref="F167:G167"/>
    <mergeCell ref="F168:G168"/>
    <mergeCell ref="F169:G169"/>
    <mergeCell ref="F170:G170"/>
    <mergeCell ref="H167:I167"/>
    <mergeCell ref="D176:E176"/>
    <mergeCell ref="F176:G176"/>
    <mergeCell ref="H176:I176"/>
    <mergeCell ref="D180:E180"/>
    <mergeCell ref="D181:E181"/>
    <mergeCell ref="D182:E182"/>
    <mergeCell ref="H179:I179"/>
    <mergeCell ref="F179:G179"/>
    <mergeCell ref="F180:G180"/>
    <mergeCell ref="H180:I180"/>
    <mergeCell ref="F181:G181"/>
    <mergeCell ref="H181:I181"/>
    <mergeCell ref="F182:G182"/>
    <mergeCell ref="H182:I182"/>
    <mergeCell ref="D187:E187"/>
    <mergeCell ref="F187:G187"/>
    <mergeCell ref="H187:I187"/>
    <mergeCell ref="D188:E188"/>
    <mergeCell ref="F188:G188"/>
    <mergeCell ref="H188:I188"/>
    <mergeCell ref="H185:I185"/>
    <mergeCell ref="H186:I186"/>
    <mergeCell ref="F186:G186"/>
    <mergeCell ref="D186:E186"/>
    <mergeCell ref="F185:G185"/>
    <mergeCell ref="D185:E185"/>
    <mergeCell ref="H191:I191"/>
    <mergeCell ref="F191:G191"/>
    <mergeCell ref="D191:E191"/>
    <mergeCell ref="D192:E192"/>
    <mergeCell ref="F192:G192"/>
    <mergeCell ref="H192:I192"/>
    <mergeCell ref="D189:E189"/>
    <mergeCell ref="F189:G189"/>
    <mergeCell ref="H189:I189"/>
    <mergeCell ref="F190:G190"/>
    <mergeCell ref="H190:I190"/>
    <mergeCell ref="D190:E190"/>
    <mergeCell ref="D193:E193"/>
    <mergeCell ref="F193:G193"/>
    <mergeCell ref="H193:I193"/>
    <mergeCell ref="H203:I203"/>
    <mergeCell ref="F203:G203"/>
    <mergeCell ref="D203:E203"/>
    <mergeCell ref="H202:I202"/>
    <mergeCell ref="F202:G202"/>
    <mergeCell ref="D202:E202"/>
    <mergeCell ref="D197:E197"/>
    <mergeCell ref="F197:G197"/>
    <mergeCell ref="H197:I197"/>
    <mergeCell ref="D198:E198"/>
    <mergeCell ref="F198:G198"/>
    <mergeCell ref="H198:I198"/>
    <mergeCell ref="D199:E199"/>
    <mergeCell ref="D201:E201"/>
    <mergeCell ref="F201:G201"/>
    <mergeCell ref="H201:I201"/>
    <mergeCell ref="H204:I204"/>
    <mergeCell ref="F204:G204"/>
    <mergeCell ref="D204:E204"/>
    <mergeCell ref="F199:G199"/>
    <mergeCell ref="H199:I199"/>
    <mergeCell ref="D200:E200"/>
    <mergeCell ref="F200:G200"/>
    <mergeCell ref="H200:I200"/>
    <mergeCell ref="D205:E205"/>
    <mergeCell ref="F205:G205"/>
    <mergeCell ref="H205:I205"/>
    <mergeCell ref="H209:I209"/>
    <mergeCell ref="F209:G209"/>
    <mergeCell ref="D209:E209"/>
    <mergeCell ref="D208:E208"/>
    <mergeCell ref="F208:G208"/>
    <mergeCell ref="H208:I208"/>
    <mergeCell ref="D212:E212"/>
    <mergeCell ref="F212:G212"/>
    <mergeCell ref="H212:I212"/>
    <mergeCell ref="D213:E213"/>
    <mergeCell ref="F213:G213"/>
    <mergeCell ref="H213:I213"/>
    <mergeCell ref="D210:E210"/>
    <mergeCell ref="F210:G210"/>
    <mergeCell ref="H210:I210"/>
    <mergeCell ref="D211:E211"/>
    <mergeCell ref="F211:G211"/>
    <mergeCell ref="H211:I211"/>
    <mergeCell ref="D216:E216"/>
    <mergeCell ref="F216:G216"/>
    <mergeCell ref="H216:I216"/>
    <mergeCell ref="D214:E214"/>
    <mergeCell ref="F214:G214"/>
    <mergeCell ref="H214:I214"/>
    <mergeCell ref="H215:I215"/>
    <mergeCell ref="F215:G215"/>
    <mergeCell ref="D215:E215"/>
  </mergeCells>
  <pageMargins left="0.7" right="0.7" top="0.75" bottom="0.75" header="0" footer="0"/>
  <pageSetup paperSize="9" fitToHeight="0" orientation="portrait" r:id="rId1"/>
  <rowBreaks count="3" manualBreakCount="3">
    <brk id="91" max="6" man="1"/>
    <brk id="125" max="9" man="1"/>
    <brk id="17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S1000"/>
  <sheetViews>
    <sheetView workbookViewId="0">
      <pane xSplit="29" ySplit="6" topLeftCell="AD7" activePane="bottomRight" state="frozen"/>
      <selection pane="topRight" activeCell="AD1" sqref="AD1"/>
      <selection pane="bottomLeft" activeCell="A7" sqref="A7"/>
      <selection pane="bottomRight" activeCell="AD7" sqref="AD7"/>
    </sheetView>
  </sheetViews>
  <sheetFormatPr baseColWidth="10" defaultColWidth="14.42578125" defaultRowHeight="15" customHeight="1" x14ac:dyDescent="0.25"/>
  <cols>
    <col min="1" max="1" width="2.7109375" customWidth="1"/>
    <col min="2" max="2" width="15.42578125" customWidth="1"/>
    <col min="3" max="3" width="1.28515625" customWidth="1"/>
    <col min="4" max="5" width="43" hidden="1" customWidth="1"/>
    <col min="6" max="6" width="2.28515625" hidden="1" customWidth="1"/>
    <col min="7" max="8" width="43" hidden="1" customWidth="1"/>
    <col min="9" max="9" width="2.28515625" hidden="1" customWidth="1"/>
    <col min="10" max="12" width="60.7109375" hidden="1" customWidth="1"/>
    <col min="13" max="13" width="61.28515625" hidden="1" customWidth="1"/>
    <col min="14" max="18" width="30.7109375" hidden="1" customWidth="1"/>
    <col min="19" max="19" width="39.28515625" hidden="1" customWidth="1"/>
    <col min="20" max="20" width="30.7109375" hidden="1" customWidth="1"/>
    <col min="21" max="21" width="37.140625" hidden="1" customWidth="1"/>
    <col min="22" max="29" width="30.7109375" hidden="1" customWidth="1"/>
    <col min="30" max="41" width="15.7109375" customWidth="1"/>
    <col min="42" max="42" width="16.7109375" customWidth="1"/>
    <col min="43" max="97" width="15.7109375" customWidth="1"/>
  </cols>
  <sheetData>
    <row r="1" spans="1:97" ht="14.25" customHeight="1" x14ac:dyDescent="0.25">
      <c r="D1" s="49"/>
      <c r="E1" s="49"/>
      <c r="G1" s="49"/>
      <c r="H1" s="49"/>
      <c r="N1" s="13"/>
      <c r="O1" s="13"/>
      <c r="P1" s="13"/>
      <c r="Q1" s="13"/>
      <c r="AI1" s="50"/>
      <c r="AU1" s="50"/>
      <c r="BR1" s="51"/>
    </row>
    <row r="2" spans="1:97" ht="14.25" customHeight="1" x14ac:dyDescent="0.25">
      <c r="D2" s="49"/>
      <c r="E2" s="49"/>
      <c r="G2" s="49"/>
      <c r="H2" s="49"/>
      <c r="N2" s="13"/>
      <c r="O2" s="13"/>
      <c r="P2" s="13"/>
      <c r="Q2" s="13"/>
      <c r="AI2" s="50"/>
      <c r="AU2" s="50"/>
      <c r="BR2" s="51"/>
    </row>
    <row r="3" spans="1:97" ht="78.75" customHeight="1" x14ac:dyDescent="0.25">
      <c r="D3" s="619">
        <v>2024</v>
      </c>
      <c r="E3" s="568"/>
      <c r="F3" s="568"/>
      <c r="G3" s="568"/>
      <c r="H3" s="569"/>
      <c r="J3" s="620">
        <v>2026</v>
      </c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  <c r="AN3" s="582"/>
      <c r="AO3" s="582"/>
      <c r="AP3" s="582"/>
      <c r="AQ3" s="582"/>
      <c r="AR3" s="582"/>
      <c r="AS3" s="582"/>
      <c r="AT3" s="582"/>
      <c r="AU3" s="582"/>
      <c r="AV3" s="582"/>
      <c r="AW3" s="582"/>
      <c r="AX3" s="582"/>
      <c r="AY3" s="582"/>
      <c r="AZ3" s="582"/>
      <c r="BA3" s="582"/>
      <c r="BB3" s="582"/>
      <c r="BC3" s="582"/>
      <c r="BD3" s="582"/>
      <c r="BE3" s="582"/>
      <c r="BF3" s="582"/>
      <c r="BG3" s="582"/>
      <c r="BH3" s="582"/>
      <c r="BI3" s="582"/>
      <c r="BJ3" s="582"/>
      <c r="BK3" s="582"/>
      <c r="BL3" s="582"/>
      <c r="BM3" s="582"/>
      <c r="BN3" s="582"/>
      <c r="BO3" s="582"/>
      <c r="BP3" s="582"/>
      <c r="BQ3" s="582"/>
      <c r="BR3" s="582"/>
      <c r="BS3" s="582"/>
      <c r="BT3" s="582"/>
      <c r="BU3" s="582"/>
      <c r="BV3" s="582"/>
      <c r="BW3" s="582"/>
      <c r="BX3" s="582"/>
      <c r="BY3" s="572"/>
      <c r="BZ3" s="621">
        <v>2027</v>
      </c>
      <c r="CA3" s="582"/>
      <c r="CB3" s="582"/>
      <c r="CC3" s="582"/>
      <c r="CD3" s="582"/>
      <c r="CE3" s="582"/>
      <c r="CF3" s="582"/>
      <c r="CG3" s="582"/>
      <c r="CH3" s="582"/>
      <c r="CI3" s="582"/>
      <c r="CJ3" s="582"/>
      <c r="CK3" s="582"/>
      <c r="CL3" s="582"/>
      <c r="CM3" s="582"/>
      <c r="CN3" s="582"/>
      <c r="CO3" s="582"/>
      <c r="CP3" s="582"/>
      <c r="CQ3" s="582"/>
      <c r="CR3" s="582"/>
      <c r="CS3" s="572"/>
    </row>
    <row r="4" spans="1:97" ht="9.75" customHeight="1" x14ac:dyDescent="0.25">
      <c r="D4" s="49"/>
      <c r="E4" s="49"/>
      <c r="G4" s="49"/>
      <c r="H4" s="49"/>
      <c r="N4" s="13"/>
      <c r="O4" s="13"/>
      <c r="P4" s="13"/>
      <c r="Q4" s="13"/>
      <c r="AI4" s="50"/>
      <c r="AU4" s="50"/>
      <c r="BF4" s="13"/>
      <c r="BG4" s="13"/>
      <c r="BH4" s="13"/>
      <c r="BI4" s="13"/>
      <c r="BR4" s="51"/>
    </row>
    <row r="5" spans="1:97" ht="57.75" customHeight="1" x14ac:dyDescent="0.25">
      <c r="C5" s="52"/>
      <c r="D5" s="622" t="s">
        <v>93</v>
      </c>
      <c r="E5" s="582"/>
      <c r="F5" s="582"/>
      <c r="G5" s="582"/>
      <c r="H5" s="572"/>
      <c r="J5" s="575" t="s">
        <v>56</v>
      </c>
      <c r="K5" s="568"/>
      <c r="L5" s="568"/>
      <c r="M5" s="569"/>
      <c r="N5" s="577" t="s">
        <v>57</v>
      </c>
      <c r="O5" s="568"/>
      <c r="P5" s="568"/>
      <c r="Q5" s="569"/>
      <c r="R5" s="575" t="s">
        <v>58</v>
      </c>
      <c r="S5" s="568"/>
      <c r="T5" s="568"/>
      <c r="U5" s="569"/>
      <c r="V5" s="575" t="s">
        <v>1</v>
      </c>
      <c r="W5" s="568"/>
      <c r="X5" s="568"/>
      <c r="Y5" s="569"/>
      <c r="Z5" s="575" t="s">
        <v>19</v>
      </c>
      <c r="AA5" s="568"/>
      <c r="AB5" s="568"/>
      <c r="AC5" s="569"/>
      <c r="AD5" s="575" t="s">
        <v>56</v>
      </c>
      <c r="AE5" s="568"/>
      <c r="AF5" s="568"/>
      <c r="AG5" s="569"/>
      <c r="AH5" s="575" t="s">
        <v>57</v>
      </c>
      <c r="AI5" s="568"/>
      <c r="AJ5" s="568"/>
      <c r="AK5" s="569"/>
      <c r="AL5" s="575" t="s">
        <v>58</v>
      </c>
      <c r="AM5" s="568"/>
      <c r="AN5" s="568"/>
      <c r="AO5" s="569"/>
      <c r="AP5" s="575" t="s">
        <v>59</v>
      </c>
      <c r="AQ5" s="568"/>
      <c r="AR5" s="568"/>
      <c r="AS5" s="569"/>
      <c r="AT5" s="575" t="s">
        <v>1</v>
      </c>
      <c r="AU5" s="568"/>
      <c r="AV5" s="568"/>
      <c r="AW5" s="569"/>
      <c r="AX5" s="575" t="s">
        <v>19</v>
      </c>
      <c r="AY5" s="568"/>
      <c r="AZ5" s="568"/>
      <c r="BA5" s="569"/>
      <c r="BB5" s="575" t="s">
        <v>25</v>
      </c>
      <c r="BC5" s="568"/>
      <c r="BD5" s="568"/>
      <c r="BE5" s="569"/>
      <c r="BF5" s="575" t="s">
        <v>26</v>
      </c>
      <c r="BG5" s="568"/>
      <c r="BH5" s="568"/>
      <c r="BI5" s="569"/>
      <c r="BJ5" s="575" t="s">
        <v>27</v>
      </c>
      <c r="BK5" s="568"/>
      <c r="BL5" s="568"/>
      <c r="BM5" s="569"/>
      <c r="BN5" s="575" t="s">
        <v>54</v>
      </c>
      <c r="BO5" s="568"/>
      <c r="BP5" s="568"/>
      <c r="BQ5" s="569"/>
      <c r="BR5" s="575" t="s">
        <v>60</v>
      </c>
      <c r="BS5" s="568"/>
      <c r="BT5" s="568"/>
      <c r="BU5" s="569"/>
      <c r="BV5" s="575" t="s">
        <v>55</v>
      </c>
      <c r="BW5" s="568"/>
      <c r="BX5" s="568"/>
      <c r="BY5" s="569"/>
      <c r="BZ5" s="575" t="s">
        <v>56</v>
      </c>
      <c r="CA5" s="568"/>
      <c r="CB5" s="568"/>
      <c r="CC5" s="569"/>
      <c r="CD5" s="575" t="s">
        <v>57</v>
      </c>
      <c r="CE5" s="568"/>
      <c r="CF5" s="568"/>
      <c r="CG5" s="569"/>
      <c r="CH5" s="575" t="s">
        <v>58</v>
      </c>
      <c r="CI5" s="568"/>
      <c r="CJ5" s="568"/>
      <c r="CK5" s="569"/>
      <c r="CL5" s="575" t="s">
        <v>59</v>
      </c>
      <c r="CM5" s="568"/>
      <c r="CN5" s="568"/>
      <c r="CO5" s="569"/>
      <c r="CP5" s="575" t="s">
        <v>1</v>
      </c>
      <c r="CQ5" s="568"/>
      <c r="CR5" s="568"/>
      <c r="CS5" s="569"/>
    </row>
    <row r="6" spans="1:97" ht="9.75" customHeight="1" x14ac:dyDescent="0.25">
      <c r="D6" s="49"/>
      <c r="E6" s="49"/>
      <c r="G6" s="49"/>
      <c r="H6" s="49"/>
      <c r="N6" s="13"/>
      <c r="O6" s="13"/>
      <c r="P6" s="13"/>
      <c r="Q6" s="13"/>
      <c r="AI6" s="50"/>
      <c r="AU6" s="50"/>
      <c r="BF6" s="13"/>
      <c r="BG6" s="13"/>
      <c r="BH6" s="13"/>
      <c r="BI6" s="13"/>
      <c r="BR6" s="51"/>
    </row>
    <row r="7" spans="1:97" ht="15" customHeight="1" x14ac:dyDescent="0.25">
      <c r="D7" s="49"/>
      <c r="E7" s="49"/>
      <c r="G7" s="49"/>
      <c r="H7" s="5"/>
      <c r="M7" s="19" t="s">
        <v>94</v>
      </c>
      <c r="N7" s="13"/>
      <c r="O7" s="13"/>
      <c r="P7" s="13"/>
      <c r="Q7" s="13"/>
      <c r="AI7" s="50"/>
      <c r="AU7" s="50"/>
      <c r="BR7" s="51"/>
    </row>
    <row r="8" spans="1:97" ht="28.5" customHeight="1" x14ac:dyDescent="0.25">
      <c r="D8" s="49"/>
      <c r="E8" s="49"/>
      <c r="G8" s="49"/>
      <c r="H8" s="5"/>
      <c r="J8" s="630" t="s">
        <v>95</v>
      </c>
      <c r="K8" s="582"/>
      <c r="L8" s="582"/>
      <c r="M8" s="572"/>
      <c r="N8" s="13"/>
      <c r="O8" s="631" t="s">
        <v>96</v>
      </c>
      <c r="P8" s="572"/>
      <c r="Q8" s="13"/>
      <c r="R8" s="53" t="s">
        <v>97</v>
      </c>
      <c r="S8" s="53" t="s">
        <v>96</v>
      </c>
      <c r="AI8" s="50"/>
      <c r="AU8" s="50"/>
      <c r="BR8" s="51"/>
    </row>
    <row r="9" spans="1:97" ht="25.5" customHeight="1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13"/>
      <c r="O9" s="13"/>
      <c r="P9" s="13"/>
      <c r="Q9" s="49"/>
      <c r="R9" s="5"/>
      <c r="S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4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4"/>
      <c r="AV9" s="5"/>
      <c r="AW9" s="5"/>
      <c r="AX9" s="5"/>
      <c r="AY9" s="5"/>
      <c r="AZ9" s="5"/>
      <c r="BA9" s="5"/>
      <c r="BR9" s="51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</row>
    <row r="10" spans="1:97" ht="42" customHeight="1" x14ac:dyDescent="0.25">
      <c r="D10" s="5"/>
      <c r="E10" s="5"/>
      <c r="F10" s="5"/>
      <c r="G10" s="5"/>
      <c r="H10" s="5"/>
      <c r="I10" s="5"/>
      <c r="J10" s="55" t="s">
        <v>98</v>
      </c>
      <c r="K10" s="49"/>
      <c r="L10" s="49"/>
      <c r="M10" s="5"/>
      <c r="N10" s="49"/>
      <c r="O10" s="632" t="s">
        <v>99</v>
      </c>
      <c r="P10" s="633"/>
      <c r="Q10" s="49"/>
      <c r="R10" s="55" t="s">
        <v>100</v>
      </c>
      <c r="S10" s="55" t="s">
        <v>101</v>
      </c>
      <c r="AI10" s="50"/>
      <c r="AU10" s="50"/>
      <c r="BR10" s="51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</row>
    <row r="11" spans="1:97" ht="69.75" customHeight="1" x14ac:dyDescent="0.25">
      <c r="A11" s="56"/>
      <c r="B11" s="625" t="s">
        <v>102</v>
      </c>
      <c r="C11" s="57"/>
      <c r="D11" s="58"/>
      <c r="E11" s="58"/>
      <c r="F11" s="58"/>
      <c r="G11" s="58"/>
      <c r="H11" s="58"/>
      <c r="I11" s="58"/>
      <c r="J11" s="59"/>
      <c r="K11" s="59"/>
      <c r="L11" s="59"/>
      <c r="M11" s="58"/>
      <c r="N11" s="59"/>
      <c r="O11" s="59"/>
      <c r="P11" s="59"/>
      <c r="Q11" s="59"/>
      <c r="R11" s="59"/>
      <c r="S11" s="59"/>
      <c r="T11" s="57"/>
      <c r="U11" s="57"/>
      <c r="V11" s="57"/>
      <c r="W11" s="57"/>
      <c r="X11" s="57"/>
      <c r="Y11" s="57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1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H11" s="662" t="s">
        <v>103</v>
      </c>
      <c r="BI11" s="590"/>
      <c r="BJ11" s="590"/>
      <c r="BK11" s="590"/>
      <c r="BL11" s="590"/>
      <c r="BM11" s="590"/>
      <c r="BN11" s="590"/>
      <c r="BO11" s="590"/>
      <c r="BP11" s="590"/>
      <c r="BQ11" s="590"/>
      <c r="BR11" s="590"/>
      <c r="BS11" s="590"/>
      <c r="BT11" s="590"/>
      <c r="BU11" s="591"/>
      <c r="BV11" s="62"/>
      <c r="BW11" s="62"/>
      <c r="BX11" s="62"/>
      <c r="BY11" s="63"/>
      <c r="BZ11" s="63"/>
      <c r="CA11" s="63"/>
      <c r="CB11" s="63"/>
      <c r="CC11" s="63"/>
      <c r="CD11" s="63"/>
      <c r="CE11" s="63"/>
      <c r="CF11" s="63"/>
      <c r="CG11" s="63"/>
      <c r="CH11" s="57"/>
      <c r="CI11" s="57"/>
      <c r="CJ11" s="57"/>
      <c r="CK11" s="57"/>
      <c r="CL11" s="57"/>
      <c r="CM11" s="64"/>
    </row>
    <row r="12" spans="1:97" ht="60.75" customHeight="1" x14ac:dyDescent="0.25">
      <c r="B12" s="626"/>
      <c r="C12" s="19"/>
      <c r="D12" s="65"/>
      <c r="E12" s="65"/>
      <c r="F12" s="65"/>
      <c r="G12" s="65"/>
      <c r="H12" s="65"/>
      <c r="I12" s="65"/>
      <c r="J12" s="66"/>
      <c r="K12" s="66"/>
      <c r="L12" s="66"/>
      <c r="M12" s="65"/>
      <c r="N12" s="66"/>
      <c r="O12" s="66"/>
      <c r="P12" s="66"/>
      <c r="Q12" s="66"/>
      <c r="R12" s="66"/>
      <c r="S12" s="66"/>
      <c r="T12" s="67"/>
      <c r="U12" s="67"/>
      <c r="V12" s="67"/>
      <c r="W12" s="67"/>
      <c r="X12" s="67"/>
      <c r="Y12" s="67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68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H12" s="20"/>
      <c r="BI12" s="19"/>
      <c r="BJ12" s="19"/>
      <c r="BK12" s="19"/>
      <c r="BL12" s="35"/>
      <c r="BM12" s="35"/>
      <c r="BN12" s="35"/>
      <c r="BO12" s="35"/>
      <c r="BP12" s="69" t="s">
        <v>104</v>
      </c>
      <c r="BQ12" s="70"/>
      <c r="BR12" s="71"/>
      <c r="BS12" s="70"/>
      <c r="BT12" s="19"/>
      <c r="BU12" s="19"/>
      <c r="BV12" s="72"/>
      <c r="BW12" s="72"/>
      <c r="BX12" s="72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21"/>
    </row>
    <row r="13" spans="1:97" ht="49.5" customHeight="1" x14ac:dyDescent="0.25">
      <c r="B13" s="626"/>
      <c r="C13" s="19"/>
      <c r="D13" s="65"/>
      <c r="E13" s="65"/>
      <c r="F13" s="65"/>
      <c r="G13" s="65"/>
      <c r="H13" s="65"/>
      <c r="I13" s="65"/>
      <c r="J13" s="66"/>
      <c r="K13" s="66"/>
      <c r="L13" s="66"/>
      <c r="M13" s="65"/>
      <c r="N13" s="66"/>
      <c r="O13" s="66"/>
      <c r="P13" s="66"/>
      <c r="Q13" s="66"/>
      <c r="R13" s="66"/>
      <c r="S13" s="66"/>
      <c r="T13" s="67"/>
      <c r="U13" s="67"/>
      <c r="V13" s="67"/>
      <c r="W13" s="67"/>
      <c r="X13" s="67"/>
      <c r="Y13" s="67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68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H13" s="73"/>
      <c r="BI13" s="72"/>
      <c r="BJ13" s="72"/>
      <c r="BK13" s="19"/>
      <c r="BL13" s="19"/>
      <c r="BM13" s="19"/>
      <c r="BN13" s="19"/>
      <c r="BO13" s="19"/>
      <c r="BP13" s="19"/>
      <c r="BQ13" s="19"/>
      <c r="BR13" s="74"/>
      <c r="BS13" s="75"/>
      <c r="BT13" s="26"/>
      <c r="BU13" s="26"/>
      <c r="BV13" s="26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21"/>
    </row>
    <row r="14" spans="1:97" ht="49.5" customHeight="1" x14ac:dyDescent="0.25">
      <c r="B14" s="626"/>
      <c r="C14" s="19"/>
      <c r="D14" s="65"/>
      <c r="E14" s="65"/>
      <c r="F14" s="65"/>
      <c r="G14" s="65"/>
      <c r="H14" s="65"/>
      <c r="I14" s="65"/>
      <c r="J14" s="66"/>
      <c r="K14" s="66"/>
      <c r="L14" s="66"/>
      <c r="M14" s="65"/>
      <c r="N14" s="66"/>
      <c r="O14" s="66"/>
      <c r="P14" s="66"/>
      <c r="Q14" s="66"/>
      <c r="R14" s="66"/>
      <c r="S14" s="66"/>
      <c r="T14" s="67"/>
      <c r="U14" s="67"/>
      <c r="V14" s="67"/>
      <c r="W14" s="67"/>
      <c r="X14" s="67"/>
      <c r="Y14" s="67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68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H14" s="73"/>
      <c r="BI14" s="72"/>
      <c r="BJ14" s="72"/>
      <c r="BK14" s="35"/>
      <c r="BL14" s="35"/>
      <c r="BM14" s="35"/>
      <c r="BN14" s="35"/>
      <c r="BO14" s="35"/>
      <c r="BP14" s="35"/>
      <c r="BQ14" s="35"/>
      <c r="BR14" s="76" t="s">
        <v>105</v>
      </c>
      <c r="BS14" s="76" t="s">
        <v>106</v>
      </c>
      <c r="BT14" s="19"/>
      <c r="BU14" s="19"/>
      <c r="BV14" s="77" t="s">
        <v>107</v>
      </c>
      <c r="BW14" s="656" t="s">
        <v>108</v>
      </c>
      <c r="BX14" s="573"/>
      <c r="BY14" s="19"/>
      <c r="BZ14" s="19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18"/>
      <c r="CM14" s="79"/>
    </row>
    <row r="15" spans="1:97" ht="49.5" customHeight="1" x14ac:dyDescent="0.25">
      <c r="B15" s="626"/>
      <c r="C15" s="19"/>
      <c r="D15" s="65"/>
      <c r="E15" s="65"/>
      <c r="F15" s="65"/>
      <c r="G15" s="65"/>
      <c r="H15" s="65"/>
      <c r="I15" s="65"/>
      <c r="J15" s="66"/>
      <c r="K15" s="66"/>
      <c r="L15" s="66"/>
      <c r="M15" s="65"/>
      <c r="N15" s="66"/>
      <c r="O15" s="66"/>
      <c r="P15" s="66"/>
      <c r="Q15" s="66"/>
      <c r="R15" s="66"/>
      <c r="S15" s="66"/>
      <c r="T15" s="67"/>
      <c r="U15" s="67"/>
      <c r="V15" s="67"/>
      <c r="W15" s="67"/>
      <c r="X15" s="67"/>
      <c r="Y15" s="67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68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H15" s="73"/>
      <c r="BI15" s="72"/>
      <c r="BJ15" s="72"/>
      <c r="BK15" s="68"/>
      <c r="BL15" s="19"/>
      <c r="BM15" s="19"/>
      <c r="BN15" s="19"/>
      <c r="BO15" s="80"/>
      <c r="BP15" s="80"/>
      <c r="BQ15" s="35"/>
      <c r="BR15" s="81"/>
      <c r="BS15" s="78"/>
      <c r="BT15" s="78"/>
      <c r="BU15" s="78"/>
      <c r="BV15" s="78"/>
      <c r="BW15" s="78"/>
      <c r="BX15" s="19"/>
      <c r="BY15" s="19"/>
      <c r="BZ15" s="19"/>
      <c r="CA15" s="19"/>
      <c r="CB15" s="19"/>
      <c r="CC15" s="19"/>
      <c r="CD15" s="19"/>
      <c r="CE15" s="78"/>
      <c r="CF15" s="78"/>
      <c r="CG15" s="78"/>
      <c r="CH15" s="78"/>
      <c r="CI15" s="78"/>
      <c r="CJ15" s="78"/>
      <c r="CK15" s="78"/>
      <c r="CL15" s="18"/>
      <c r="CM15" s="79"/>
    </row>
    <row r="16" spans="1:97" ht="49.5" customHeight="1" x14ac:dyDescent="0.25">
      <c r="B16" s="626"/>
      <c r="C16" s="19"/>
      <c r="D16" s="65"/>
      <c r="E16" s="65"/>
      <c r="F16" s="65"/>
      <c r="G16" s="65"/>
      <c r="H16" s="65"/>
      <c r="I16" s="65"/>
      <c r="J16" s="66"/>
      <c r="K16" s="66"/>
      <c r="L16" s="66"/>
      <c r="M16" s="65"/>
      <c r="N16" s="66"/>
      <c r="O16" s="66"/>
      <c r="P16" s="66"/>
      <c r="Q16" s="66"/>
      <c r="R16" s="66"/>
      <c r="S16" s="66"/>
      <c r="T16" s="67"/>
      <c r="U16" s="67"/>
      <c r="V16" s="67"/>
      <c r="W16" s="67"/>
      <c r="X16" s="67"/>
      <c r="Y16" s="67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68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H16" s="73"/>
      <c r="BI16" s="72"/>
      <c r="BJ16" s="72"/>
      <c r="BK16" s="35"/>
      <c r="BL16" s="35"/>
      <c r="BM16" s="35"/>
      <c r="BN16" s="35"/>
      <c r="BO16" s="35"/>
      <c r="BP16" s="35"/>
      <c r="BQ16" s="35"/>
      <c r="BR16" s="81"/>
      <c r="BS16" s="78"/>
      <c r="BT16" s="78"/>
      <c r="BU16" s="78"/>
      <c r="BV16" s="78"/>
      <c r="BW16" s="19"/>
      <c r="BX16" s="653" t="s">
        <v>109</v>
      </c>
      <c r="BY16" s="574"/>
      <c r="BZ16" s="574"/>
      <c r="CA16" s="574"/>
      <c r="CB16" s="574"/>
      <c r="CC16" s="574"/>
      <c r="CD16" s="574"/>
      <c r="CE16" s="573"/>
      <c r="CF16" s="78"/>
      <c r="CG16" s="78"/>
      <c r="CH16" s="78"/>
      <c r="CI16" s="78"/>
      <c r="CJ16" s="78"/>
      <c r="CK16" s="78"/>
      <c r="CL16" s="18"/>
      <c r="CM16" s="79"/>
    </row>
    <row r="17" spans="1:97" ht="49.5" customHeight="1" x14ac:dyDescent="0.25">
      <c r="B17" s="626"/>
      <c r="C17" s="19"/>
      <c r="D17" s="65"/>
      <c r="E17" s="65"/>
      <c r="F17" s="65"/>
      <c r="G17" s="65"/>
      <c r="H17" s="65"/>
      <c r="I17" s="65"/>
      <c r="J17" s="66"/>
      <c r="K17" s="66"/>
      <c r="L17" s="66"/>
      <c r="M17" s="65"/>
      <c r="N17" s="66"/>
      <c r="O17" s="66"/>
      <c r="P17" s="66"/>
      <c r="Q17" s="66"/>
      <c r="R17" s="66"/>
      <c r="S17" s="66"/>
      <c r="T17" s="67"/>
      <c r="U17" s="67"/>
      <c r="V17" s="67"/>
      <c r="W17" s="67"/>
      <c r="X17" s="67"/>
      <c r="Y17" s="67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68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H17" s="73"/>
      <c r="BI17" s="72"/>
      <c r="BJ17" s="72"/>
      <c r="BK17" s="82"/>
      <c r="BL17" s="35"/>
      <c r="BM17" s="82"/>
      <c r="BN17" s="35"/>
      <c r="BO17" s="35"/>
      <c r="BP17" s="35"/>
      <c r="BQ17" s="68"/>
      <c r="BR17" s="81"/>
      <c r="BS17" s="78"/>
      <c r="BT17" s="78"/>
      <c r="BU17" s="78"/>
      <c r="BV17" s="78"/>
      <c r="BW17" s="78"/>
      <c r="BX17" s="78"/>
      <c r="BY17" s="19"/>
      <c r="BZ17" s="19"/>
      <c r="CA17" s="19"/>
      <c r="CB17" s="19"/>
      <c r="CC17" s="19"/>
      <c r="CD17" s="19"/>
      <c r="CE17" s="19"/>
      <c r="CF17" s="19"/>
      <c r="CG17" s="78"/>
      <c r="CH17" s="78"/>
      <c r="CI17" s="78"/>
      <c r="CJ17" s="78"/>
      <c r="CK17" s="78"/>
      <c r="CL17" s="18"/>
      <c r="CM17" s="79"/>
    </row>
    <row r="18" spans="1:97" ht="49.5" customHeight="1" x14ac:dyDescent="0.25">
      <c r="B18" s="626"/>
      <c r="C18" s="19"/>
      <c r="D18" s="65"/>
      <c r="E18" s="65"/>
      <c r="F18" s="65"/>
      <c r="G18" s="65"/>
      <c r="H18" s="65"/>
      <c r="I18" s="65"/>
      <c r="J18" s="66"/>
      <c r="K18" s="66"/>
      <c r="L18" s="66"/>
      <c r="M18" s="65"/>
      <c r="N18" s="66"/>
      <c r="O18" s="66"/>
      <c r="P18" s="66"/>
      <c r="Q18" s="66"/>
      <c r="R18" s="66"/>
      <c r="S18" s="66"/>
      <c r="T18" s="67"/>
      <c r="U18" s="67"/>
      <c r="V18" s="67"/>
      <c r="W18" s="67"/>
      <c r="X18" s="67"/>
      <c r="Y18" s="67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68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H18" s="73"/>
      <c r="BI18" s="83"/>
      <c r="BJ18" s="83"/>
      <c r="BK18" s="35"/>
      <c r="BL18" s="35"/>
      <c r="BM18" s="35"/>
      <c r="BN18" s="35"/>
      <c r="BO18" s="35"/>
      <c r="BP18" s="35"/>
      <c r="BQ18" s="35"/>
      <c r="BR18" s="81"/>
      <c r="BS18" s="78"/>
      <c r="BT18" s="78"/>
      <c r="BU18" s="78"/>
      <c r="BV18" s="78"/>
      <c r="BW18" s="78"/>
      <c r="BX18" s="78"/>
      <c r="BY18" s="78"/>
      <c r="BZ18" s="657" t="s">
        <v>110</v>
      </c>
      <c r="CA18" s="574"/>
      <c r="CB18" s="574"/>
      <c r="CC18" s="574"/>
      <c r="CD18" s="574"/>
      <c r="CE18" s="573"/>
      <c r="CF18" s="78"/>
      <c r="CG18" s="78"/>
      <c r="CH18" s="78"/>
      <c r="CI18" s="78"/>
      <c r="CJ18" s="78"/>
      <c r="CK18" s="78"/>
      <c r="CL18" s="18"/>
      <c r="CM18" s="79"/>
    </row>
    <row r="19" spans="1:97" ht="49.5" customHeight="1" x14ac:dyDescent="0.25">
      <c r="B19" s="626"/>
      <c r="C19" s="19"/>
      <c r="D19" s="65"/>
      <c r="E19" s="65"/>
      <c r="F19" s="65"/>
      <c r="G19" s="65"/>
      <c r="H19" s="65"/>
      <c r="I19" s="65"/>
      <c r="J19" s="66"/>
      <c r="K19" s="66"/>
      <c r="L19" s="66"/>
      <c r="M19" s="65"/>
      <c r="N19" s="66"/>
      <c r="O19" s="66"/>
      <c r="P19" s="66"/>
      <c r="Q19" s="66"/>
      <c r="R19" s="66"/>
      <c r="S19" s="66"/>
      <c r="T19" s="67"/>
      <c r="U19" s="67"/>
      <c r="V19" s="67"/>
      <c r="W19" s="67"/>
      <c r="X19" s="67"/>
      <c r="Y19" s="67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68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H19" s="73"/>
      <c r="BI19" s="83"/>
      <c r="BJ19" s="83"/>
      <c r="BK19" s="35"/>
      <c r="BL19" s="35"/>
      <c r="BM19" s="35"/>
      <c r="BN19" s="35"/>
      <c r="BO19" s="35"/>
      <c r="BP19" s="35"/>
      <c r="BQ19" s="35"/>
      <c r="BR19" s="81"/>
      <c r="BS19" s="78"/>
      <c r="BT19" s="78"/>
      <c r="BU19" s="78"/>
      <c r="BV19" s="78"/>
      <c r="BW19" s="78"/>
      <c r="BX19" s="78"/>
      <c r="BY19" s="78"/>
      <c r="BZ19" s="78"/>
      <c r="CA19" s="78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21"/>
    </row>
    <row r="20" spans="1:97" ht="49.5" customHeight="1" x14ac:dyDescent="0.25">
      <c r="B20" s="626"/>
      <c r="D20" s="65"/>
      <c r="E20" s="65"/>
      <c r="F20" s="65"/>
      <c r="G20" s="65"/>
      <c r="H20" s="65"/>
      <c r="I20" s="65"/>
      <c r="J20" s="66"/>
      <c r="K20" s="66"/>
      <c r="L20" s="66"/>
      <c r="M20" s="65"/>
      <c r="N20" s="66"/>
      <c r="O20" s="66"/>
      <c r="P20" s="66"/>
      <c r="Q20" s="66"/>
      <c r="R20" s="66"/>
      <c r="S20" s="66"/>
      <c r="T20" s="67"/>
      <c r="U20" s="67"/>
      <c r="V20" s="67"/>
      <c r="W20" s="67"/>
      <c r="X20" s="67"/>
      <c r="Y20" s="67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H20" s="84"/>
      <c r="BI20" s="83"/>
      <c r="BJ20" s="83"/>
      <c r="BK20" s="35"/>
      <c r="BL20" s="35"/>
      <c r="BM20" s="35"/>
      <c r="BN20" s="35"/>
      <c r="BO20" s="35"/>
      <c r="BP20" s="35"/>
      <c r="BQ20" s="35"/>
      <c r="BR20" s="81"/>
      <c r="BS20" s="19"/>
      <c r="BT20" s="19"/>
      <c r="BU20" s="19"/>
      <c r="BV20" s="19"/>
      <c r="BW20" s="78"/>
      <c r="BX20" s="78"/>
      <c r="BY20" s="78"/>
      <c r="BZ20" s="78"/>
      <c r="CA20" s="78"/>
      <c r="CB20" s="78"/>
      <c r="CC20" s="19"/>
      <c r="CD20" s="19"/>
      <c r="CE20" s="19"/>
      <c r="CF20" s="650" t="s">
        <v>111</v>
      </c>
      <c r="CG20" s="574"/>
      <c r="CH20" s="574"/>
      <c r="CI20" s="574"/>
      <c r="CJ20" s="574"/>
      <c r="CK20" s="574"/>
      <c r="CL20" s="574"/>
      <c r="CM20" s="651"/>
    </row>
    <row r="21" spans="1:97" ht="49.5" customHeight="1" x14ac:dyDescent="0.25">
      <c r="B21" s="626"/>
      <c r="D21" s="65"/>
      <c r="E21" s="65"/>
      <c r="F21" s="65"/>
      <c r="G21" s="65"/>
      <c r="H21" s="65"/>
      <c r="I21" s="65"/>
      <c r="J21" s="66"/>
      <c r="K21" s="66"/>
      <c r="L21" s="66"/>
      <c r="M21" s="65"/>
      <c r="N21" s="66"/>
      <c r="O21" s="66"/>
      <c r="P21" s="66"/>
      <c r="Q21" s="66"/>
      <c r="R21" s="66"/>
      <c r="S21" s="66"/>
      <c r="T21" s="67"/>
      <c r="U21" s="67"/>
      <c r="V21" s="67"/>
      <c r="W21" s="67"/>
      <c r="X21" s="67"/>
      <c r="Y21" s="67"/>
      <c r="Z21" s="35"/>
      <c r="AA21" s="35"/>
      <c r="AB21" s="80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H21" s="20"/>
      <c r="BI21" s="19"/>
      <c r="BJ21" s="19"/>
      <c r="BK21" s="35"/>
      <c r="BL21" s="35"/>
      <c r="BM21" s="35"/>
      <c r="BN21" s="35"/>
      <c r="BO21" s="35"/>
      <c r="BP21" s="35"/>
      <c r="BQ21" s="35"/>
      <c r="BR21" s="81"/>
      <c r="BS21" s="78"/>
      <c r="BT21" s="78"/>
      <c r="BU21" s="78"/>
      <c r="BV21" s="78"/>
      <c r="BW21" s="78"/>
      <c r="BX21" s="78"/>
      <c r="BY21" s="78"/>
      <c r="BZ21" s="78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21"/>
    </row>
    <row r="22" spans="1:97" ht="49.5" customHeight="1" x14ac:dyDescent="0.25">
      <c r="B22" s="626"/>
      <c r="D22" s="65"/>
      <c r="E22" s="65"/>
      <c r="F22" s="65"/>
      <c r="G22" s="65"/>
      <c r="H22" s="65"/>
      <c r="I22" s="65"/>
      <c r="J22" s="66"/>
      <c r="K22" s="66"/>
      <c r="L22" s="66"/>
      <c r="M22" s="65"/>
      <c r="N22" s="66"/>
      <c r="O22" s="66"/>
      <c r="P22" s="66"/>
      <c r="Q22" s="66"/>
      <c r="R22" s="66"/>
      <c r="S22" s="66"/>
      <c r="T22" s="67"/>
      <c r="U22" s="67"/>
      <c r="V22" s="67"/>
      <c r="W22" s="67"/>
      <c r="X22" s="67"/>
      <c r="Y22" s="67"/>
      <c r="Z22" s="35"/>
      <c r="AA22" s="85"/>
      <c r="AB22" s="86"/>
      <c r="AC22" s="35"/>
      <c r="AD22" s="35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H22" s="84"/>
      <c r="BI22" s="35"/>
      <c r="BJ22" s="35"/>
      <c r="BK22" s="35"/>
      <c r="BL22" s="35"/>
      <c r="BM22" s="35"/>
      <c r="BN22" s="35"/>
      <c r="BO22" s="35"/>
      <c r="BP22" s="35"/>
      <c r="BQ22" s="35"/>
      <c r="BR22" s="87" t="s">
        <v>112</v>
      </c>
      <c r="BS22" s="19"/>
      <c r="BT22" s="19"/>
      <c r="BU22" s="19"/>
      <c r="BV22" s="19"/>
      <c r="BW22" s="78"/>
      <c r="BX22" s="78"/>
      <c r="BY22" s="78"/>
      <c r="BZ22" s="78"/>
      <c r="CA22" s="644" t="s">
        <v>113</v>
      </c>
      <c r="CB22" s="574"/>
      <c r="CC22" s="574"/>
      <c r="CD22" s="573"/>
      <c r="CE22" s="19"/>
      <c r="CF22" s="19"/>
      <c r="CG22" s="78"/>
      <c r="CH22" s="78"/>
      <c r="CI22" s="78"/>
      <c r="CJ22" s="78"/>
      <c r="CK22" s="78"/>
      <c r="CL22" s="18"/>
      <c r="CM22" s="79"/>
    </row>
    <row r="23" spans="1:97" ht="49.5" customHeight="1" x14ac:dyDescent="0.25">
      <c r="B23" s="626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6"/>
      <c r="O23" s="66"/>
      <c r="P23" s="66"/>
      <c r="Q23" s="66"/>
      <c r="R23" s="67"/>
      <c r="S23" s="67"/>
      <c r="T23" s="67"/>
      <c r="U23" s="67"/>
      <c r="V23" s="67"/>
      <c r="W23" s="67"/>
      <c r="X23" s="67"/>
      <c r="Y23" s="67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H23" s="20"/>
      <c r="BI23" s="19"/>
      <c r="BJ23" s="19"/>
      <c r="BK23" s="35"/>
      <c r="BL23" s="35"/>
      <c r="BM23" s="35"/>
      <c r="BN23" s="35"/>
      <c r="BO23" s="88"/>
      <c r="BP23" s="88"/>
      <c r="BQ23" s="88"/>
      <c r="BR23" s="89"/>
      <c r="BS23" s="78"/>
      <c r="BT23" s="26"/>
      <c r="BU23" s="26"/>
      <c r="BV23" s="19"/>
      <c r="BW23" s="19"/>
      <c r="BX23" s="19"/>
      <c r="BY23" s="78"/>
      <c r="BZ23" s="19"/>
      <c r="CA23" s="19"/>
      <c r="CB23" s="19"/>
      <c r="CC23" s="78"/>
      <c r="CD23" s="78"/>
      <c r="CE23" s="19"/>
      <c r="CF23" s="19"/>
      <c r="CG23" s="19"/>
      <c r="CH23" s="19"/>
      <c r="CI23" s="78"/>
      <c r="CJ23" s="78"/>
      <c r="CK23" s="78"/>
      <c r="CL23" s="18"/>
      <c r="CM23" s="79"/>
    </row>
    <row r="24" spans="1:97" ht="49.5" customHeight="1" x14ac:dyDescent="0.25">
      <c r="B24" s="626"/>
      <c r="D24" s="65"/>
      <c r="E24" s="65"/>
      <c r="F24" s="67"/>
      <c r="G24" s="65"/>
      <c r="H24" s="65"/>
      <c r="I24" s="67"/>
      <c r="J24" s="67"/>
      <c r="K24" s="67"/>
      <c r="L24" s="67"/>
      <c r="M24" s="67"/>
      <c r="N24" s="66"/>
      <c r="O24" s="66"/>
      <c r="P24" s="66"/>
      <c r="Q24" s="66"/>
      <c r="R24" s="67"/>
      <c r="S24" s="67"/>
      <c r="T24" s="67"/>
      <c r="U24" s="67"/>
      <c r="V24" s="67"/>
      <c r="W24" s="67"/>
      <c r="X24" s="67"/>
      <c r="Y24" s="67"/>
      <c r="Z24" s="634"/>
      <c r="AA24" s="610"/>
      <c r="AB24" s="634"/>
      <c r="AC24" s="610"/>
      <c r="AD24" s="68"/>
      <c r="AE24" s="19"/>
      <c r="AF24" s="19"/>
      <c r="AG24" s="19"/>
      <c r="AH24" s="19"/>
      <c r="AI24" s="19"/>
      <c r="AJ24" s="19"/>
      <c r="AK24" s="19"/>
      <c r="AL24" s="19"/>
      <c r="AM24" s="68"/>
      <c r="AN24" s="68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H24" s="84"/>
      <c r="BI24" s="35"/>
      <c r="BJ24" s="35"/>
      <c r="BK24" s="35"/>
      <c r="BL24" s="35"/>
      <c r="BM24" s="35"/>
      <c r="BN24" s="35"/>
      <c r="BO24" s="35"/>
      <c r="BP24" s="35"/>
      <c r="BQ24" s="35"/>
      <c r="BR24" s="89"/>
      <c r="BS24" s="78"/>
      <c r="BT24" s="90" t="s">
        <v>114</v>
      </c>
      <c r="BU24" s="19"/>
      <c r="BV24" s="78"/>
      <c r="BW24" s="78"/>
      <c r="BX24" s="78"/>
      <c r="BY24" s="78"/>
      <c r="BZ24" s="78"/>
      <c r="CA24" s="652" t="s">
        <v>115</v>
      </c>
      <c r="CB24" s="574"/>
      <c r="CC24" s="574"/>
      <c r="CD24" s="573"/>
      <c r="CE24" s="78"/>
      <c r="CF24" s="78"/>
      <c r="CG24" s="78"/>
      <c r="CH24" s="78"/>
      <c r="CI24" s="78"/>
      <c r="CJ24" s="78"/>
      <c r="CK24" s="78"/>
      <c r="CL24" s="18"/>
      <c r="CM24" s="79"/>
    </row>
    <row r="25" spans="1:97" ht="49.5" customHeight="1" x14ac:dyDescent="0.25">
      <c r="B25" s="626"/>
      <c r="D25" s="66"/>
      <c r="E25" s="66"/>
      <c r="F25" s="67"/>
      <c r="G25" s="66"/>
      <c r="H25" s="65"/>
      <c r="I25" s="67"/>
      <c r="J25" s="65"/>
      <c r="K25" s="65"/>
      <c r="L25" s="65"/>
      <c r="M25" s="65"/>
      <c r="N25" s="66"/>
      <c r="O25" s="66"/>
      <c r="P25" s="66"/>
      <c r="Q25" s="66"/>
      <c r="R25" s="66"/>
      <c r="S25" s="66"/>
      <c r="T25" s="67"/>
      <c r="U25" s="67"/>
      <c r="V25" s="67"/>
      <c r="W25" s="66"/>
      <c r="X25" s="67"/>
      <c r="Y25" s="67"/>
      <c r="Z25" s="82"/>
      <c r="AA25" s="35"/>
      <c r="AB25" s="82"/>
      <c r="AC25" s="35"/>
      <c r="AD25" s="82"/>
      <c r="AE25" s="35"/>
      <c r="AF25" s="82"/>
      <c r="AG25" s="82"/>
      <c r="AH25" s="82"/>
      <c r="AI25" s="35"/>
      <c r="AJ25" s="35"/>
      <c r="AK25" s="35"/>
      <c r="AL25" s="82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H25" s="84"/>
      <c r="BI25" s="35"/>
      <c r="BJ25" s="35"/>
      <c r="BK25" s="35"/>
      <c r="BL25" s="35"/>
      <c r="BM25" s="35"/>
      <c r="BN25" s="35"/>
      <c r="BO25" s="35"/>
      <c r="BP25" s="35"/>
      <c r="BQ25" s="35"/>
      <c r="BR25" s="89"/>
      <c r="BS25" s="78"/>
      <c r="BT25" s="78"/>
      <c r="BU25" s="78"/>
      <c r="BV25" s="18"/>
      <c r="BW25" s="19"/>
      <c r="BX25" s="19"/>
      <c r="BY25" s="78"/>
      <c r="BZ25" s="78"/>
      <c r="CA25" s="78"/>
      <c r="CB25" s="78"/>
      <c r="CC25" s="19"/>
      <c r="CD25" s="19"/>
      <c r="CE25" s="19"/>
      <c r="CF25" s="19"/>
      <c r="CG25" s="78"/>
      <c r="CH25" s="78"/>
      <c r="CI25" s="78"/>
      <c r="CJ25" s="78"/>
      <c r="CK25" s="78"/>
      <c r="CL25" s="18"/>
      <c r="CM25" s="79"/>
    </row>
    <row r="26" spans="1:97" ht="49.5" customHeight="1" x14ac:dyDescent="0.25">
      <c r="B26" s="626"/>
      <c r="D26" s="66"/>
      <c r="E26" s="66"/>
      <c r="F26" s="67"/>
      <c r="G26" s="66"/>
      <c r="H26" s="65"/>
      <c r="I26" s="67"/>
      <c r="J26" s="65"/>
      <c r="K26" s="65"/>
      <c r="L26" s="65"/>
      <c r="M26" s="65"/>
      <c r="N26" s="66"/>
      <c r="O26" s="66"/>
      <c r="P26" s="66"/>
      <c r="Q26" s="66"/>
      <c r="R26" s="66"/>
      <c r="S26" s="66"/>
      <c r="T26" s="67"/>
      <c r="U26" s="67"/>
      <c r="V26" s="67"/>
      <c r="W26" s="66"/>
      <c r="X26" s="67"/>
      <c r="Y26" s="67"/>
      <c r="Z26" s="82"/>
      <c r="AA26" s="35"/>
      <c r="AB26" s="82"/>
      <c r="AC26" s="35"/>
      <c r="AD26" s="82"/>
      <c r="AE26" s="35"/>
      <c r="AF26" s="82"/>
      <c r="AG26" s="82"/>
      <c r="AH26" s="82"/>
      <c r="AI26" s="35"/>
      <c r="AJ26" s="68"/>
      <c r="AK26" s="35"/>
      <c r="AL26" s="68"/>
      <c r="AM26" s="19"/>
      <c r="AN26" s="19"/>
      <c r="AO26" s="19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H26" s="84"/>
      <c r="BI26" s="35"/>
      <c r="BJ26" s="35"/>
      <c r="BK26" s="35"/>
      <c r="BL26" s="35"/>
      <c r="BM26" s="35"/>
      <c r="BN26" s="35"/>
      <c r="BO26" s="35"/>
      <c r="BP26" s="35"/>
      <c r="BQ26" s="35"/>
      <c r="BR26" s="89"/>
      <c r="BS26" s="78"/>
      <c r="BT26" s="78"/>
      <c r="BU26" s="78"/>
      <c r="BV26" s="78"/>
      <c r="BW26" s="78"/>
      <c r="BX26" s="78"/>
      <c r="BY26" s="87" t="s">
        <v>116</v>
      </c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18"/>
      <c r="CM26" s="79"/>
    </row>
    <row r="27" spans="1:97" ht="49.5" customHeight="1" x14ac:dyDescent="0.25">
      <c r="B27" s="626"/>
      <c r="D27" s="66"/>
      <c r="E27" s="66"/>
      <c r="F27" s="67"/>
      <c r="G27" s="66"/>
      <c r="H27" s="65"/>
      <c r="I27" s="67"/>
      <c r="J27" s="67"/>
      <c r="K27" s="67"/>
      <c r="L27" s="67"/>
      <c r="M27" s="67"/>
      <c r="N27" s="66"/>
      <c r="O27" s="66"/>
      <c r="P27" s="66"/>
      <c r="Q27" s="66"/>
      <c r="R27" s="67"/>
      <c r="S27" s="67"/>
      <c r="T27" s="67"/>
      <c r="U27" s="67"/>
      <c r="V27" s="67"/>
      <c r="W27" s="67"/>
      <c r="X27" s="67"/>
      <c r="Y27" s="67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H27" s="84"/>
      <c r="BI27" s="35"/>
      <c r="BJ27" s="35"/>
      <c r="BK27" s="35"/>
      <c r="BL27" s="35"/>
      <c r="BM27" s="35"/>
      <c r="BN27" s="35"/>
      <c r="BO27" s="35"/>
      <c r="BP27" s="35"/>
      <c r="BQ27" s="35"/>
      <c r="BR27" s="89"/>
      <c r="BS27" s="78"/>
      <c r="BT27" s="78"/>
      <c r="BU27" s="78"/>
      <c r="BV27" s="78"/>
      <c r="BW27" s="78"/>
      <c r="BX27" s="78"/>
      <c r="BY27" s="78"/>
      <c r="BZ27" s="78"/>
      <c r="CA27" s="19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18"/>
      <c r="CM27" s="79"/>
    </row>
    <row r="28" spans="1:97" ht="49.5" customHeight="1" x14ac:dyDescent="0.25">
      <c r="B28" s="663"/>
      <c r="D28" s="66"/>
      <c r="E28" s="66"/>
      <c r="F28" s="67"/>
      <c r="G28" s="66"/>
      <c r="H28" s="65"/>
      <c r="I28" s="67"/>
      <c r="J28" s="67"/>
      <c r="K28" s="67"/>
      <c r="L28" s="67"/>
      <c r="M28" s="67"/>
      <c r="N28" s="66"/>
      <c r="O28" s="66"/>
      <c r="P28" s="66"/>
      <c r="Q28" s="66"/>
      <c r="R28" s="67"/>
      <c r="S28" s="67"/>
      <c r="T28" s="67"/>
      <c r="U28" s="67"/>
      <c r="V28" s="91" t="s">
        <v>117</v>
      </c>
      <c r="W28" s="67"/>
      <c r="X28" s="635" t="s">
        <v>118</v>
      </c>
      <c r="Y28" s="636"/>
      <c r="Z28" s="35"/>
      <c r="AA28" s="634"/>
      <c r="AB28" s="610"/>
      <c r="AC28" s="68"/>
      <c r="AD28" s="68"/>
      <c r="AE28" s="19"/>
      <c r="AF28" s="19"/>
      <c r="AG28" s="19"/>
      <c r="AH28" s="80"/>
      <c r="AI28" s="80"/>
      <c r="AJ28" s="35"/>
      <c r="AK28" s="82"/>
      <c r="AL28" s="35"/>
      <c r="AM28" s="35"/>
      <c r="AN28" s="35"/>
      <c r="AO28" s="35"/>
      <c r="AP28" s="634"/>
      <c r="AQ28" s="610"/>
      <c r="AR28" s="610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H28" s="92"/>
      <c r="BI28" s="93"/>
      <c r="BJ28" s="93"/>
      <c r="BK28" s="24"/>
      <c r="BL28" s="24"/>
      <c r="BM28" s="24"/>
      <c r="BN28" s="24"/>
      <c r="BO28" s="24"/>
      <c r="BP28" s="24"/>
      <c r="BQ28" s="24"/>
      <c r="BR28" s="89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5" t="s">
        <v>119</v>
      </c>
      <c r="CD28" s="94"/>
      <c r="CE28" s="94"/>
      <c r="CF28" s="94"/>
      <c r="CG28" s="94"/>
      <c r="CH28" s="94"/>
      <c r="CI28" s="94"/>
      <c r="CJ28" s="94"/>
      <c r="CK28" s="94"/>
      <c r="CL28" s="24"/>
      <c r="CM28" s="25"/>
    </row>
    <row r="29" spans="1:97" ht="49.5" customHeight="1" x14ac:dyDescent="0.25">
      <c r="D29" s="66"/>
      <c r="E29" s="66"/>
      <c r="F29" s="67"/>
      <c r="G29" s="66"/>
      <c r="H29" s="66"/>
      <c r="I29" s="67"/>
      <c r="J29" s="67"/>
      <c r="K29" s="67"/>
      <c r="L29" s="67"/>
      <c r="M29" s="67"/>
      <c r="N29" s="96"/>
      <c r="O29" s="96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BN29" s="35"/>
      <c r="BO29" s="35"/>
      <c r="BP29" s="35"/>
      <c r="BQ29" s="35"/>
      <c r="BR29" s="89"/>
      <c r="BS29" s="35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</row>
    <row r="30" spans="1:97" ht="69.75" customHeight="1" x14ac:dyDescent="0.25">
      <c r="A30" s="56"/>
      <c r="B30" s="625" t="s">
        <v>120</v>
      </c>
      <c r="C30" s="57"/>
      <c r="D30" s="59"/>
      <c r="E30" s="59"/>
      <c r="F30" s="57"/>
      <c r="G30" s="59"/>
      <c r="H30" s="59"/>
      <c r="I30" s="57"/>
      <c r="J30" s="57"/>
      <c r="K30" s="57"/>
      <c r="L30" s="57"/>
      <c r="M30" s="57"/>
      <c r="N30" s="97"/>
      <c r="O30" s="9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65" t="s">
        <v>79</v>
      </c>
      <c r="AR30" s="649"/>
      <c r="AS30" s="649"/>
      <c r="AT30" s="649"/>
      <c r="AU30" s="649"/>
      <c r="AV30" s="649"/>
      <c r="AW30" s="649"/>
      <c r="AX30" s="649"/>
      <c r="AY30" s="649"/>
      <c r="AZ30" s="649"/>
      <c r="BA30" s="649"/>
      <c r="BB30" s="649"/>
      <c r="BC30" s="649"/>
      <c r="BD30" s="649"/>
      <c r="BE30" s="649"/>
      <c r="BF30" s="649"/>
      <c r="BG30" s="649"/>
      <c r="BH30" s="649"/>
      <c r="BI30" s="649"/>
      <c r="BJ30" s="649"/>
      <c r="BK30" s="649"/>
      <c r="BL30" s="649"/>
      <c r="BM30" s="649"/>
      <c r="BN30" s="649"/>
      <c r="BO30" s="649"/>
      <c r="BP30" s="649"/>
      <c r="BQ30" s="649"/>
      <c r="BR30" s="639"/>
      <c r="BS30" s="63"/>
      <c r="BT30" s="63"/>
      <c r="BU30" s="57"/>
      <c r="BV30" s="57"/>
      <c r="BW30" s="57"/>
      <c r="BX30" s="57"/>
      <c r="BY30" s="57"/>
      <c r="BZ30" s="57"/>
      <c r="CA30" s="57"/>
      <c r="CB30" s="57"/>
      <c r="CC30" s="57"/>
      <c r="CD30" s="98"/>
      <c r="CE30" s="57"/>
      <c r="CF30" s="57"/>
      <c r="CG30" s="57"/>
      <c r="CH30" s="57"/>
      <c r="CI30" s="57"/>
      <c r="CJ30" s="57"/>
      <c r="CK30" s="64"/>
      <c r="CL30" s="56"/>
      <c r="CM30" s="56"/>
      <c r="CN30" s="56"/>
      <c r="CO30" s="56"/>
      <c r="CP30" s="56"/>
      <c r="CQ30" s="56"/>
      <c r="CR30" s="56"/>
      <c r="CS30" s="56"/>
    </row>
    <row r="31" spans="1:97" ht="49.5" customHeight="1" x14ac:dyDescent="0.25">
      <c r="B31" s="626"/>
      <c r="D31" s="66"/>
      <c r="E31" s="66"/>
      <c r="F31" s="67"/>
      <c r="G31" s="66"/>
      <c r="H31" s="66"/>
      <c r="I31" s="67"/>
      <c r="J31" s="67"/>
      <c r="K31" s="67"/>
      <c r="L31" s="67"/>
      <c r="M31" s="67"/>
      <c r="N31" s="96"/>
      <c r="O31" s="96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20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666" t="s">
        <v>121</v>
      </c>
      <c r="BO31" s="574"/>
      <c r="BP31" s="574"/>
      <c r="BQ31" s="573"/>
      <c r="BR31" s="51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21"/>
    </row>
    <row r="32" spans="1:97" ht="49.5" customHeight="1" x14ac:dyDescent="0.25">
      <c r="B32" s="626"/>
      <c r="D32" s="66"/>
      <c r="E32" s="66"/>
      <c r="F32" s="67"/>
      <c r="G32" s="66"/>
      <c r="H32" s="66"/>
      <c r="I32" s="67"/>
      <c r="J32" s="67"/>
      <c r="K32" s="67"/>
      <c r="L32" s="67"/>
      <c r="M32" s="67"/>
      <c r="N32" s="96"/>
      <c r="O32" s="96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20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51"/>
      <c r="BS32" s="19"/>
      <c r="BT32" s="9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21"/>
    </row>
    <row r="33" spans="2:89" ht="49.5" customHeight="1" x14ac:dyDescent="0.25">
      <c r="B33" s="626"/>
      <c r="D33" s="66"/>
      <c r="E33" s="66"/>
      <c r="F33" s="67"/>
      <c r="G33" s="66"/>
      <c r="H33" s="66"/>
      <c r="I33" s="67"/>
      <c r="J33" s="67"/>
      <c r="K33" s="67"/>
      <c r="L33" s="67"/>
      <c r="M33" s="67"/>
      <c r="N33" s="96"/>
      <c r="O33" s="96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20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35"/>
      <c r="BH33" s="35"/>
      <c r="BI33" s="35"/>
      <c r="BJ33" s="35"/>
      <c r="BK33" s="19"/>
      <c r="BL33" s="19"/>
      <c r="BM33" s="19"/>
      <c r="BN33" s="19"/>
      <c r="BO33" s="19"/>
      <c r="BP33" s="76" t="s">
        <v>105</v>
      </c>
      <c r="BQ33" s="76" t="s">
        <v>106</v>
      </c>
      <c r="BR33" s="51"/>
      <c r="BS33" s="19"/>
      <c r="BT33" s="77" t="s">
        <v>107</v>
      </c>
      <c r="BU33" s="656" t="s">
        <v>108</v>
      </c>
      <c r="BV33" s="573"/>
      <c r="BW33" s="19"/>
      <c r="BX33" s="19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18"/>
      <c r="CK33" s="79"/>
    </row>
    <row r="34" spans="2:89" ht="49.5" customHeight="1" x14ac:dyDescent="0.25">
      <c r="B34" s="626"/>
      <c r="D34" s="66"/>
      <c r="E34" s="66"/>
      <c r="F34" s="67"/>
      <c r="G34" s="66"/>
      <c r="H34" s="66"/>
      <c r="I34" s="67"/>
      <c r="J34" s="67"/>
      <c r="K34" s="67"/>
      <c r="L34" s="67"/>
      <c r="M34" s="67"/>
      <c r="N34" s="96"/>
      <c r="O34" s="96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20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78"/>
      <c r="BQ34" s="78"/>
      <c r="BR34" s="100"/>
      <c r="BS34" s="78"/>
      <c r="BT34" s="78"/>
      <c r="BU34" s="78"/>
      <c r="BV34" s="19"/>
      <c r="BW34" s="19"/>
      <c r="BX34" s="19"/>
      <c r="BY34" s="19"/>
      <c r="BZ34" s="19"/>
      <c r="CA34" s="19"/>
      <c r="CB34" s="19"/>
      <c r="CC34" s="78"/>
      <c r="CD34" s="78"/>
      <c r="CE34" s="78"/>
      <c r="CF34" s="78"/>
      <c r="CG34" s="78"/>
      <c r="CH34" s="78"/>
      <c r="CI34" s="78"/>
      <c r="CJ34" s="18"/>
      <c r="CK34" s="79"/>
    </row>
    <row r="35" spans="2:89" ht="49.5" customHeight="1" x14ac:dyDescent="0.25">
      <c r="B35" s="626"/>
      <c r="D35" s="66"/>
      <c r="E35" s="66"/>
      <c r="F35" s="67"/>
      <c r="G35" s="66"/>
      <c r="H35" s="66"/>
      <c r="I35" s="67"/>
      <c r="J35" s="67"/>
      <c r="K35" s="67"/>
      <c r="L35" s="67"/>
      <c r="M35" s="67"/>
      <c r="N35" s="96"/>
      <c r="O35" s="96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20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35"/>
      <c r="BH35" s="35"/>
      <c r="BI35" s="35"/>
      <c r="BJ35" s="35"/>
      <c r="BK35" s="19"/>
      <c r="BL35" s="19"/>
      <c r="BM35" s="19"/>
      <c r="BN35" s="19"/>
      <c r="BO35" s="19"/>
      <c r="BP35" s="78"/>
      <c r="BQ35" s="78"/>
      <c r="BR35" s="100"/>
      <c r="BS35" s="78"/>
      <c r="BT35" s="78"/>
      <c r="BU35" s="19"/>
      <c r="BV35" s="653" t="s">
        <v>109</v>
      </c>
      <c r="BW35" s="574"/>
      <c r="BX35" s="574"/>
      <c r="BY35" s="574"/>
      <c r="BZ35" s="574"/>
      <c r="CA35" s="574"/>
      <c r="CB35" s="574"/>
      <c r="CC35" s="573"/>
      <c r="CD35" s="78"/>
      <c r="CE35" s="78"/>
      <c r="CF35" s="78"/>
      <c r="CG35" s="78"/>
      <c r="CH35" s="78"/>
      <c r="CI35" s="78"/>
      <c r="CJ35" s="18"/>
      <c r="CK35" s="79"/>
    </row>
    <row r="36" spans="2:89" ht="49.5" customHeight="1" x14ac:dyDescent="0.25">
      <c r="B36" s="626"/>
      <c r="D36" s="66"/>
      <c r="E36" s="66"/>
      <c r="F36" s="67"/>
      <c r="G36" s="66"/>
      <c r="H36" s="66"/>
      <c r="I36" s="67"/>
      <c r="J36" s="67"/>
      <c r="K36" s="67"/>
      <c r="L36" s="67"/>
      <c r="M36" s="67"/>
      <c r="N36" s="96"/>
      <c r="O36" s="96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20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35"/>
      <c r="BK36" s="19"/>
      <c r="BL36" s="19"/>
      <c r="BM36" s="19"/>
      <c r="BN36" s="19"/>
      <c r="BO36" s="19"/>
      <c r="BP36" s="78"/>
      <c r="BQ36" s="78"/>
      <c r="BR36" s="100"/>
      <c r="BS36" s="78"/>
      <c r="BT36" s="78"/>
      <c r="BU36" s="78"/>
      <c r="BV36" s="78"/>
      <c r="BW36" s="19"/>
      <c r="BX36" s="19"/>
      <c r="BY36" s="19"/>
      <c r="BZ36" s="19"/>
      <c r="CA36" s="19"/>
      <c r="CB36" s="19"/>
      <c r="CC36" s="19"/>
      <c r="CD36" s="19"/>
      <c r="CE36" s="78"/>
      <c r="CF36" s="78"/>
      <c r="CG36" s="78"/>
      <c r="CH36" s="78"/>
      <c r="CI36" s="78"/>
      <c r="CJ36" s="18"/>
      <c r="CK36" s="79"/>
    </row>
    <row r="37" spans="2:89" ht="49.5" customHeight="1" x14ac:dyDescent="0.25">
      <c r="B37" s="626"/>
      <c r="D37" s="66"/>
      <c r="E37" s="66"/>
      <c r="F37" s="67"/>
      <c r="G37" s="66"/>
      <c r="H37" s="66"/>
      <c r="I37" s="67"/>
      <c r="J37" s="67"/>
      <c r="K37" s="67"/>
      <c r="L37" s="67"/>
      <c r="M37" s="67"/>
      <c r="N37" s="96"/>
      <c r="O37" s="96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20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35"/>
      <c r="BH37" s="35"/>
      <c r="BI37" s="35"/>
      <c r="BJ37" s="35"/>
      <c r="BK37" s="19"/>
      <c r="BL37" s="19"/>
      <c r="BM37" s="19"/>
      <c r="BN37" s="19"/>
      <c r="BO37" s="19"/>
      <c r="BP37" s="78"/>
      <c r="BQ37" s="78"/>
      <c r="BR37" s="100"/>
      <c r="BS37" s="78"/>
      <c r="BT37" s="78"/>
      <c r="BU37" s="78"/>
      <c r="BV37" s="78"/>
      <c r="BW37" s="78"/>
      <c r="BX37" s="657" t="s">
        <v>110</v>
      </c>
      <c r="BY37" s="574"/>
      <c r="BZ37" s="574"/>
      <c r="CA37" s="574"/>
      <c r="CB37" s="574"/>
      <c r="CC37" s="573"/>
      <c r="CD37" s="78"/>
      <c r="CE37" s="78"/>
      <c r="CF37" s="78"/>
      <c r="CG37" s="78"/>
      <c r="CH37" s="78"/>
      <c r="CI37" s="78"/>
      <c r="CJ37" s="18"/>
      <c r="CK37" s="79"/>
    </row>
    <row r="38" spans="2:89" ht="49.5" customHeight="1" x14ac:dyDescent="0.25">
      <c r="B38" s="626"/>
      <c r="D38" s="66"/>
      <c r="E38" s="66"/>
      <c r="F38" s="67"/>
      <c r="G38" s="66"/>
      <c r="H38" s="66"/>
      <c r="I38" s="67"/>
      <c r="J38" s="67"/>
      <c r="K38" s="67"/>
      <c r="L38" s="67"/>
      <c r="M38" s="67"/>
      <c r="N38" s="96"/>
      <c r="O38" s="96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20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35"/>
      <c r="BH38" s="35"/>
      <c r="BI38" s="35"/>
      <c r="BJ38" s="35"/>
      <c r="BK38" s="19"/>
      <c r="BL38" s="19"/>
      <c r="BM38" s="19"/>
      <c r="BN38" s="19"/>
      <c r="BO38" s="19"/>
      <c r="BP38" s="78"/>
      <c r="BQ38" s="78"/>
      <c r="BR38" s="100"/>
      <c r="BS38" s="78"/>
      <c r="BT38" s="78"/>
      <c r="BU38" s="78"/>
      <c r="BV38" s="78"/>
      <c r="BW38" s="78"/>
      <c r="BX38" s="78"/>
      <c r="BY38" s="78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21"/>
    </row>
    <row r="39" spans="2:89" ht="49.5" customHeight="1" x14ac:dyDescent="0.25">
      <c r="B39" s="626"/>
      <c r="D39" s="66"/>
      <c r="E39" s="66"/>
      <c r="F39" s="67"/>
      <c r="G39" s="66"/>
      <c r="H39" s="66"/>
      <c r="I39" s="67"/>
      <c r="J39" s="67"/>
      <c r="K39" s="67"/>
      <c r="L39" s="67"/>
      <c r="M39" s="67"/>
      <c r="N39" s="96"/>
      <c r="O39" s="96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20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35"/>
      <c r="BH39" s="35"/>
      <c r="BI39" s="35"/>
      <c r="BJ39" s="35"/>
      <c r="BK39" s="19"/>
      <c r="BL39" s="19"/>
      <c r="BM39" s="19"/>
      <c r="BN39" s="19"/>
      <c r="BO39" s="19"/>
      <c r="BP39" s="78"/>
      <c r="BQ39" s="19"/>
      <c r="BR39" s="51"/>
      <c r="BS39" s="19"/>
      <c r="BT39" s="19"/>
      <c r="BU39" s="78"/>
      <c r="BV39" s="78"/>
      <c r="BW39" s="78"/>
      <c r="BX39" s="78"/>
      <c r="BY39" s="78"/>
      <c r="BZ39" s="78"/>
      <c r="CA39" s="19"/>
      <c r="CB39" s="19"/>
      <c r="CC39" s="19"/>
      <c r="CD39" s="650" t="s">
        <v>111</v>
      </c>
      <c r="CE39" s="574"/>
      <c r="CF39" s="574"/>
      <c r="CG39" s="574"/>
      <c r="CH39" s="574"/>
      <c r="CI39" s="574"/>
      <c r="CJ39" s="574"/>
      <c r="CK39" s="651"/>
    </row>
    <row r="40" spans="2:89" ht="49.5" customHeight="1" x14ac:dyDescent="0.25">
      <c r="B40" s="626"/>
      <c r="D40" s="66"/>
      <c r="E40" s="66"/>
      <c r="F40" s="67"/>
      <c r="G40" s="66"/>
      <c r="H40" s="66"/>
      <c r="I40" s="67"/>
      <c r="J40" s="67"/>
      <c r="K40" s="67"/>
      <c r="L40" s="67"/>
      <c r="M40" s="67"/>
      <c r="N40" s="96"/>
      <c r="O40" s="96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20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35"/>
      <c r="BH40" s="35"/>
      <c r="BI40" s="35"/>
      <c r="BJ40" s="35"/>
      <c r="BK40" s="19"/>
      <c r="BL40" s="19"/>
      <c r="BM40" s="19"/>
      <c r="BN40" s="19"/>
      <c r="BO40" s="19"/>
      <c r="BP40" s="78"/>
      <c r="BQ40" s="78"/>
      <c r="BR40" s="100"/>
      <c r="BS40" s="78"/>
      <c r="BT40" s="78"/>
      <c r="BU40" s="78"/>
      <c r="BV40" s="78"/>
      <c r="BW40" s="78"/>
      <c r="BX40" s="78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21"/>
    </row>
    <row r="41" spans="2:89" ht="49.5" customHeight="1" x14ac:dyDescent="0.25">
      <c r="B41" s="626"/>
      <c r="D41" s="66"/>
      <c r="E41" s="66"/>
      <c r="F41" s="67"/>
      <c r="G41" s="66"/>
      <c r="H41" s="66"/>
      <c r="I41" s="67"/>
      <c r="J41" s="67"/>
      <c r="K41" s="67"/>
      <c r="L41" s="67"/>
      <c r="M41" s="67"/>
      <c r="N41" s="96"/>
      <c r="O41" s="96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20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01" t="s">
        <v>122</v>
      </c>
      <c r="BH41" s="35"/>
      <c r="BI41" s="101" t="s">
        <v>122</v>
      </c>
      <c r="BJ41" s="35"/>
      <c r="BK41" s="19"/>
      <c r="BL41" s="19"/>
      <c r="BM41" s="19"/>
      <c r="BN41" s="19"/>
      <c r="BO41" s="19"/>
      <c r="BP41" s="644" t="s">
        <v>112</v>
      </c>
      <c r="BQ41" s="574"/>
      <c r="BR41" s="574"/>
      <c r="BS41" s="573"/>
      <c r="BT41" s="19"/>
      <c r="BU41" s="78"/>
      <c r="BV41" s="78"/>
      <c r="BW41" s="78"/>
      <c r="BX41" s="78"/>
      <c r="BY41" s="644" t="s">
        <v>113</v>
      </c>
      <c r="BZ41" s="574"/>
      <c r="CA41" s="574"/>
      <c r="CB41" s="573"/>
      <c r="CC41" s="19"/>
      <c r="CD41" s="19"/>
      <c r="CE41" s="78"/>
      <c r="CF41" s="78"/>
      <c r="CG41" s="78"/>
      <c r="CH41" s="78"/>
      <c r="CI41" s="78"/>
      <c r="CJ41" s="18"/>
      <c r="CK41" s="79"/>
    </row>
    <row r="42" spans="2:89" ht="49.5" customHeight="1" x14ac:dyDescent="0.25">
      <c r="B42" s="626"/>
      <c r="D42" s="66"/>
      <c r="E42" s="66"/>
      <c r="F42" s="67"/>
      <c r="G42" s="66"/>
      <c r="H42" s="66"/>
      <c r="I42" s="67"/>
      <c r="J42" s="67"/>
      <c r="K42" s="67"/>
      <c r="L42" s="67"/>
      <c r="M42" s="67"/>
      <c r="N42" s="96"/>
      <c r="O42" s="96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20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35"/>
      <c r="BH42" s="35"/>
      <c r="BI42" s="35"/>
      <c r="BJ42" s="35"/>
      <c r="BK42" s="19"/>
      <c r="BL42" s="19"/>
      <c r="BM42" s="19"/>
      <c r="BN42" s="19"/>
      <c r="BO42" s="19"/>
      <c r="BP42" s="78"/>
      <c r="BQ42" s="78"/>
      <c r="BR42" s="100"/>
      <c r="BS42" s="19"/>
      <c r="BT42" s="19"/>
      <c r="BU42" s="19"/>
      <c r="BV42" s="19"/>
      <c r="BW42" s="78"/>
      <c r="BX42" s="19"/>
      <c r="BY42" s="19"/>
      <c r="BZ42" s="19"/>
      <c r="CA42" s="78"/>
      <c r="CB42" s="78"/>
      <c r="CC42" s="19"/>
      <c r="CD42" s="19"/>
      <c r="CE42" s="19"/>
      <c r="CF42" s="19"/>
      <c r="CG42" s="78"/>
      <c r="CH42" s="78"/>
      <c r="CI42" s="78"/>
      <c r="CJ42" s="18"/>
      <c r="CK42" s="79"/>
    </row>
    <row r="43" spans="2:89" ht="49.5" customHeight="1" x14ac:dyDescent="0.25">
      <c r="B43" s="626"/>
      <c r="D43" s="66"/>
      <c r="E43" s="66"/>
      <c r="F43" s="67"/>
      <c r="G43" s="66"/>
      <c r="H43" s="66"/>
      <c r="I43" s="67"/>
      <c r="J43" s="67"/>
      <c r="K43" s="67"/>
      <c r="L43" s="67"/>
      <c r="M43" s="67"/>
      <c r="N43" s="96"/>
      <c r="O43" s="96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20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637" t="s">
        <v>123</v>
      </c>
      <c r="BH43" s="574"/>
      <c r="BI43" s="574"/>
      <c r="BJ43" s="573"/>
      <c r="BK43" s="19"/>
      <c r="BL43" s="19"/>
      <c r="BM43" s="19"/>
      <c r="BN43" s="19"/>
      <c r="BO43" s="19"/>
      <c r="BP43" s="78"/>
      <c r="BQ43" s="78"/>
      <c r="BR43" s="652" t="s">
        <v>114</v>
      </c>
      <c r="BS43" s="573"/>
      <c r="BT43" s="78"/>
      <c r="BU43" s="78"/>
      <c r="BV43" s="78"/>
      <c r="BW43" s="78"/>
      <c r="BX43" s="78"/>
      <c r="BY43" s="652" t="s">
        <v>115</v>
      </c>
      <c r="BZ43" s="574"/>
      <c r="CA43" s="574"/>
      <c r="CB43" s="573"/>
      <c r="CC43" s="78"/>
      <c r="CD43" s="78"/>
      <c r="CE43" s="78"/>
      <c r="CF43" s="78"/>
      <c r="CG43" s="78"/>
      <c r="CH43" s="78"/>
      <c r="CI43" s="78"/>
      <c r="CJ43" s="18"/>
      <c r="CK43" s="79"/>
    </row>
    <row r="44" spans="2:89" ht="49.5" customHeight="1" x14ac:dyDescent="0.25">
      <c r="B44" s="626"/>
      <c r="D44" s="66"/>
      <c r="E44" s="66"/>
      <c r="F44" s="67"/>
      <c r="G44" s="66"/>
      <c r="H44" s="66"/>
      <c r="I44" s="67"/>
      <c r="J44" s="67"/>
      <c r="K44" s="67"/>
      <c r="L44" s="67"/>
      <c r="M44" s="67"/>
      <c r="N44" s="96"/>
      <c r="O44" s="96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20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35"/>
      <c r="BH44" s="35"/>
      <c r="BI44" s="35"/>
      <c r="BJ44" s="35"/>
      <c r="BK44" s="19"/>
      <c r="BL44" s="19"/>
      <c r="BM44" s="19"/>
      <c r="BN44" s="19"/>
      <c r="BO44" s="19"/>
      <c r="BP44" s="78"/>
      <c r="BQ44" s="78"/>
      <c r="BR44" s="100"/>
      <c r="BS44" s="78"/>
      <c r="BT44" s="18"/>
      <c r="BU44" s="19"/>
      <c r="BV44" s="19"/>
      <c r="BW44" s="78"/>
      <c r="BX44" s="78"/>
      <c r="BY44" s="78"/>
      <c r="BZ44" s="78"/>
      <c r="CA44" s="19"/>
      <c r="CB44" s="19"/>
      <c r="CC44" s="19"/>
      <c r="CD44" s="19"/>
      <c r="CE44" s="78"/>
      <c r="CF44" s="78"/>
      <c r="CG44" s="78"/>
      <c r="CH44" s="78"/>
      <c r="CI44" s="78"/>
      <c r="CJ44" s="18"/>
      <c r="CK44" s="79"/>
    </row>
    <row r="45" spans="2:89" ht="49.5" customHeight="1" x14ac:dyDescent="0.25">
      <c r="B45" s="626"/>
      <c r="D45" s="66"/>
      <c r="E45" s="66"/>
      <c r="F45" s="67"/>
      <c r="G45" s="66"/>
      <c r="H45" s="66"/>
      <c r="I45" s="67"/>
      <c r="J45" s="67"/>
      <c r="K45" s="67"/>
      <c r="L45" s="67"/>
      <c r="M45" s="67"/>
      <c r="N45" s="96"/>
      <c r="O45" s="96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35"/>
      <c r="AA45" s="35"/>
      <c r="AB45" s="35"/>
      <c r="AC45" s="35"/>
      <c r="AD45" s="35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84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19"/>
      <c r="BL45" s="19"/>
      <c r="BM45" s="19"/>
      <c r="BN45" s="19"/>
      <c r="BO45" s="19"/>
      <c r="BP45" s="78"/>
      <c r="BQ45" s="78"/>
      <c r="BR45" s="100"/>
      <c r="BS45" s="78"/>
      <c r="BT45" s="78"/>
      <c r="BU45" s="78"/>
      <c r="BV45" s="78"/>
      <c r="BW45" s="87" t="s">
        <v>116</v>
      </c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18"/>
      <c r="CK45" s="79"/>
    </row>
    <row r="46" spans="2:89" ht="49.5" customHeight="1" x14ac:dyDescent="0.25">
      <c r="B46" s="626"/>
      <c r="D46" s="66"/>
      <c r="E46" s="66"/>
      <c r="F46" s="67"/>
      <c r="G46" s="66"/>
      <c r="H46" s="66"/>
      <c r="I46" s="67"/>
      <c r="J46" s="67"/>
      <c r="K46" s="67"/>
      <c r="L46" s="67"/>
      <c r="M46" s="67"/>
      <c r="N46" s="96"/>
      <c r="O46" s="96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84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19"/>
      <c r="BL46" s="19"/>
      <c r="BM46" s="19"/>
      <c r="BN46" s="19"/>
      <c r="BO46" s="19"/>
      <c r="BP46" s="78"/>
      <c r="BQ46" s="78"/>
      <c r="BR46" s="100"/>
      <c r="BS46" s="78"/>
      <c r="BT46" s="78"/>
      <c r="BU46" s="78"/>
      <c r="BV46" s="78"/>
      <c r="BW46" s="78"/>
      <c r="BX46" s="78"/>
      <c r="BY46" s="19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18"/>
      <c r="CK46" s="79"/>
    </row>
    <row r="47" spans="2:89" ht="49.5" customHeight="1" x14ac:dyDescent="0.25">
      <c r="B47" s="663"/>
      <c r="D47" s="66"/>
      <c r="E47" s="66"/>
      <c r="F47" s="67"/>
      <c r="G47" s="66"/>
      <c r="H47" s="66"/>
      <c r="I47" s="67"/>
      <c r="J47" s="67"/>
      <c r="K47" s="67"/>
      <c r="L47" s="67"/>
      <c r="M47" s="67"/>
      <c r="N47" s="96"/>
      <c r="O47" s="96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35"/>
      <c r="AA47" s="634"/>
      <c r="AB47" s="610"/>
      <c r="AC47" s="68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92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24"/>
      <c r="BH47" s="24"/>
      <c r="BI47" s="24"/>
      <c r="BJ47" s="24"/>
      <c r="BK47" s="24"/>
      <c r="BL47" s="24"/>
      <c r="BM47" s="24"/>
      <c r="BN47" s="24"/>
      <c r="BO47" s="24"/>
      <c r="BP47" s="94"/>
      <c r="BQ47" s="94"/>
      <c r="BR47" s="102"/>
      <c r="BS47" s="94"/>
      <c r="BT47" s="94"/>
      <c r="BU47" s="94"/>
      <c r="BV47" s="94"/>
      <c r="BW47" s="94"/>
      <c r="BX47" s="94"/>
      <c r="BY47" s="94"/>
      <c r="BZ47" s="94"/>
      <c r="CA47" s="95" t="s">
        <v>119</v>
      </c>
      <c r="CB47" s="94"/>
      <c r="CC47" s="94"/>
      <c r="CD47" s="94"/>
      <c r="CE47" s="94"/>
      <c r="CF47" s="94"/>
      <c r="CG47" s="94"/>
      <c r="CH47" s="94"/>
      <c r="CI47" s="94"/>
      <c r="CJ47" s="24"/>
      <c r="CK47" s="25"/>
    </row>
    <row r="48" spans="2:89" ht="49.5" customHeight="1" x14ac:dyDescent="0.25">
      <c r="D48" s="49"/>
      <c r="E48" s="49"/>
      <c r="G48" s="49"/>
      <c r="H48" s="49"/>
      <c r="N48" s="13"/>
      <c r="O48" s="13"/>
      <c r="P48" s="13"/>
      <c r="Q48" s="13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P48" s="19"/>
      <c r="BQ48" s="19"/>
      <c r="BR48" s="51"/>
    </row>
    <row r="49" spans="1:97" ht="69.75" customHeight="1" x14ac:dyDescent="0.25">
      <c r="A49" s="56"/>
      <c r="B49" s="623" t="s">
        <v>124</v>
      </c>
      <c r="C49" s="56"/>
      <c r="D49" s="103"/>
      <c r="E49" s="103"/>
      <c r="F49" s="56"/>
      <c r="G49" s="103"/>
      <c r="H49" s="103"/>
      <c r="I49" s="56"/>
      <c r="J49" s="56"/>
      <c r="K49" s="56"/>
      <c r="L49" s="56"/>
      <c r="M49" s="56"/>
      <c r="N49" s="104"/>
      <c r="O49" s="104"/>
      <c r="P49" s="104"/>
      <c r="Q49" s="104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664" t="s">
        <v>78</v>
      </c>
      <c r="AM49" s="649"/>
      <c r="AN49" s="649"/>
      <c r="AO49" s="649"/>
      <c r="AP49" s="649"/>
      <c r="AQ49" s="649"/>
      <c r="AR49" s="649"/>
      <c r="AS49" s="649"/>
      <c r="AT49" s="649"/>
      <c r="AU49" s="649"/>
      <c r="AV49" s="649"/>
      <c r="AW49" s="649"/>
      <c r="AX49" s="649"/>
      <c r="AY49" s="649"/>
      <c r="AZ49" s="649"/>
      <c r="BA49" s="649"/>
      <c r="BB49" s="649"/>
      <c r="BC49" s="649"/>
      <c r="BD49" s="649"/>
      <c r="BE49" s="649"/>
      <c r="BF49" s="649"/>
      <c r="BG49" s="649"/>
      <c r="BH49" s="649"/>
      <c r="BI49" s="649"/>
      <c r="BJ49" s="649"/>
      <c r="BK49" s="649"/>
      <c r="BL49" s="649"/>
      <c r="BM49" s="639"/>
      <c r="BN49" s="57"/>
      <c r="BO49" s="57"/>
      <c r="BP49" s="57"/>
      <c r="BQ49" s="57"/>
      <c r="BR49" s="105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64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</row>
    <row r="50" spans="1:97" ht="49.5" customHeight="1" x14ac:dyDescent="0.25">
      <c r="B50" s="624"/>
      <c r="D50" s="49"/>
      <c r="E50" s="49"/>
      <c r="G50" s="49"/>
      <c r="H50" s="49"/>
      <c r="N50" s="13"/>
      <c r="O50" s="13"/>
      <c r="P50" s="13"/>
      <c r="Q50" s="13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0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51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06"/>
    </row>
    <row r="51" spans="1:97" ht="49.5" customHeight="1" x14ac:dyDescent="0.25">
      <c r="B51" s="624"/>
      <c r="D51" s="49"/>
      <c r="E51" s="49"/>
      <c r="G51" s="49"/>
      <c r="H51" s="49"/>
      <c r="N51" s="13"/>
      <c r="O51" s="13"/>
      <c r="P51" s="13"/>
      <c r="Q51" s="13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0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76" t="s">
        <v>105</v>
      </c>
      <c r="BM51" s="76" t="s">
        <v>106</v>
      </c>
      <c r="BN51" s="19"/>
      <c r="BO51" s="19"/>
      <c r="BP51" s="77" t="s">
        <v>107</v>
      </c>
      <c r="BQ51" s="656" t="s">
        <v>108</v>
      </c>
      <c r="BR51" s="573"/>
      <c r="BS51" s="19"/>
      <c r="BT51" s="19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18"/>
      <c r="CG51" s="79"/>
    </row>
    <row r="52" spans="1:97" ht="49.5" customHeight="1" x14ac:dyDescent="0.25">
      <c r="B52" s="624"/>
      <c r="D52" s="49"/>
      <c r="E52" s="49"/>
      <c r="G52" s="49"/>
      <c r="H52" s="49"/>
      <c r="N52" s="13"/>
      <c r="O52" s="13"/>
      <c r="P52" s="13"/>
      <c r="Q52" s="13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0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35"/>
      <c r="BF52" s="35"/>
      <c r="BG52" s="35"/>
      <c r="BH52" s="35"/>
      <c r="BI52" s="35"/>
      <c r="BJ52" s="35"/>
      <c r="BK52" s="35"/>
      <c r="BL52" s="78"/>
      <c r="BM52" s="78"/>
      <c r="BN52" s="78"/>
      <c r="BO52" s="78"/>
      <c r="BP52" s="78"/>
      <c r="BQ52" s="78"/>
      <c r="BR52" s="51"/>
      <c r="BS52" s="19"/>
      <c r="BT52" s="19"/>
      <c r="BU52" s="19"/>
      <c r="BV52" s="19"/>
      <c r="BW52" s="19"/>
      <c r="BX52" s="19"/>
      <c r="BY52" s="78"/>
      <c r="BZ52" s="78"/>
      <c r="CA52" s="78"/>
      <c r="CB52" s="78"/>
      <c r="CC52" s="78"/>
      <c r="CD52" s="78"/>
      <c r="CE52" s="78"/>
      <c r="CF52" s="18"/>
      <c r="CG52" s="79"/>
    </row>
    <row r="53" spans="1:97" ht="49.5" customHeight="1" x14ac:dyDescent="0.25">
      <c r="B53" s="624"/>
      <c r="D53" s="49"/>
      <c r="E53" s="49"/>
      <c r="G53" s="49"/>
      <c r="H53" s="49"/>
      <c r="N53" s="13"/>
      <c r="O53" s="13"/>
      <c r="P53" s="13"/>
      <c r="Q53" s="13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0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637" t="s">
        <v>123</v>
      </c>
      <c r="BF53" s="574"/>
      <c r="BG53" s="574"/>
      <c r="BH53" s="573"/>
      <c r="BI53" s="107"/>
      <c r="BJ53" s="107"/>
      <c r="BK53" s="35"/>
      <c r="BL53" s="78"/>
      <c r="BM53" s="78"/>
      <c r="BN53" s="78"/>
      <c r="BO53" s="78"/>
      <c r="BP53" s="78"/>
      <c r="BQ53" s="19"/>
      <c r="BR53" s="653" t="s">
        <v>109</v>
      </c>
      <c r="BS53" s="574"/>
      <c r="BT53" s="574"/>
      <c r="BU53" s="574"/>
      <c r="BV53" s="574"/>
      <c r="BW53" s="574"/>
      <c r="BX53" s="574"/>
      <c r="BY53" s="573"/>
      <c r="BZ53" s="78"/>
      <c r="CA53" s="78"/>
      <c r="CB53" s="78"/>
      <c r="CC53" s="78"/>
      <c r="CD53" s="78"/>
      <c r="CE53" s="78"/>
      <c r="CF53" s="18"/>
      <c r="CG53" s="79"/>
    </row>
    <row r="54" spans="1:97" ht="49.5" customHeight="1" x14ac:dyDescent="0.25">
      <c r="B54" s="624"/>
      <c r="D54" s="49"/>
      <c r="E54" s="49"/>
      <c r="G54" s="49"/>
      <c r="H54" s="49"/>
      <c r="N54" s="13"/>
      <c r="O54" s="13"/>
      <c r="P54" s="13"/>
      <c r="Q54" s="13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0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35"/>
      <c r="BF54" s="35"/>
      <c r="BG54" s="35"/>
      <c r="BH54" s="35"/>
      <c r="BI54" s="35"/>
      <c r="BJ54" s="35"/>
      <c r="BK54" s="35"/>
      <c r="BL54" s="78"/>
      <c r="BM54" s="78"/>
      <c r="BN54" s="78"/>
      <c r="BO54" s="78"/>
      <c r="BP54" s="78"/>
      <c r="BQ54" s="78"/>
      <c r="BR54" s="100"/>
      <c r="BS54" s="19"/>
      <c r="BT54" s="19"/>
      <c r="BU54" s="19"/>
      <c r="BV54" s="19"/>
      <c r="BW54" s="19"/>
      <c r="BX54" s="19"/>
      <c r="BY54" s="19"/>
      <c r="BZ54" s="19"/>
      <c r="CA54" s="78"/>
      <c r="CB54" s="78"/>
      <c r="CC54" s="78"/>
      <c r="CD54" s="78"/>
      <c r="CE54" s="78"/>
      <c r="CF54" s="18"/>
      <c r="CG54" s="79"/>
    </row>
    <row r="55" spans="1:97" ht="49.5" customHeight="1" x14ac:dyDescent="0.25">
      <c r="B55" s="624"/>
      <c r="D55" s="49"/>
      <c r="E55" s="49"/>
      <c r="G55" s="49"/>
      <c r="H55" s="49"/>
      <c r="N55" s="13"/>
      <c r="O55" s="13"/>
      <c r="P55" s="13"/>
      <c r="Q55" s="13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0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01" t="s">
        <v>122</v>
      </c>
      <c r="BF55" s="35"/>
      <c r="BG55" s="101" t="s">
        <v>122</v>
      </c>
      <c r="BH55" s="35"/>
      <c r="BI55" s="35"/>
      <c r="BJ55" s="35"/>
      <c r="BK55" s="68"/>
      <c r="BL55" s="78"/>
      <c r="BM55" s="78"/>
      <c r="BN55" s="78"/>
      <c r="BO55" s="78"/>
      <c r="BP55" s="78"/>
      <c r="BQ55" s="78"/>
      <c r="BR55" s="100"/>
      <c r="BS55" s="78"/>
      <c r="BT55" s="657" t="s">
        <v>110</v>
      </c>
      <c r="BU55" s="574"/>
      <c r="BV55" s="574"/>
      <c r="BW55" s="574"/>
      <c r="BX55" s="574"/>
      <c r="BY55" s="573"/>
      <c r="BZ55" s="78"/>
      <c r="CA55" s="78"/>
      <c r="CB55" s="78"/>
      <c r="CC55" s="78"/>
      <c r="CD55" s="78"/>
      <c r="CE55" s="78"/>
      <c r="CF55" s="18"/>
      <c r="CG55" s="79"/>
    </row>
    <row r="56" spans="1:97" ht="49.5" customHeight="1" x14ac:dyDescent="0.25">
      <c r="B56" s="624"/>
      <c r="D56" s="49"/>
      <c r="E56" s="49"/>
      <c r="G56" s="49"/>
      <c r="H56" s="49"/>
      <c r="N56" s="13"/>
      <c r="O56" s="13"/>
      <c r="P56" s="13"/>
      <c r="Q56" s="13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0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35"/>
      <c r="BF56" s="35"/>
      <c r="BG56" s="35"/>
      <c r="BH56" s="35"/>
      <c r="BI56" s="35"/>
      <c r="BJ56" s="35"/>
      <c r="BK56" s="35"/>
      <c r="BL56" s="78"/>
      <c r="BM56" s="78"/>
      <c r="BN56" s="78"/>
      <c r="BO56" s="78"/>
      <c r="BP56" s="78"/>
      <c r="BQ56" s="78"/>
      <c r="BR56" s="100"/>
      <c r="BS56" s="78"/>
      <c r="BT56" s="78"/>
      <c r="BU56" s="78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21"/>
    </row>
    <row r="57" spans="1:97" ht="49.5" customHeight="1" x14ac:dyDescent="0.25">
      <c r="B57" s="624"/>
      <c r="D57" s="49"/>
      <c r="E57" s="49"/>
      <c r="G57" s="49"/>
      <c r="H57" s="49"/>
      <c r="N57" s="13"/>
      <c r="O57" s="13"/>
      <c r="P57" s="13"/>
      <c r="Q57" s="13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0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35"/>
      <c r="BF57" s="35"/>
      <c r="BG57" s="35"/>
      <c r="BH57" s="35"/>
      <c r="BI57" s="35"/>
      <c r="BJ57" s="35"/>
      <c r="BK57" s="35"/>
      <c r="BL57" s="78"/>
      <c r="BM57" s="19"/>
      <c r="BN57" s="19"/>
      <c r="BO57" s="19"/>
      <c r="BP57" s="19"/>
      <c r="BQ57" s="78"/>
      <c r="BR57" s="100"/>
      <c r="BS57" s="78"/>
      <c r="BT57" s="78"/>
      <c r="BU57" s="78"/>
      <c r="BV57" s="78"/>
      <c r="BW57" s="19"/>
      <c r="BX57" s="19"/>
      <c r="BY57" s="19"/>
      <c r="BZ57" s="650" t="s">
        <v>111</v>
      </c>
      <c r="CA57" s="574"/>
      <c r="CB57" s="574"/>
      <c r="CC57" s="574"/>
      <c r="CD57" s="574"/>
      <c r="CE57" s="574"/>
      <c r="CF57" s="574"/>
      <c r="CG57" s="651"/>
    </row>
    <row r="58" spans="1:97" ht="49.5" customHeight="1" x14ac:dyDescent="0.25">
      <c r="B58" s="624"/>
      <c r="D58" s="49"/>
      <c r="E58" s="49"/>
      <c r="G58" s="49"/>
      <c r="H58" s="49"/>
      <c r="N58" s="13"/>
      <c r="O58" s="13"/>
      <c r="P58" s="13"/>
      <c r="Q58" s="13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0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35"/>
      <c r="BF58" s="35"/>
      <c r="BG58" s="35"/>
      <c r="BH58" s="35"/>
      <c r="BI58" s="35"/>
      <c r="BJ58" s="35"/>
      <c r="BK58" s="35"/>
      <c r="BL58" s="78"/>
      <c r="BM58" s="78"/>
      <c r="BN58" s="78"/>
      <c r="BO58" s="78"/>
      <c r="BP58" s="78"/>
      <c r="BQ58" s="78"/>
      <c r="BR58" s="100"/>
      <c r="BS58" s="78"/>
      <c r="BT58" s="78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21"/>
    </row>
    <row r="59" spans="1:97" ht="54.75" customHeight="1" x14ac:dyDescent="0.25">
      <c r="B59" s="624"/>
      <c r="D59" s="49"/>
      <c r="E59" s="49"/>
      <c r="G59" s="49"/>
      <c r="H59" s="49"/>
      <c r="N59" s="13"/>
      <c r="O59" s="13"/>
      <c r="P59" s="13"/>
      <c r="Q59" s="13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0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35"/>
      <c r="BF59" s="35"/>
      <c r="BG59" s="35"/>
      <c r="BH59" s="35"/>
      <c r="BI59" s="35"/>
      <c r="BJ59" s="35"/>
      <c r="BK59" s="35"/>
      <c r="BL59" s="644" t="s">
        <v>112</v>
      </c>
      <c r="BM59" s="574"/>
      <c r="BN59" s="574"/>
      <c r="BO59" s="573"/>
      <c r="BP59" s="19"/>
      <c r="BQ59" s="78"/>
      <c r="BR59" s="100"/>
      <c r="BS59" s="78"/>
      <c r="BT59" s="78"/>
      <c r="BU59" s="644" t="s">
        <v>113</v>
      </c>
      <c r="BV59" s="574"/>
      <c r="BW59" s="574"/>
      <c r="BX59" s="573"/>
      <c r="BY59" s="19"/>
      <c r="BZ59" s="19"/>
      <c r="CA59" s="78"/>
      <c r="CB59" s="78"/>
      <c r="CC59" s="78"/>
      <c r="CD59" s="78"/>
      <c r="CE59" s="78"/>
      <c r="CF59" s="18"/>
      <c r="CG59" s="79"/>
    </row>
    <row r="60" spans="1:97" ht="49.5" customHeight="1" x14ac:dyDescent="0.25">
      <c r="B60" s="624"/>
      <c r="D60" s="49"/>
      <c r="E60" s="49"/>
      <c r="G60" s="49"/>
      <c r="H60" s="49"/>
      <c r="N60" s="13"/>
      <c r="O60" s="13"/>
      <c r="P60" s="13"/>
      <c r="Q60" s="13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0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35"/>
      <c r="BF60" s="35"/>
      <c r="BG60" s="35"/>
      <c r="BH60" s="35"/>
      <c r="BI60" s="35"/>
      <c r="BJ60" s="35"/>
      <c r="BK60" s="35"/>
      <c r="BL60" s="78"/>
      <c r="BM60" s="78"/>
      <c r="BN60" s="78"/>
      <c r="BO60" s="19"/>
      <c r="BP60" s="19"/>
      <c r="BQ60" s="19"/>
      <c r="BR60" s="51"/>
      <c r="BS60" s="78"/>
      <c r="BT60" s="19"/>
      <c r="BU60" s="19"/>
      <c r="BV60" s="19"/>
      <c r="BW60" s="78"/>
      <c r="BX60" s="78"/>
      <c r="BY60" s="19"/>
      <c r="BZ60" s="19"/>
      <c r="CA60" s="19"/>
      <c r="CB60" s="19"/>
      <c r="CC60" s="78"/>
      <c r="CD60" s="78"/>
      <c r="CE60" s="78"/>
      <c r="CF60" s="18"/>
      <c r="CG60" s="79"/>
    </row>
    <row r="61" spans="1:97" ht="49.5" customHeight="1" x14ac:dyDescent="0.25">
      <c r="B61" s="624"/>
      <c r="D61" s="49"/>
      <c r="E61" s="49"/>
      <c r="G61" s="49"/>
      <c r="H61" s="49"/>
      <c r="N61" s="13"/>
      <c r="O61" s="13"/>
      <c r="P61" s="13"/>
      <c r="Q61" s="13"/>
      <c r="Y61" s="19"/>
      <c r="Z61" s="19"/>
      <c r="AA61" s="19"/>
      <c r="AB61" s="19"/>
      <c r="AC61" s="19"/>
      <c r="AD61" s="35"/>
      <c r="AE61" s="35"/>
      <c r="AF61" s="35"/>
      <c r="AG61" s="35"/>
      <c r="AH61" s="82"/>
      <c r="AI61" s="68"/>
      <c r="AJ61" s="19"/>
      <c r="AK61" s="19"/>
      <c r="AL61" s="20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35"/>
      <c r="BF61" s="35"/>
      <c r="BG61" s="35"/>
      <c r="BH61" s="35"/>
      <c r="BI61" s="88"/>
      <c r="BJ61" s="88"/>
      <c r="BK61" s="88"/>
      <c r="BL61" s="78"/>
      <c r="BM61" s="78"/>
      <c r="BN61" s="652" t="s">
        <v>114</v>
      </c>
      <c r="BO61" s="573"/>
      <c r="BP61" s="78"/>
      <c r="BQ61" s="78"/>
      <c r="BR61" s="100"/>
      <c r="BS61" s="78"/>
      <c r="BT61" s="78"/>
      <c r="BU61" s="652" t="s">
        <v>115</v>
      </c>
      <c r="BV61" s="574"/>
      <c r="BW61" s="574"/>
      <c r="BX61" s="573"/>
      <c r="BY61" s="78"/>
      <c r="BZ61" s="78"/>
      <c r="CA61" s="78"/>
      <c r="CB61" s="78"/>
      <c r="CC61" s="78"/>
      <c r="CD61" s="78"/>
      <c r="CE61" s="78"/>
      <c r="CF61" s="18"/>
      <c r="CG61" s="79"/>
    </row>
    <row r="62" spans="1:97" ht="49.5" customHeight="1" x14ac:dyDescent="0.25">
      <c r="B62" s="624"/>
      <c r="D62" s="49"/>
      <c r="E62" s="49"/>
      <c r="G62" s="49"/>
      <c r="H62" s="49"/>
      <c r="N62" s="13"/>
      <c r="O62" s="13"/>
      <c r="P62" s="13"/>
      <c r="Q62" s="13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0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35"/>
      <c r="BE62" s="35"/>
      <c r="BF62" s="35"/>
      <c r="BG62" s="35"/>
      <c r="BH62" s="35"/>
      <c r="BI62" s="35"/>
      <c r="BJ62" s="35"/>
      <c r="BK62" s="35"/>
      <c r="BL62" s="78"/>
      <c r="BM62" s="78"/>
      <c r="BN62" s="78"/>
      <c r="BO62" s="78"/>
      <c r="BP62" s="18"/>
      <c r="BQ62" s="19"/>
      <c r="BR62" s="51"/>
      <c r="BS62" s="78"/>
      <c r="BT62" s="78"/>
      <c r="BU62" s="78"/>
      <c r="BV62" s="78"/>
      <c r="BW62" s="19"/>
      <c r="BX62" s="19"/>
      <c r="BY62" s="19"/>
      <c r="BZ62" s="19"/>
      <c r="CA62" s="78"/>
      <c r="CB62" s="78"/>
      <c r="CC62" s="78"/>
      <c r="CD62" s="78"/>
      <c r="CE62" s="78"/>
      <c r="CF62" s="18"/>
      <c r="CG62" s="79"/>
    </row>
    <row r="63" spans="1:97" ht="49.5" customHeight="1" x14ac:dyDescent="0.25">
      <c r="B63" s="624"/>
      <c r="D63" s="49"/>
      <c r="E63" s="49"/>
      <c r="G63" s="49"/>
      <c r="H63" s="49"/>
      <c r="N63" s="13"/>
      <c r="O63" s="13"/>
      <c r="P63" s="13"/>
      <c r="Q63" s="13"/>
      <c r="Y63" s="19"/>
      <c r="Z63" s="19"/>
      <c r="AA63" s="19"/>
      <c r="AB63" s="19"/>
      <c r="AC63" s="19"/>
      <c r="AD63" s="19"/>
      <c r="AL63" s="20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82"/>
      <c r="BE63" s="35"/>
      <c r="BF63" s="35"/>
      <c r="BG63" s="35"/>
      <c r="BH63" s="35"/>
      <c r="BI63" s="35"/>
      <c r="BJ63" s="35"/>
      <c r="BK63" s="35"/>
      <c r="BL63" s="78"/>
      <c r="BM63" s="78"/>
      <c r="BN63" s="78"/>
      <c r="BO63" s="78"/>
      <c r="BP63" s="78"/>
      <c r="BQ63" s="78"/>
      <c r="BR63" s="100"/>
      <c r="BS63" s="87" t="s">
        <v>116</v>
      </c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18"/>
      <c r="CG63" s="79"/>
    </row>
    <row r="64" spans="1:97" ht="49.5" customHeight="1" x14ac:dyDescent="0.25">
      <c r="B64" s="624"/>
      <c r="D64" s="49"/>
      <c r="E64" s="49"/>
      <c r="G64" s="49"/>
      <c r="H64" s="49"/>
      <c r="N64" s="13"/>
      <c r="O64" s="13"/>
      <c r="P64" s="13"/>
      <c r="Q64" s="13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0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35"/>
      <c r="BE64" s="35"/>
      <c r="BF64" s="35"/>
      <c r="BG64" s="35"/>
      <c r="BH64" s="35"/>
      <c r="BI64" s="35"/>
      <c r="BJ64" s="35"/>
      <c r="BK64" s="35"/>
      <c r="BL64" s="78"/>
      <c r="BM64" s="78"/>
      <c r="BN64" s="78"/>
      <c r="BO64" s="78"/>
      <c r="BP64" s="78"/>
      <c r="BQ64" s="78"/>
      <c r="BR64" s="100"/>
      <c r="BS64" s="78"/>
      <c r="BT64" s="78"/>
      <c r="BU64" s="19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18"/>
      <c r="CG64" s="79"/>
    </row>
    <row r="65" spans="1:85" ht="49.5" customHeight="1" x14ac:dyDescent="0.25">
      <c r="B65" s="667"/>
      <c r="D65" s="49"/>
      <c r="E65" s="49"/>
      <c r="G65" s="49"/>
      <c r="H65" s="49"/>
      <c r="N65" s="13"/>
      <c r="O65" s="13"/>
      <c r="P65" s="13"/>
      <c r="Q65" s="13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3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94"/>
      <c r="BE65" s="93"/>
      <c r="BF65" s="93"/>
      <c r="BG65" s="93"/>
      <c r="BH65" s="93"/>
      <c r="BI65" s="93"/>
      <c r="BJ65" s="93"/>
      <c r="BK65" s="93"/>
      <c r="BL65" s="94"/>
      <c r="BM65" s="94"/>
      <c r="BN65" s="94"/>
      <c r="BO65" s="94"/>
      <c r="BP65" s="94"/>
      <c r="BQ65" s="94"/>
      <c r="BR65" s="102"/>
      <c r="BS65" s="94"/>
      <c r="BT65" s="94"/>
      <c r="BU65" s="94"/>
      <c r="BV65" s="94"/>
      <c r="BW65" s="95" t="s">
        <v>119</v>
      </c>
      <c r="BX65" s="94"/>
      <c r="BY65" s="94"/>
      <c r="BZ65" s="94"/>
      <c r="CA65" s="94"/>
      <c r="CB65" s="94"/>
      <c r="CC65" s="94"/>
      <c r="CD65" s="94"/>
      <c r="CE65" s="94"/>
      <c r="CF65" s="24"/>
      <c r="CG65" s="25"/>
    </row>
    <row r="66" spans="1:85" ht="49.5" customHeight="1" x14ac:dyDescent="0.25">
      <c r="D66" s="49"/>
      <c r="E66" s="49"/>
      <c r="G66" s="49"/>
      <c r="H66" s="49"/>
      <c r="N66" s="13"/>
      <c r="O66" s="13"/>
      <c r="P66" s="13"/>
      <c r="Q66" s="13"/>
      <c r="BR66" s="51"/>
    </row>
    <row r="67" spans="1:85" ht="69.75" customHeight="1" x14ac:dyDescent="0.25">
      <c r="A67" s="56"/>
      <c r="B67" s="623" t="s">
        <v>125</v>
      </c>
      <c r="C67" s="56"/>
      <c r="D67" s="103"/>
      <c r="E67" s="103"/>
      <c r="F67" s="56"/>
      <c r="G67" s="103"/>
      <c r="H67" s="103"/>
      <c r="I67" s="56"/>
      <c r="J67" s="56"/>
      <c r="K67" s="56"/>
      <c r="L67" s="56"/>
      <c r="M67" s="56"/>
      <c r="N67" s="104"/>
      <c r="O67" s="104"/>
      <c r="P67" s="104"/>
      <c r="Q67" s="104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L67" s="655" t="s">
        <v>103</v>
      </c>
      <c r="AM67" s="649"/>
      <c r="AN67" s="649"/>
      <c r="AO67" s="649"/>
      <c r="AP67" s="649"/>
      <c r="AQ67" s="649"/>
      <c r="AR67" s="649"/>
      <c r="AS67" s="649"/>
      <c r="AT67" s="649"/>
      <c r="AU67" s="649"/>
      <c r="AV67" s="649"/>
      <c r="AW67" s="649"/>
      <c r="AX67" s="649"/>
      <c r="AY67" s="649"/>
      <c r="AZ67" s="649"/>
      <c r="BA67" s="649"/>
      <c r="BB67" s="649"/>
      <c r="BC67" s="649"/>
      <c r="BD67" s="649"/>
      <c r="BE67" s="649"/>
      <c r="BF67" s="649"/>
      <c r="BG67" s="649"/>
      <c r="BH67" s="649"/>
      <c r="BI67" s="639"/>
      <c r="BJ67" s="57"/>
      <c r="BK67" s="57"/>
      <c r="BL67" s="57"/>
      <c r="BM67" s="57"/>
      <c r="BN67" s="57"/>
      <c r="BO67" s="57"/>
      <c r="BP67" s="57"/>
      <c r="BQ67" s="57"/>
      <c r="BR67" s="51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64"/>
    </row>
    <row r="68" spans="1:85" ht="49.5" customHeight="1" x14ac:dyDescent="0.25">
      <c r="B68" s="624"/>
      <c r="D68" s="49"/>
      <c r="E68" s="49"/>
      <c r="G68" s="49"/>
      <c r="H68" s="49"/>
      <c r="N68" s="13"/>
      <c r="O68" s="13"/>
      <c r="P68" s="13"/>
      <c r="Q68" s="13"/>
      <c r="AL68" s="20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51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21"/>
    </row>
    <row r="69" spans="1:85" ht="49.5" customHeight="1" x14ac:dyDescent="0.25">
      <c r="B69" s="624"/>
      <c r="D69" s="49"/>
      <c r="E69" s="49"/>
      <c r="G69" s="49"/>
      <c r="H69" s="49"/>
      <c r="N69" s="13"/>
      <c r="O69" s="13"/>
      <c r="P69" s="13"/>
      <c r="Q69" s="13"/>
      <c r="AL69" s="20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76" t="s">
        <v>105</v>
      </c>
      <c r="BI69" s="76" t="s">
        <v>106</v>
      </c>
      <c r="BJ69" s="19"/>
      <c r="BK69" s="19"/>
      <c r="BL69" s="77" t="s">
        <v>107</v>
      </c>
      <c r="BM69" s="656" t="s">
        <v>108</v>
      </c>
      <c r="BN69" s="573"/>
      <c r="BO69" s="19"/>
      <c r="BP69" s="19"/>
      <c r="BQ69" s="78"/>
      <c r="BR69" s="51"/>
      <c r="BS69" s="78"/>
      <c r="BT69" s="78"/>
      <c r="BU69" s="78"/>
      <c r="BV69" s="78"/>
      <c r="BW69" s="78"/>
      <c r="BX69" s="78"/>
      <c r="BY69" s="78"/>
      <c r="BZ69" s="78"/>
      <c r="CA69" s="78"/>
      <c r="CB69" s="18"/>
      <c r="CC69" s="79"/>
    </row>
    <row r="70" spans="1:85" ht="49.5" customHeight="1" x14ac:dyDescent="0.25">
      <c r="B70" s="624"/>
      <c r="D70" s="49"/>
      <c r="E70" s="49"/>
      <c r="G70" s="49"/>
      <c r="H70" s="49"/>
      <c r="N70" s="13"/>
      <c r="O70" s="13"/>
      <c r="P70" s="13"/>
      <c r="Q70" s="13"/>
      <c r="AL70" s="20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35"/>
      <c r="BA70" s="35"/>
      <c r="BB70" s="35"/>
      <c r="BC70" s="35"/>
      <c r="BD70" s="35"/>
      <c r="BE70" s="35"/>
      <c r="BF70" s="35"/>
      <c r="BG70" s="35"/>
      <c r="BH70" s="78"/>
      <c r="BI70" s="78"/>
      <c r="BJ70" s="78"/>
      <c r="BK70" s="78"/>
      <c r="BL70" s="78"/>
      <c r="BM70" s="78"/>
      <c r="BN70" s="19"/>
      <c r="BO70" s="19"/>
      <c r="BP70" s="19"/>
      <c r="BQ70" s="19"/>
      <c r="BR70" s="51"/>
      <c r="BS70" s="19"/>
      <c r="BT70" s="19"/>
      <c r="BU70" s="78"/>
      <c r="BV70" s="78"/>
      <c r="BW70" s="78"/>
      <c r="BX70" s="78"/>
      <c r="BY70" s="78"/>
      <c r="BZ70" s="78"/>
      <c r="CA70" s="78"/>
      <c r="CB70" s="18"/>
      <c r="CC70" s="79"/>
    </row>
    <row r="71" spans="1:85" ht="49.5" customHeight="1" x14ac:dyDescent="0.25">
      <c r="B71" s="624"/>
      <c r="D71" s="49"/>
      <c r="E71" s="49"/>
      <c r="G71" s="49"/>
      <c r="H71" s="49"/>
      <c r="N71" s="13"/>
      <c r="O71" s="13"/>
      <c r="P71" s="13"/>
      <c r="Q71" s="13"/>
      <c r="AL71" s="20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637" t="s">
        <v>123</v>
      </c>
      <c r="BA71" s="574"/>
      <c r="BB71" s="574"/>
      <c r="BC71" s="573"/>
      <c r="BD71" s="107"/>
      <c r="BE71" s="80"/>
      <c r="BF71" s="35"/>
      <c r="BG71" s="82"/>
      <c r="BH71" s="78"/>
      <c r="BI71" s="78"/>
      <c r="BJ71" s="78"/>
      <c r="BK71" s="78"/>
      <c r="BL71" s="78"/>
      <c r="BM71" s="19"/>
      <c r="BN71" s="653" t="s">
        <v>109</v>
      </c>
      <c r="BO71" s="574"/>
      <c r="BP71" s="574"/>
      <c r="BQ71" s="574"/>
      <c r="BR71" s="574"/>
      <c r="BS71" s="574"/>
      <c r="BT71" s="574"/>
      <c r="BU71" s="573"/>
      <c r="BV71" s="78"/>
      <c r="BW71" s="78"/>
      <c r="BX71" s="78"/>
      <c r="BY71" s="78"/>
      <c r="BZ71" s="78"/>
      <c r="CA71" s="78"/>
      <c r="CB71" s="18"/>
      <c r="CC71" s="79"/>
    </row>
    <row r="72" spans="1:85" ht="49.5" customHeight="1" x14ac:dyDescent="0.25">
      <c r="B72" s="624"/>
      <c r="D72" s="49"/>
      <c r="E72" s="49"/>
      <c r="G72" s="49"/>
      <c r="H72" s="49"/>
      <c r="N72" s="13"/>
      <c r="O72" s="13"/>
      <c r="P72" s="13"/>
      <c r="Q72" s="13"/>
      <c r="AL72" s="20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35"/>
      <c r="BA72" s="35"/>
      <c r="BB72" s="35"/>
      <c r="BC72" s="35"/>
      <c r="BD72" s="35"/>
      <c r="BE72" s="35"/>
      <c r="BF72" s="35"/>
      <c r="BG72" s="35"/>
      <c r="BH72" s="78"/>
      <c r="BI72" s="78"/>
      <c r="BJ72" s="78"/>
      <c r="BK72" s="78"/>
      <c r="BL72" s="78"/>
      <c r="BM72" s="78"/>
      <c r="BN72" s="78"/>
      <c r="BO72" s="19"/>
      <c r="BP72" s="19"/>
      <c r="BQ72" s="19"/>
      <c r="BR72" s="74"/>
      <c r="BS72" s="19"/>
      <c r="BT72" s="19"/>
      <c r="BU72" s="19"/>
      <c r="BV72" s="19"/>
      <c r="BW72" s="78"/>
      <c r="BX72" s="78"/>
      <c r="BY72" s="78"/>
      <c r="BZ72" s="78"/>
      <c r="CA72" s="78"/>
      <c r="CB72" s="18"/>
      <c r="CC72" s="79"/>
    </row>
    <row r="73" spans="1:85" ht="49.5" customHeight="1" x14ac:dyDescent="0.25">
      <c r="B73" s="624"/>
      <c r="D73" s="49"/>
      <c r="E73" s="49"/>
      <c r="G73" s="49"/>
      <c r="H73" s="49"/>
      <c r="N73" s="13"/>
      <c r="O73" s="13"/>
      <c r="P73" s="13"/>
      <c r="Q73" s="13"/>
      <c r="AL73" s="20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01" t="s">
        <v>122</v>
      </c>
      <c r="BA73" s="35"/>
      <c r="BB73" s="101" t="s">
        <v>122</v>
      </c>
      <c r="BC73" s="35"/>
      <c r="BD73" s="35"/>
      <c r="BE73" s="35"/>
      <c r="BF73" s="68"/>
      <c r="BG73" s="19"/>
      <c r="BH73" s="78"/>
      <c r="BI73" s="78"/>
      <c r="BJ73" s="78"/>
      <c r="BK73" s="78"/>
      <c r="BL73" s="78"/>
      <c r="BM73" s="78"/>
      <c r="BN73" s="78"/>
      <c r="BO73" s="78"/>
      <c r="BP73" s="657" t="s">
        <v>110</v>
      </c>
      <c r="BQ73" s="574"/>
      <c r="BR73" s="574"/>
      <c r="BS73" s="574"/>
      <c r="BT73" s="574"/>
      <c r="BU73" s="573"/>
      <c r="BV73" s="78"/>
      <c r="BW73" s="78"/>
      <c r="BX73" s="78"/>
      <c r="BY73" s="78"/>
      <c r="BZ73" s="78"/>
      <c r="CA73" s="78"/>
      <c r="CB73" s="18"/>
      <c r="CC73" s="79"/>
    </row>
    <row r="74" spans="1:85" ht="49.5" customHeight="1" x14ac:dyDescent="0.25">
      <c r="B74" s="624"/>
      <c r="D74" s="49"/>
      <c r="E74" s="49"/>
      <c r="G74" s="49"/>
      <c r="H74" s="49"/>
      <c r="N74" s="13"/>
      <c r="O74" s="13"/>
      <c r="P74" s="13"/>
      <c r="Q74" s="13"/>
      <c r="AL74" s="20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35"/>
      <c r="BA74" s="35"/>
      <c r="BB74" s="35"/>
      <c r="BC74" s="35"/>
      <c r="BD74" s="35"/>
      <c r="BE74" s="35"/>
      <c r="BF74" s="35"/>
      <c r="BG74" s="35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51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21"/>
    </row>
    <row r="75" spans="1:85" ht="49.5" customHeight="1" x14ac:dyDescent="0.25">
      <c r="B75" s="624"/>
      <c r="D75" s="49"/>
      <c r="E75" s="49"/>
      <c r="G75" s="49"/>
      <c r="H75" s="49"/>
      <c r="N75" s="13"/>
      <c r="O75" s="13"/>
      <c r="P75" s="13"/>
      <c r="Q75" s="13"/>
      <c r="AL75" s="20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35"/>
      <c r="BA75" s="35"/>
      <c r="BB75" s="35"/>
      <c r="BC75" s="35"/>
      <c r="BD75" s="35"/>
      <c r="BE75" s="35"/>
      <c r="BF75" s="35"/>
      <c r="BG75" s="35"/>
      <c r="BH75" s="78"/>
      <c r="BI75" s="19"/>
      <c r="BJ75" s="19"/>
      <c r="BK75" s="19"/>
      <c r="BL75" s="19"/>
      <c r="BM75" s="78"/>
      <c r="BN75" s="78"/>
      <c r="BO75" s="78"/>
      <c r="BP75" s="78"/>
      <c r="BQ75" s="78"/>
      <c r="BR75" s="51"/>
      <c r="BS75" s="19"/>
      <c r="BT75" s="19"/>
      <c r="BU75" s="19"/>
      <c r="BV75" s="650" t="s">
        <v>111</v>
      </c>
      <c r="BW75" s="574"/>
      <c r="BX75" s="574"/>
      <c r="BY75" s="574"/>
      <c r="BZ75" s="574"/>
      <c r="CA75" s="574"/>
      <c r="CB75" s="574"/>
      <c r="CC75" s="651"/>
    </row>
    <row r="76" spans="1:85" ht="49.5" customHeight="1" x14ac:dyDescent="0.25">
      <c r="B76" s="624"/>
      <c r="D76" s="49"/>
      <c r="E76" s="49"/>
      <c r="G76" s="49"/>
      <c r="H76" s="49"/>
      <c r="N76" s="13"/>
      <c r="O76" s="13"/>
      <c r="P76" s="13"/>
      <c r="Q76" s="13"/>
      <c r="AL76" s="20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35"/>
      <c r="BA76" s="35"/>
      <c r="BB76" s="35"/>
      <c r="BC76" s="35"/>
      <c r="BD76" s="35"/>
      <c r="BE76" s="35"/>
      <c r="BF76" s="35"/>
      <c r="BG76" s="35"/>
      <c r="BH76" s="78"/>
      <c r="BI76" s="78"/>
      <c r="BJ76" s="78"/>
      <c r="BK76" s="78"/>
      <c r="BL76" s="78"/>
      <c r="BM76" s="78"/>
      <c r="BN76" s="78"/>
      <c r="BO76" s="78"/>
      <c r="BP76" s="78"/>
      <c r="BQ76" s="19"/>
      <c r="BR76" s="51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21"/>
    </row>
    <row r="77" spans="1:85" ht="49.5" customHeight="1" x14ac:dyDescent="0.25">
      <c r="B77" s="624"/>
      <c r="D77" s="49"/>
      <c r="E77" s="49"/>
      <c r="G77" s="49"/>
      <c r="H77" s="49"/>
      <c r="N77" s="13"/>
      <c r="O77" s="13"/>
      <c r="P77" s="13"/>
      <c r="Q77" s="13"/>
      <c r="AL77" s="20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35"/>
      <c r="BA77" s="35"/>
      <c r="BB77" s="35"/>
      <c r="BC77" s="35"/>
      <c r="BD77" s="35"/>
      <c r="BE77" s="35"/>
      <c r="BF77" s="35"/>
      <c r="BG77" s="35"/>
      <c r="BH77" s="644" t="s">
        <v>112</v>
      </c>
      <c r="BI77" s="574"/>
      <c r="BJ77" s="574"/>
      <c r="BK77" s="573"/>
      <c r="BL77" s="19"/>
      <c r="BM77" s="78"/>
      <c r="BN77" s="78"/>
      <c r="BO77" s="78"/>
      <c r="BP77" s="78"/>
      <c r="BQ77" s="644" t="s">
        <v>113</v>
      </c>
      <c r="BR77" s="574"/>
      <c r="BS77" s="574"/>
      <c r="BT77" s="573"/>
      <c r="BU77" s="19"/>
      <c r="BV77" s="19"/>
      <c r="BW77" s="78"/>
      <c r="BX77" s="78"/>
      <c r="BY77" s="78"/>
      <c r="BZ77" s="78"/>
      <c r="CA77" s="78"/>
      <c r="CB77" s="18"/>
      <c r="CC77" s="79"/>
    </row>
    <row r="78" spans="1:85" ht="49.5" customHeight="1" x14ac:dyDescent="0.25">
      <c r="B78" s="624"/>
      <c r="D78" s="49"/>
      <c r="E78" s="49"/>
      <c r="G78" s="49"/>
      <c r="H78" s="49"/>
      <c r="N78" s="13"/>
      <c r="O78" s="13"/>
      <c r="P78" s="13"/>
      <c r="Q78" s="13"/>
      <c r="AL78" s="20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35"/>
      <c r="BA78" s="35"/>
      <c r="BB78" s="35"/>
      <c r="BC78" s="35"/>
      <c r="BD78" s="35"/>
      <c r="BE78" s="35"/>
      <c r="BF78" s="35"/>
      <c r="BG78" s="35"/>
      <c r="BH78" s="78"/>
      <c r="BI78" s="78"/>
      <c r="BJ78" s="78"/>
      <c r="BK78" s="19"/>
      <c r="BL78" s="19"/>
      <c r="BM78" s="19"/>
      <c r="BN78" s="19"/>
      <c r="BO78" s="78"/>
      <c r="BP78" s="19"/>
      <c r="BQ78" s="19"/>
      <c r="BR78" s="74"/>
      <c r="BS78" s="78"/>
      <c r="BT78" s="78"/>
      <c r="BU78" s="19"/>
      <c r="BV78" s="19"/>
      <c r="BW78" s="19"/>
      <c r="BX78" s="19"/>
      <c r="BY78" s="78"/>
      <c r="BZ78" s="78"/>
      <c r="CA78" s="78"/>
      <c r="CB78" s="18"/>
      <c r="CC78" s="79"/>
    </row>
    <row r="79" spans="1:85" ht="49.5" customHeight="1" x14ac:dyDescent="0.25">
      <c r="B79" s="624"/>
      <c r="D79" s="49"/>
      <c r="E79" s="49"/>
      <c r="G79" s="49"/>
      <c r="H79" s="49"/>
      <c r="N79" s="13"/>
      <c r="O79" s="13"/>
      <c r="P79" s="13"/>
      <c r="Q79" s="13"/>
      <c r="AL79" s="20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35"/>
      <c r="BA79" s="35"/>
      <c r="BB79" s="35"/>
      <c r="BC79" s="35"/>
      <c r="BD79" s="88"/>
      <c r="BE79" s="88"/>
      <c r="BF79" s="88"/>
      <c r="BG79" s="88"/>
      <c r="BH79" s="78"/>
      <c r="BI79" s="78"/>
      <c r="BJ79" s="652" t="s">
        <v>114</v>
      </c>
      <c r="BK79" s="573"/>
      <c r="BL79" s="78"/>
      <c r="BM79" s="78"/>
      <c r="BN79" s="78"/>
      <c r="BO79" s="78"/>
      <c r="BP79" s="78"/>
      <c r="BQ79" s="652" t="s">
        <v>115</v>
      </c>
      <c r="BR79" s="574"/>
      <c r="BS79" s="574"/>
      <c r="BT79" s="573"/>
      <c r="BU79" s="78"/>
      <c r="BV79" s="78"/>
      <c r="BW79" s="78"/>
      <c r="BX79" s="78"/>
      <c r="BY79" s="78"/>
      <c r="BZ79" s="78"/>
      <c r="CA79" s="78"/>
      <c r="CB79" s="18"/>
      <c r="CC79" s="79"/>
    </row>
    <row r="80" spans="1:85" ht="49.5" customHeight="1" x14ac:dyDescent="0.25">
      <c r="B80" s="624"/>
      <c r="D80" s="49"/>
      <c r="E80" s="49"/>
      <c r="G80" s="49"/>
      <c r="H80" s="49"/>
      <c r="N80" s="13"/>
      <c r="O80" s="13"/>
      <c r="P80" s="13"/>
      <c r="Q80" s="13"/>
      <c r="AL80" s="20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35"/>
      <c r="BA80" s="35"/>
      <c r="BB80" s="35"/>
      <c r="BC80" s="35"/>
      <c r="BD80" s="35"/>
      <c r="BE80" s="35"/>
      <c r="BF80" s="35"/>
      <c r="BG80" s="35"/>
      <c r="BH80" s="78"/>
      <c r="BI80" s="78"/>
      <c r="BJ80" s="78"/>
      <c r="BK80" s="78"/>
      <c r="BL80" s="18"/>
      <c r="BM80" s="19"/>
      <c r="BN80" s="19"/>
      <c r="BO80" s="78"/>
      <c r="BP80" s="78"/>
      <c r="BQ80" s="78"/>
      <c r="BR80" s="51"/>
      <c r="BS80" s="19"/>
      <c r="BT80" s="19"/>
      <c r="BU80" s="19"/>
      <c r="BV80" s="19"/>
      <c r="BW80" s="78"/>
      <c r="BX80" s="78"/>
      <c r="BY80" s="78"/>
      <c r="BZ80" s="78"/>
      <c r="CA80" s="78"/>
      <c r="CB80" s="18"/>
      <c r="CC80" s="79"/>
    </row>
    <row r="81" spans="1:97" ht="49.5" customHeight="1" x14ac:dyDescent="0.25">
      <c r="B81" s="624"/>
      <c r="D81" s="49"/>
      <c r="E81" s="49"/>
      <c r="G81" s="49"/>
      <c r="H81" s="49"/>
      <c r="N81" s="13"/>
      <c r="O81" s="13"/>
      <c r="P81" s="13"/>
      <c r="Q81" s="13"/>
      <c r="AL81" s="20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35"/>
      <c r="BA81" s="35"/>
      <c r="BB81" s="35"/>
      <c r="BC81" s="35"/>
      <c r="BD81" s="35"/>
      <c r="BE81" s="35"/>
      <c r="BF81" s="35"/>
      <c r="BG81" s="35"/>
      <c r="BH81" s="78"/>
      <c r="BI81" s="78"/>
      <c r="BJ81" s="78"/>
      <c r="BK81" s="78"/>
      <c r="BL81" s="78"/>
      <c r="BM81" s="78"/>
      <c r="BN81" s="78"/>
      <c r="BO81" s="87" t="s">
        <v>116</v>
      </c>
      <c r="BP81" s="78"/>
      <c r="BQ81" s="78"/>
      <c r="BR81" s="51"/>
      <c r="BS81" s="78"/>
      <c r="BT81" s="78"/>
      <c r="BU81" s="78"/>
      <c r="BV81" s="78"/>
      <c r="BW81" s="78"/>
      <c r="BX81" s="78"/>
      <c r="BY81" s="78"/>
      <c r="BZ81" s="78"/>
      <c r="CA81" s="78"/>
      <c r="CB81" s="18"/>
      <c r="CC81" s="79"/>
    </row>
    <row r="82" spans="1:97" ht="49.5" customHeight="1" x14ac:dyDescent="0.25">
      <c r="B82" s="624"/>
      <c r="D82" s="49"/>
      <c r="E82" s="49"/>
      <c r="G82" s="49"/>
      <c r="H82" s="49"/>
      <c r="N82" s="13"/>
      <c r="O82" s="13"/>
      <c r="P82" s="13"/>
      <c r="Q82" s="13"/>
      <c r="AL82" s="20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35"/>
      <c r="BA82" s="35"/>
      <c r="BB82" s="35"/>
      <c r="BC82" s="35"/>
      <c r="BD82" s="35"/>
      <c r="BE82" s="35"/>
      <c r="BF82" s="35"/>
      <c r="BG82" s="35"/>
      <c r="BH82" s="78"/>
      <c r="BI82" s="78"/>
      <c r="BJ82" s="78"/>
      <c r="BK82" s="78"/>
      <c r="BL82" s="78"/>
      <c r="BM82" s="78"/>
      <c r="BN82" s="78"/>
      <c r="BO82" s="78"/>
      <c r="BP82" s="78"/>
      <c r="BQ82" s="19"/>
      <c r="BR82" s="51"/>
      <c r="BS82" s="78"/>
      <c r="BT82" s="78"/>
      <c r="BU82" s="78"/>
      <c r="BV82" s="78"/>
      <c r="BW82" s="78"/>
      <c r="BX82" s="78"/>
      <c r="BY82" s="78"/>
      <c r="BZ82" s="78"/>
      <c r="CA82" s="78"/>
      <c r="CB82" s="18"/>
      <c r="CC82" s="79"/>
    </row>
    <row r="83" spans="1:97" ht="49.5" customHeight="1" x14ac:dyDescent="0.25">
      <c r="B83" s="593"/>
      <c r="D83" s="49"/>
      <c r="E83" s="49"/>
      <c r="G83" s="49"/>
      <c r="H83" s="49"/>
      <c r="N83" s="13"/>
      <c r="O83" s="13"/>
      <c r="P83" s="13"/>
      <c r="Q83" s="13"/>
      <c r="AL83" s="23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93"/>
      <c r="BA83" s="93"/>
      <c r="BB83" s="93"/>
      <c r="BC83" s="93"/>
      <c r="BD83" s="93"/>
      <c r="BE83" s="93"/>
      <c r="BF83" s="93"/>
      <c r="BG83" s="93"/>
      <c r="BH83" s="94"/>
      <c r="BI83" s="94"/>
      <c r="BJ83" s="94"/>
      <c r="BK83" s="94"/>
      <c r="BL83" s="94"/>
      <c r="BM83" s="94"/>
      <c r="BN83" s="94"/>
      <c r="BO83" s="94"/>
      <c r="BP83" s="94"/>
      <c r="BQ83" s="94"/>
      <c r="BR83" s="51"/>
      <c r="BS83" s="95" t="s">
        <v>119</v>
      </c>
      <c r="BT83" s="94"/>
      <c r="BU83" s="94"/>
      <c r="BV83" s="94"/>
      <c r="BW83" s="94"/>
      <c r="BX83" s="94"/>
      <c r="BY83" s="94"/>
      <c r="BZ83" s="94"/>
      <c r="CA83" s="94"/>
      <c r="CB83" s="24"/>
      <c r="CC83" s="25"/>
    </row>
    <row r="84" spans="1:97" ht="49.5" customHeight="1" x14ac:dyDescent="0.25">
      <c r="D84" s="49"/>
      <c r="E84" s="49"/>
      <c r="G84" s="49"/>
      <c r="H84" s="49"/>
      <c r="N84" s="13"/>
      <c r="O84" s="13"/>
      <c r="P84" s="13"/>
      <c r="Q84" s="13"/>
      <c r="BR84" s="51"/>
    </row>
    <row r="85" spans="1:97" ht="69.75" customHeight="1" x14ac:dyDescent="0.25">
      <c r="A85" s="56"/>
      <c r="B85" s="625" t="s">
        <v>126</v>
      </c>
      <c r="C85" s="57"/>
      <c r="D85" s="59"/>
      <c r="E85" s="59"/>
      <c r="F85" s="57"/>
      <c r="G85" s="59"/>
      <c r="H85" s="59"/>
      <c r="I85" s="57"/>
      <c r="J85" s="57"/>
      <c r="K85" s="57"/>
      <c r="L85" s="57"/>
      <c r="M85" s="57"/>
      <c r="N85" s="97"/>
      <c r="O85" s="97"/>
      <c r="P85" s="97"/>
      <c r="Q85" s="9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654" t="s">
        <v>79</v>
      </c>
      <c r="AE85" s="649"/>
      <c r="AF85" s="649"/>
      <c r="AG85" s="649"/>
      <c r="AH85" s="649"/>
      <c r="AI85" s="649"/>
      <c r="AJ85" s="649"/>
      <c r="AK85" s="649"/>
      <c r="AL85" s="649"/>
      <c r="AM85" s="649"/>
      <c r="AN85" s="649"/>
      <c r="AO85" s="649"/>
      <c r="AP85" s="649"/>
      <c r="AQ85" s="639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64"/>
      <c r="BL85" s="56"/>
      <c r="BM85" s="56"/>
      <c r="BN85" s="56"/>
      <c r="BO85" s="56"/>
      <c r="BP85" s="56"/>
      <c r="BQ85" s="56"/>
      <c r="BR85" s="108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</row>
    <row r="86" spans="1:97" ht="49.5" customHeight="1" x14ac:dyDescent="0.25">
      <c r="B86" s="626"/>
      <c r="C86" s="19"/>
      <c r="D86" s="49"/>
      <c r="E86" s="49"/>
      <c r="F86" s="19"/>
      <c r="G86" s="49"/>
      <c r="H86" s="49"/>
      <c r="I86" s="19"/>
      <c r="J86" s="19"/>
      <c r="K86" s="19"/>
      <c r="L86" s="19"/>
      <c r="M86" s="19"/>
      <c r="N86" s="13"/>
      <c r="O86" s="13"/>
      <c r="P86" s="13"/>
      <c r="Q86" s="13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21"/>
      <c r="BR86" s="51"/>
    </row>
    <row r="87" spans="1:97" ht="49.5" customHeight="1" x14ac:dyDescent="0.25">
      <c r="B87" s="626"/>
      <c r="C87" s="19"/>
      <c r="D87" s="49"/>
      <c r="E87" s="49"/>
      <c r="F87" s="19"/>
      <c r="G87" s="49"/>
      <c r="H87" s="49"/>
      <c r="I87" s="19"/>
      <c r="J87" s="19"/>
      <c r="K87" s="19"/>
      <c r="L87" s="19"/>
      <c r="M87" s="19"/>
      <c r="N87" s="13"/>
      <c r="O87" s="13"/>
      <c r="P87" s="13"/>
      <c r="Q87" s="13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P87" s="76" t="s">
        <v>105</v>
      </c>
      <c r="AQ87" s="76" t="s">
        <v>106</v>
      </c>
      <c r="AR87" s="19"/>
      <c r="AS87" s="19"/>
      <c r="AT87" s="77" t="s">
        <v>107</v>
      </c>
      <c r="AU87" s="656" t="s">
        <v>108</v>
      </c>
      <c r="AV87" s="573"/>
      <c r="AW87" s="19"/>
      <c r="AX87" s="19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18"/>
      <c r="BK87" s="79"/>
      <c r="BR87" s="51"/>
    </row>
    <row r="88" spans="1:97" ht="49.5" customHeight="1" x14ac:dyDescent="0.25">
      <c r="B88" s="626"/>
      <c r="C88" s="19"/>
      <c r="D88" s="49"/>
      <c r="E88" s="49"/>
      <c r="F88" s="19"/>
      <c r="G88" s="49"/>
      <c r="H88" s="49"/>
      <c r="I88" s="19"/>
      <c r="J88" s="19"/>
      <c r="K88" s="19"/>
      <c r="L88" s="19"/>
      <c r="M88" s="19"/>
      <c r="N88" s="13"/>
      <c r="O88" s="13"/>
      <c r="P88" s="13"/>
      <c r="Q88" s="13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35"/>
      <c r="AI88" s="35"/>
      <c r="AJ88" s="35"/>
      <c r="AK88" s="35"/>
      <c r="AL88" s="35"/>
      <c r="AM88" s="35"/>
      <c r="AN88" s="35"/>
      <c r="AP88" s="78"/>
      <c r="AQ88" s="78"/>
      <c r="AR88" s="78"/>
      <c r="AS88" s="78"/>
      <c r="AT88" s="78"/>
      <c r="AU88" s="78"/>
      <c r="AV88" s="19"/>
      <c r="AW88" s="19"/>
      <c r="AX88" s="19"/>
      <c r="AY88" s="19"/>
      <c r="AZ88" s="19"/>
      <c r="BA88" s="19"/>
      <c r="BB88" s="19"/>
      <c r="BC88" s="78"/>
      <c r="BD88" s="78"/>
      <c r="BE88" s="78"/>
      <c r="BF88" s="78"/>
      <c r="BG88" s="78"/>
      <c r="BH88" s="78"/>
      <c r="BI88" s="78"/>
      <c r="BJ88" s="18"/>
      <c r="BK88" s="79"/>
      <c r="BR88" s="51"/>
    </row>
    <row r="89" spans="1:97" ht="49.5" customHeight="1" x14ac:dyDescent="0.25">
      <c r="B89" s="626"/>
      <c r="C89" s="19"/>
      <c r="D89" s="49"/>
      <c r="E89" s="49"/>
      <c r="F89" s="19"/>
      <c r="G89" s="49"/>
      <c r="H89" s="49"/>
      <c r="I89" s="19"/>
      <c r="J89" s="19"/>
      <c r="K89" s="19"/>
      <c r="L89" s="19"/>
      <c r="M89" s="19"/>
      <c r="N89" s="13"/>
      <c r="O89" s="13"/>
      <c r="P89" s="13"/>
      <c r="Q89" s="13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637" t="s">
        <v>123</v>
      </c>
      <c r="AI89" s="574"/>
      <c r="AJ89" s="574"/>
      <c r="AK89" s="573"/>
      <c r="AL89" s="35"/>
      <c r="AM89" s="35"/>
      <c r="AN89" s="35"/>
      <c r="AP89" s="78"/>
      <c r="AQ89" s="78"/>
      <c r="AR89" s="78"/>
      <c r="AS89" s="78"/>
      <c r="AT89" s="78"/>
      <c r="AU89" s="19"/>
      <c r="AV89" s="653" t="s">
        <v>109</v>
      </c>
      <c r="AW89" s="574"/>
      <c r="AX89" s="574"/>
      <c r="AY89" s="574"/>
      <c r="AZ89" s="574"/>
      <c r="BA89" s="574"/>
      <c r="BB89" s="574"/>
      <c r="BC89" s="573"/>
      <c r="BD89" s="78"/>
      <c r="BE89" s="78"/>
      <c r="BF89" s="78"/>
      <c r="BG89" s="78"/>
      <c r="BH89" s="78"/>
      <c r="BI89" s="78"/>
      <c r="BJ89" s="18"/>
      <c r="BK89" s="79"/>
      <c r="BR89" s="51"/>
    </row>
    <row r="90" spans="1:97" ht="49.5" customHeight="1" x14ac:dyDescent="0.25">
      <c r="B90" s="626"/>
      <c r="C90" s="19"/>
      <c r="D90" s="49"/>
      <c r="E90" s="49"/>
      <c r="F90" s="19"/>
      <c r="G90" s="49"/>
      <c r="H90" s="49"/>
      <c r="I90" s="19"/>
      <c r="J90" s="19"/>
      <c r="K90" s="19"/>
      <c r="L90" s="19"/>
      <c r="M90" s="19"/>
      <c r="N90" s="13"/>
      <c r="O90" s="13"/>
      <c r="P90" s="13"/>
      <c r="Q90" s="13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35"/>
      <c r="AI90" s="35"/>
      <c r="AJ90" s="35"/>
      <c r="AK90" s="35"/>
      <c r="AL90" s="35"/>
      <c r="AM90" s="35"/>
      <c r="AN90" s="35"/>
      <c r="AP90" s="78"/>
      <c r="AQ90" s="78"/>
      <c r="AR90" s="78"/>
      <c r="AS90" s="78"/>
      <c r="AT90" s="78"/>
      <c r="AU90" s="78"/>
      <c r="AV90" s="78"/>
      <c r="AW90" s="19"/>
      <c r="AX90" s="19"/>
      <c r="AY90" s="19"/>
      <c r="AZ90" s="19"/>
      <c r="BA90" s="19"/>
      <c r="BB90" s="19"/>
      <c r="BC90" s="19"/>
      <c r="BD90" s="19"/>
      <c r="BE90" s="78"/>
      <c r="BF90" s="78"/>
      <c r="BG90" s="78"/>
      <c r="BH90" s="78"/>
      <c r="BI90" s="78"/>
      <c r="BJ90" s="18"/>
      <c r="BK90" s="79"/>
      <c r="BR90" s="51"/>
    </row>
    <row r="91" spans="1:97" ht="49.5" customHeight="1" x14ac:dyDescent="0.25">
      <c r="B91" s="626"/>
      <c r="C91" s="19"/>
      <c r="D91" s="49"/>
      <c r="E91" s="49"/>
      <c r="F91" s="19"/>
      <c r="G91" s="49"/>
      <c r="H91" s="49"/>
      <c r="I91" s="19"/>
      <c r="J91" s="19"/>
      <c r="K91" s="19"/>
      <c r="L91" s="19"/>
      <c r="M91" s="19"/>
      <c r="N91" s="13"/>
      <c r="O91" s="13"/>
      <c r="P91" s="13"/>
      <c r="Q91" s="13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01" t="s">
        <v>122</v>
      </c>
      <c r="AI91" s="35"/>
      <c r="AJ91" s="101" t="s">
        <v>122</v>
      </c>
      <c r="AK91" s="35"/>
      <c r="AL91" s="35"/>
      <c r="AM91" s="35"/>
      <c r="AN91" s="68"/>
      <c r="AP91" s="78"/>
      <c r="AQ91" s="78"/>
      <c r="AR91" s="78"/>
      <c r="AS91" s="78"/>
      <c r="AT91" s="78"/>
      <c r="AU91" s="78"/>
      <c r="AV91" s="78"/>
      <c r="AW91" s="78"/>
      <c r="AX91" s="657" t="s">
        <v>110</v>
      </c>
      <c r="AY91" s="574"/>
      <c r="AZ91" s="574"/>
      <c r="BA91" s="574"/>
      <c r="BB91" s="574"/>
      <c r="BC91" s="573"/>
      <c r="BD91" s="78"/>
      <c r="BE91" s="78"/>
      <c r="BF91" s="78"/>
      <c r="BG91" s="78"/>
      <c r="BH91" s="78"/>
      <c r="BI91" s="78"/>
      <c r="BJ91" s="18"/>
      <c r="BK91" s="79"/>
      <c r="BR91" s="51"/>
    </row>
    <row r="92" spans="1:97" ht="49.5" customHeight="1" x14ac:dyDescent="0.25">
      <c r="B92" s="626"/>
      <c r="C92" s="19"/>
      <c r="D92" s="49"/>
      <c r="E92" s="49"/>
      <c r="F92" s="19"/>
      <c r="G92" s="49"/>
      <c r="H92" s="49"/>
      <c r="I92" s="19"/>
      <c r="J92" s="19"/>
      <c r="K92" s="19"/>
      <c r="L92" s="19"/>
      <c r="M92" s="19"/>
      <c r="N92" s="13"/>
      <c r="O92" s="13"/>
      <c r="P92" s="13"/>
      <c r="Q92" s="13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35"/>
      <c r="AI92" s="35"/>
      <c r="AJ92" s="35"/>
      <c r="AK92" s="35"/>
      <c r="AL92" s="35"/>
      <c r="AM92" s="35"/>
      <c r="AN92" s="35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21"/>
      <c r="BR92" s="51"/>
    </row>
    <row r="93" spans="1:97" ht="49.5" customHeight="1" x14ac:dyDescent="0.25">
      <c r="B93" s="626"/>
      <c r="C93" s="19"/>
      <c r="D93" s="49"/>
      <c r="E93" s="49"/>
      <c r="F93" s="19"/>
      <c r="G93" s="49"/>
      <c r="H93" s="49"/>
      <c r="I93" s="19"/>
      <c r="J93" s="19"/>
      <c r="K93" s="19"/>
      <c r="L93" s="19"/>
      <c r="M93" s="19"/>
      <c r="N93" s="13"/>
      <c r="O93" s="13"/>
      <c r="P93" s="13"/>
      <c r="Q93" s="13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35"/>
      <c r="AI93" s="35"/>
      <c r="AJ93" s="35"/>
      <c r="AK93" s="35"/>
      <c r="AL93" s="35"/>
      <c r="AM93" s="35"/>
      <c r="AN93" s="35"/>
      <c r="AP93" s="78"/>
      <c r="AQ93" s="19"/>
      <c r="AR93" s="19"/>
      <c r="AS93" s="19"/>
      <c r="AT93" s="19"/>
      <c r="AU93" s="78"/>
      <c r="AV93" s="78"/>
      <c r="AW93" s="78"/>
      <c r="AX93" s="78"/>
      <c r="AY93" s="78"/>
      <c r="AZ93" s="78"/>
      <c r="BA93" s="19"/>
      <c r="BB93" s="19"/>
      <c r="BC93" s="19"/>
      <c r="BD93" s="650" t="s">
        <v>111</v>
      </c>
      <c r="BE93" s="574"/>
      <c r="BF93" s="574"/>
      <c r="BG93" s="574"/>
      <c r="BH93" s="574"/>
      <c r="BI93" s="574"/>
      <c r="BJ93" s="574"/>
      <c r="BK93" s="651"/>
      <c r="BR93" s="51"/>
    </row>
    <row r="94" spans="1:97" ht="49.5" customHeight="1" x14ac:dyDescent="0.25">
      <c r="B94" s="626"/>
      <c r="C94" s="19"/>
      <c r="D94" s="49"/>
      <c r="E94" s="49"/>
      <c r="F94" s="19"/>
      <c r="G94" s="49"/>
      <c r="H94" s="49"/>
      <c r="I94" s="19"/>
      <c r="J94" s="19"/>
      <c r="K94" s="19"/>
      <c r="L94" s="19"/>
      <c r="M94" s="19"/>
      <c r="N94" s="13"/>
      <c r="O94" s="13"/>
      <c r="P94" s="13"/>
      <c r="Q94" s="13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35"/>
      <c r="AI94" s="35"/>
      <c r="AJ94" s="35"/>
      <c r="AK94" s="35"/>
      <c r="AL94" s="35"/>
      <c r="AM94" s="35"/>
      <c r="AN94" s="35"/>
      <c r="AP94" s="78"/>
      <c r="AQ94" s="78"/>
      <c r="AR94" s="78"/>
      <c r="AS94" s="78"/>
      <c r="AT94" s="78"/>
      <c r="AU94" s="78"/>
      <c r="AV94" s="78"/>
      <c r="AW94" s="78"/>
      <c r="AX94" s="78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21"/>
      <c r="BR94" s="51"/>
    </row>
    <row r="95" spans="1:97" ht="49.5" customHeight="1" x14ac:dyDescent="0.25">
      <c r="B95" s="626"/>
      <c r="C95" s="19"/>
      <c r="D95" s="49"/>
      <c r="E95" s="49"/>
      <c r="F95" s="19"/>
      <c r="G95" s="49"/>
      <c r="H95" s="49"/>
      <c r="I95" s="19"/>
      <c r="J95" s="19"/>
      <c r="K95" s="19"/>
      <c r="L95" s="19"/>
      <c r="M95" s="19"/>
      <c r="N95" s="13"/>
      <c r="O95" s="13"/>
      <c r="P95" s="13"/>
      <c r="Q95" s="13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35"/>
      <c r="AI95" s="35"/>
      <c r="AJ95" s="35"/>
      <c r="AK95" s="35"/>
      <c r="AL95" s="35"/>
      <c r="AM95" s="35"/>
      <c r="AN95" s="35"/>
      <c r="AP95" s="644" t="s">
        <v>112</v>
      </c>
      <c r="AQ95" s="574"/>
      <c r="AR95" s="574"/>
      <c r="AS95" s="573"/>
      <c r="AT95" s="19"/>
      <c r="AU95" s="78"/>
      <c r="AV95" s="78"/>
      <c r="AW95" s="78"/>
      <c r="AX95" s="78"/>
      <c r="AY95" s="644" t="s">
        <v>113</v>
      </c>
      <c r="AZ95" s="574"/>
      <c r="BA95" s="574"/>
      <c r="BB95" s="573"/>
      <c r="BC95" s="19"/>
      <c r="BD95" s="19"/>
      <c r="BE95" s="78"/>
      <c r="BF95" s="78"/>
      <c r="BG95" s="78"/>
      <c r="BH95" s="78"/>
      <c r="BI95" s="78"/>
      <c r="BJ95" s="18"/>
      <c r="BK95" s="79"/>
      <c r="BR95" s="51"/>
    </row>
    <row r="96" spans="1:97" ht="49.5" customHeight="1" x14ac:dyDescent="0.25">
      <c r="B96" s="626"/>
      <c r="C96" s="19"/>
      <c r="D96" s="49"/>
      <c r="E96" s="49"/>
      <c r="F96" s="19"/>
      <c r="G96" s="49"/>
      <c r="H96" s="49"/>
      <c r="I96" s="19"/>
      <c r="J96" s="19"/>
      <c r="K96" s="19"/>
      <c r="L96" s="19"/>
      <c r="M96" s="19"/>
      <c r="N96" s="13"/>
      <c r="O96" s="13"/>
      <c r="P96" s="13"/>
      <c r="Q96" s="13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35"/>
      <c r="AI96" s="35"/>
      <c r="AJ96" s="35"/>
      <c r="AK96" s="35"/>
      <c r="AL96" s="35"/>
      <c r="AM96" s="35"/>
      <c r="AN96" s="35"/>
      <c r="AP96" s="78"/>
      <c r="AQ96" s="78"/>
      <c r="AR96" s="78"/>
      <c r="AS96" s="19"/>
      <c r="AT96" s="19"/>
      <c r="AU96" s="19"/>
      <c r="AV96" s="19"/>
      <c r="AW96" s="78"/>
      <c r="AX96" s="19"/>
      <c r="AY96" s="19"/>
      <c r="AZ96" s="19"/>
      <c r="BA96" s="78"/>
      <c r="BB96" s="78"/>
      <c r="BC96" s="19"/>
      <c r="BD96" s="19"/>
      <c r="BE96" s="19"/>
      <c r="BF96" s="19"/>
      <c r="BG96" s="78"/>
      <c r="BH96" s="78"/>
      <c r="BI96" s="78"/>
      <c r="BJ96" s="18"/>
      <c r="BK96" s="79"/>
      <c r="BR96" s="51"/>
    </row>
    <row r="97" spans="1:97" ht="49.5" customHeight="1" x14ac:dyDescent="0.25">
      <c r="B97" s="626"/>
      <c r="C97" s="19"/>
      <c r="D97" s="49"/>
      <c r="E97" s="49"/>
      <c r="F97" s="19"/>
      <c r="G97" s="49"/>
      <c r="H97" s="49"/>
      <c r="I97" s="19"/>
      <c r="J97" s="19"/>
      <c r="K97" s="19"/>
      <c r="L97" s="19"/>
      <c r="M97" s="19"/>
      <c r="N97" s="13"/>
      <c r="O97" s="13"/>
      <c r="P97" s="13"/>
      <c r="Q97" s="13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35"/>
      <c r="AI97" s="35"/>
      <c r="AJ97" s="35"/>
      <c r="AK97" s="35"/>
      <c r="AL97" s="88"/>
      <c r="AM97" s="88"/>
      <c r="AN97" s="88"/>
      <c r="AP97" s="78"/>
      <c r="AQ97" s="78"/>
      <c r="AR97" s="652" t="s">
        <v>114</v>
      </c>
      <c r="AS97" s="573"/>
      <c r="AT97" s="78"/>
      <c r="AU97" s="78"/>
      <c r="AV97" s="78"/>
      <c r="AW97" s="78"/>
      <c r="AX97" s="78"/>
      <c r="AY97" s="652" t="s">
        <v>115</v>
      </c>
      <c r="AZ97" s="574"/>
      <c r="BA97" s="574"/>
      <c r="BB97" s="573"/>
      <c r="BC97" s="78"/>
      <c r="BD97" s="78"/>
      <c r="BE97" s="78"/>
      <c r="BF97" s="78"/>
      <c r="BG97" s="78"/>
      <c r="BH97" s="78"/>
      <c r="BI97" s="78"/>
      <c r="BJ97" s="18"/>
      <c r="BK97" s="79"/>
      <c r="BR97" s="51"/>
    </row>
    <row r="98" spans="1:97" ht="49.5" customHeight="1" x14ac:dyDescent="0.25">
      <c r="B98" s="626"/>
      <c r="C98" s="19"/>
      <c r="D98" s="49"/>
      <c r="E98" s="49"/>
      <c r="F98" s="19"/>
      <c r="G98" s="49"/>
      <c r="H98" s="49"/>
      <c r="I98" s="19"/>
      <c r="J98" s="19"/>
      <c r="K98" s="19"/>
      <c r="L98" s="19"/>
      <c r="M98" s="19"/>
      <c r="N98" s="13"/>
      <c r="O98" s="13"/>
      <c r="P98" s="13"/>
      <c r="Q98" s="13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35"/>
      <c r="AI98" s="35"/>
      <c r="AJ98" s="35"/>
      <c r="AK98" s="35"/>
      <c r="AL98" s="35"/>
      <c r="AM98" s="35"/>
      <c r="AN98" s="35"/>
      <c r="AP98" s="78"/>
      <c r="AQ98" s="78"/>
      <c r="AR98" s="78"/>
      <c r="AS98" s="78"/>
      <c r="AT98" s="18"/>
      <c r="AU98" s="19"/>
      <c r="AV98" s="19"/>
      <c r="AW98" s="78"/>
      <c r="AX98" s="78"/>
      <c r="AY98" s="78"/>
      <c r="AZ98" s="78"/>
      <c r="BA98" s="19"/>
      <c r="BB98" s="19"/>
      <c r="BC98" s="19"/>
      <c r="BD98" s="19"/>
      <c r="BE98" s="78"/>
      <c r="BF98" s="78"/>
      <c r="BG98" s="78"/>
      <c r="BH98" s="78"/>
      <c r="BI98" s="78"/>
      <c r="BJ98" s="18"/>
      <c r="BK98" s="79"/>
      <c r="BR98" s="51"/>
    </row>
    <row r="99" spans="1:97" ht="49.5" customHeight="1" x14ac:dyDescent="0.25">
      <c r="B99" s="626"/>
      <c r="C99" s="19"/>
      <c r="D99" s="49"/>
      <c r="E99" s="49"/>
      <c r="F99" s="19"/>
      <c r="G99" s="49"/>
      <c r="H99" s="49"/>
      <c r="I99" s="19"/>
      <c r="J99" s="19"/>
      <c r="K99" s="19"/>
      <c r="L99" s="19"/>
      <c r="M99" s="19"/>
      <c r="N99" s="13"/>
      <c r="O99" s="13"/>
      <c r="P99" s="13"/>
      <c r="Q99" s="13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35"/>
      <c r="AI99" s="35"/>
      <c r="AJ99" s="35"/>
      <c r="AK99" s="35"/>
      <c r="AL99" s="35"/>
      <c r="AM99" s="35"/>
      <c r="AN99" s="35"/>
      <c r="AP99" s="78"/>
      <c r="AQ99" s="78"/>
      <c r="AR99" s="78"/>
      <c r="AS99" s="78"/>
      <c r="AT99" s="78"/>
      <c r="AU99" s="78"/>
      <c r="AV99" s="78"/>
      <c r="AW99" s="87" t="s">
        <v>116</v>
      </c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18"/>
      <c r="BK99" s="79"/>
      <c r="BR99" s="51"/>
    </row>
    <row r="100" spans="1:97" ht="49.5" customHeight="1" x14ac:dyDescent="0.25">
      <c r="B100" s="626"/>
      <c r="C100" s="19"/>
      <c r="D100" s="49"/>
      <c r="E100" s="49"/>
      <c r="F100" s="19"/>
      <c r="G100" s="49"/>
      <c r="H100" s="49"/>
      <c r="I100" s="19"/>
      <c r="J100" s="19"/>
      <c r="K100" s="19"/>
      <c r="L100" s="19"/>
      <c r="M100" s="19"/>
      <c r="N100" s="13"/>
      <c r="O100" s="13"/>
      <c r="P100" s="13"/>
      <c r="Q100" s="13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35"/>
      <c r="AI100" s="35"/>
      <c r="AJ100" s="35"/>
      <c r="AK100" s="35"/>
      <c r="AL100" s="35"/>
      <c r="AM100" s="35"/>
      <c r="AN100" s="35"/>
      <c r="AP100" s="78"/>
      <c r="AQ100" s="78"/>
      <c r="AR100" s="78"/>
      <c r="AS100" s="78"/>
      <c r="AT100" s="78"/>
      <c r="AU100" s="78"/>
      <c r="AV100" s="78"/>
      <c r="AW100" s="78"/>
      <c r="AX100" s="78"/>
      <c r="AY100" s="19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18"/>
      <c r="BK100" s="79"/>
      <c r="BR100" s="51"/>
    </row>
    <row r="101" spans="1:97" ht="49.5" customHeight="1" x14ac:dyDescent="0.25">
      <c r="B101" s="627"/>
      <c r="C101" s="24"/>
      <c r="D101" s="109"/>
      <c r="E101" s="109"/>
      <c r="F101" s="24"/>
      <c r="G101" s="109"/>
      <c r="H101" s="109"/>
      <c r="I101" s="24"/>
      <c r="J101" s="24"/>
      <c r="K101" s="24"/>
      <c r="L101" s="24"/>
      <c r="M101" s="24"/>
      <c r="N101" s="110"/>
      <c r="O101" s="110"/>
      <c r="P101" s="110"/>
      <c r="Q101" s="11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93"/>
      <c r="AI101" s="93"/>
      <c r="AJ101" s="93"/>
      <c r="AK101" s="93"/>
      <c r="AL101" s="93"/>
      <c r="AM101" s="93"/>
      <c r="AN101" s="93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5" t="s">
        <v>119</v>
      </c>
      <c r="BB101" s="94"/>
      <c r="BC101" s="94"/>
      <c r="BD101" s="94"/>
      <c r="BE101" s="94"/>
      <c r="BF101" s="94"/>
      <c r="BG101" s="94"/>
      <c r="BH101" s="94"/>
      <c r="BI101" s="94"/>
      <c r="BJ101" s="24"/>
      <c r="BK101" s="25"/>
      <c r="BR101" s="51"/>
    </row>
    <row r="102" spans="1:97" ht="49.5" customHeight="1" x14ac:dyDescent="0.25">
      <c r="D102" s="49"/>
      <c r="E102" s="49"/>
      <c r="G102" s="49"/>
      <c r="H102" s="49"/>
      <c r="N102" s="13"/>
      <c r="O102" s="13"/>
      <c r="P102" s="13"/>
      <c r="Q102" s="13"/>
      <c r="BR102" s="51"/>
    </row>
    <row r="103" spans="1:97" ht="69.75" customHeight="1" x14ac:dyDescent="0.25">
      <c r="A103" s="56"/>
      <c r="B103" s="625" t="s">
        <v>127</v>
      </c>
      <c r="C103" s="57"/>
      <c r="D103" s="59"/>
      <c r="E103" s="59"/>
      <c r="F103" s="57"/>
      <c r="G103" s="59"/>
      <c r="H103" s="59"/>
      <c r="I103" s="57"/>
      <c r="J103" s="57"/>
      <c r="K103" s="57"/>
      <c r="L103" s="57"/>
      <c r="M103" s="57"/>
      <c r="N103" s="97"/>
      <c r="O103" s="97"/>
      <c r="P103" s="97"/>
      <c r="Q103" s="9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638" t="s">
        <v>128</v>
      </c>
      <c r="AE103" s="639"/>
      <c r="AF103" s="111" t="s">
        <v>105</v>
      </c>
      <c r="AG103" s="111" t="s">
        <v>106</v>
      </c>
      <c r="AH103" s="112"/>
      <c r="AI103" s="112"/>
      <c r="AJ103" s="112"/>
      <c r="AK103" s="643" t="s">
        <v>129</v>
      </c>
      <c r="AL103" s="640" t="s">
        <v>130</v>
      </c>
      <c r="AM103" s="641"/>
      <c r="AN103" s="113" t="s">
        <v>131</v>
      </c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  <c r="AZ103" s="115"/>
      <c r="BA103" s="11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1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56"/>
      <c r="CP103" s="56"/>
      <c r="CQ103" s="56"/>
      <c r="CR103" s="56"/>
      <c r="CS103" s="56"/>
    </row>
    <row r="104" spans="1:97" ht="49.5" customHeight="1" x14ac:dyDescent="0.25">
      <c r="B104" s="626"/>
      <c r="C104" s="19"/>
      <c r="D104" s="49"/>
      <c r="E104" s="49"/>
      <c r="F104" s="19"/>
      <c r="G104" s="49"/>
      <c r="H104" s="49"/>
      <c r="I104" s="19"/>
      <c r="J104" s="19"/>
      <c r="K104" s="19"/>
      <c r="L104" s="19"/>
      <c r="M104" s="19"/>
      <c r="N104" s="13"/>
      <c r="O104" s="13"/>
      <c r="P104" s="13"/>
      <c r="Q104" s="13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20"/>
      <c r="AE104" s="19"/>
      <c r="AF104" s="640" t="s">
        <v>132</v>
      </c>
      <c r="AG104" s="641"/>
      <c r="AH104" s="117"/>
      <c r="AI104" s="117"/>
      <c r="AJ104" s="117"/>
      <c r="AK104" s="608"/>
      <c r="AL104" s="642" t="s">
        <v>133</v>
      </c>
      <c r="AM104" s="574"/>
      <c r="AN104" s="573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18"/>
      <c r="BA104" s="7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51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</row>
    <row r="105" spans="1:97" ht="49.5" customHeight="1" x14ac:dyDescent="0.25">
      <c r="B105" s="626"/>
      <c r="C105" s="19"/>
      <c r="D105" s="49"/>
      <c r="E105" s="49"/>
      <c r="F105" s="19"/>
      <c r="G105" s="49"/>
      <c r="H105" s="49"/>
      <c r="I105" s="19"/>
      <c r="J105" s="19"/>
      <c r="K105" s="19"/>
      <c r="L105" s="19"/>
      <c r="M105" s="19"/>
      <c r="N105" s="13"/>
      <c r="O105" s="13"/>
      <c r="P105" s="13"/>
      <c r="Q105" s="13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20"/>
      <c r="AE105" s="19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18"/>
      <c r="BA105" s="7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51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</row>
    <row r="106" spans="1:97" ht="49.5" customHeight="1" x14ac:dyDescent="0.25">
      <c r="B106" s="626"/>
      <c r="C106" s="19"/>
      <c r="D106" s="49"/>
      <c r="E106" s="49"/>
      <c r="F106" s="19"/>
      <c r="G106" s="49"/>
      <c r="H106" s="49"/>
      <c r="I106" s="19"/>
      <c r="J106" s="19"/>
      <c r="K106" s="19"/>
      <c r="L106" s="19"/>
      <c r="M106" s="19"/>
      <c r="N106" s="13"/>
      <c r="O106" s="13"/>
      <c r="P106" s="13"/>
      <c r="Q106" s="13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20"/>
      <c r="AE106" s="19"/>
      <c r="AF106" s="78"/>
      <c r="AG106" s="78"/>
      <c r="AH106" s="78"/>
      <c r="AI106" s="78"/>
      <c r="AJ106" s="78"/>
      <c r="AK106" s="78"/>
      <c r="AL106" s="78"/>
      <c r="AM106" s="653" t="s">
        <v>109</v>
      </c>
      <c r="AN106" s="574"/>
      <c r="AO106" s="574"/>
      <c r="AP106" s="574"/>
      <c r="AQ106" s="574"/>
      <c r="AR106" s="574"/>
      <c r="AS106" s="574"/>
      <c r="AT106" s="573"/>
      <c r="AU106" s="78"/>
      <c r="AV106" s="78"/>
      <c r="AW106" s="78"/>
      <c r="AX106" s="78"/>
      <c r="AY106" s="78"/>
      <c r="AZ106" s="18"/>
      <c r="BA106" s="7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51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</row>
    <row r="107" spans="1:97" ht="49.5" customHeight="1" x14ac:dyDescent="0.25">
      <c r="B107" s="626"/>
      <c r="C107" s="19"/>
      <c r="D107" s="49"/>
      <c r="E107" s="49"/>
      <c r="F107" s="19"/>
      <c r="G107" s="49"/>
      <c r="H107" s="49"/>
      <c r="I107" s="19"/>
      <c r="J107" s="19"/>
      <c r="K107" s="19"/>
      <c r="L107" s="19"/>
      <c r="M107" s="19"/>
      <c r="N107" s="13"/>
      <c r="O107" s="13"/>
      <c r="P107" s="13"/>
      <c r="Q107" s="13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20"/>
      <c r="AE107" s="19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18"/>
      <c r="BA107" s="7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51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</row>
    <row r="108" spans="1:97" ht="49.5" customHeight="1" x14ac:dyDescent="0.25">
      <c r="B108" s="626"/>
      <c r="C108" s="19"/>
      <c r="D108" s="49"/>
      <c r="E108" s="49"/>
      <c r="F108" s="19"/>
      <c r="G108" s="49"/>
      <c r="H108" s="49"/>
      <c r="I108" s="19"/>
      <c r="J108" s="19"/>
      <c r="K108" s="19"/>
      <c r="L108" s="19"/>
      <c r="M108" s="19"/>
      <c r="N108" s="13"/>
      <c r="O108" s="13"/>
      <c r="P108" s="13"/>
      <c r="Q108" s="13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20"/>
      <c r="AE108" s="19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657" t="s">
        <v>110</v>
      </c>
      <c r="AQ108" s="574"/>
      <c r="AR108" s="574"/>
      <c r="AS108" s="574"/>
      <c r="AT108" s="574"/>
      <c r="AU108" s="573"/>
      <c r="AV108" s="78"/>
      <c r="AW108" s="78"/>
      <c r="AX108" s="78"/>
      <c r="AY108" s="78"/>
      <c r="AZ108" s="18"/>
      <c r="BA108" s="7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51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</row>
    <row r="109" spans="1:97" ht="49.5" customHeight="1" x14ac:dyDescent="0.25">
      <c r="B109" s="626"/>
      <c r="C109" s="19"/>
      <c r="D109" s="49"/>
      <c r="E109" s="49"/>
      <c r="F109" s="19"/>
      <c r="G109" s="49"/>
      <c r="H109" s="49"/>
      <c r="I109" s="19"/>
      <c r="J109" s="19"/>
      <c r="K109" s="19"/>
      <c r="L109" s="19"/>
      <c r="M109" s="19"/>
      <c r="N109" s="13"/>
      <c r="O109" s="13"/>
      <c r="P109" s="13"/>
      <c r="Q109" s="13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20"/>
      <c r="AE109" s="19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18"/>
      <c r="BA109" s="7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51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</row>
    <row r="110" spans="1:97" ht="49.5" customHeight="1" x14ac:dyDescent="0.25">
      <c r="B110" s="626"/>
      <c r="C110" s="19"/>
      <c r="D110" s="49"/>
      <c r="E110" s="49"/>
      <c r="F110" s="19"/>
      <c r="G110" s="49"/>
      <c r="H110" s="49"/>
      <c r="I110" s="19"/>
      <c r="J110" s="19"/>
      <c r="K110" s="19"/>
      <c r="L110" s="19"/>
      <c r="M110" s="19"/>
      <c r="N110" s="13"/>
      <c r="O110" s="13"/>
      <c r="P110" s="13"/>
      <c r="Q110" s="13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20"/>
      <c r="AE110" s="19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650" t="s">
        <v>111</v>
      </c>
      <c r="AU110" s="574"/>
      <c r="AV110" s="574"/>
      <c r="AW110" s="574"/>
      <c r="AX110" s="574"/>
      <c r="AY110" s="574"/>
      <c r="AZ110" s="574"/>
      <c r="BA110" s="651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51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</row>
    <row r="111" spans="1:97" ht="49.5" customHeight="1" x14ac:dyDescent="0.25">
      <c r="B111" s="626"/>
      <c r="C111" s="19"/>
      <c r="D111" s="49"/>
      <c r="E111" s="49"/>
      <c r="F111" s="19"/>
      <c r="G111" s="49"/>
      <c r="H111" s="49"/>
      <c r="I111" s="19"/>
      <c r="J111" s="19"/>
      <c r="K111" s="19"/>
      <c r="L111" s="19"/>
      <c r="M111" s="19"/>
      <c r="N111" s="13"/>
      <c r="O111" s="13"/>
      <c r="P111" s="13"/>
      <c r="Q111" s="13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20"/>
      <c r="AE111" s="19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18"/>
      <c r="BA111" s="7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51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</row>
    <row r="112" spans="1:97" ht="49.5" customHeight="1" x14ac:dyDescent="0.25">
      <c r="B112" s="626"/>
      <c r="C112" s="19"/>
      <c r="D112" s="49"/>
      <c r="E112" s="49"/>
      <c r="F112" s="19"/>
      <c r="G112" s="49"/>
      <c r="H112" s="49"/>
      <c r="I112" s="19"/>
      <c r="J112" s="19"/>
      <c r="K112" s="19"/>
      <c r="L112" s="19"/>
      <c r="M112" s="19"/>
      <c r="N112" s="13"/>
      <c r="O112" s="13"/>
      <c r="P112" s="13"/>
      <c r="Q112" s="13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20"/>
      <c r="AE112" s="19"/>
      <c r="AF112" s="78"/>
      <c r="AG112" s="78"/>
      <c r="AH112" s="78"/>
      <c r="AI112" s="644" t="s">
        <v>112</v>
      </c>
      <c r="AJ112" s="574"/>
      <c r="AK112" s="574"/>
      <c r="AL112" s="573"/>
      <c r="AM112" s="78"/>
      <c r="AN112" s="78"/>
      <c r="AO112" s="78"/>
      <c r="AP112" s="78"/>
      <c r="AQ112" s="78"/>
      <c r="AR112" s="78"/>
      <c r="AS112" s="644" t="s">
        <v>113</v>
      </c>
      <c r="AT112" s="574"/>
      <c r="AU112" s="574"/>
      <c r="AV112" s="573"/>
      <c r="AW112" s="78"/>
      <c r="AX112" s="78"/>
      <c r="AY112" s="78"/>
      <c r="AZ112" s="18"/>
      <c r="BA112" s="7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51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</row>
    <row r="113" spans="1:97" ht="49.5" customHeight="1" x14ac:dyDescent="0.25">
      <c r="B113" s="626"/>
      <c r="C113" s="19"/>
      <c r="D113" s="49"/>
      <c r="E113" s="49"/>
      <c r="F113" s="19"/>
      <c r="G113" s="49"/>
      <c r="H113" s="49"/>
      <c r="I113" s="19"/>
      <c r="J113" s="19"/>
      <c r="K113" s="19"/>
      <c r="L113" s="19"/>
      <c r="M113" s="19"/>
      <c r="N113" s="13"/>
      <c r="O113" s="13"/>
      <c r="P113" s="13"/>
      <c r="Q113" s="13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20"/>
      <c r="AE113" s="19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18"/>
      <c r="BA113" s="7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51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</row>
    <row r="114" spans="1:97" ht="49.5" customHeight="1" x14ac:dyDescent="0.25">
      <c r="B114" s="626"/>
      <c r="C114" s="19"/>
      <c r="D114" s="49"/>
      <c r="E114" s="49"/>
      <c r="F114" s="19"/>
      <c r="G114" s="49"/>
      <c r="H114" s="49"/>
      <c r="I114" s="19"/>
      <c r="J114" s="19"/>
      <c r="K114" s="19"/>
      <c r="L114" s="19"/>
      <c r="M114" s="19"/>
      <c r="N114" s="13"/>
      <c r="O114" s="13"/>
      <c r="P114" s="13"/>
      <c r="Q114" s="13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20"/>
      <c r="AE114" s="19"/>
      <c r="AF114" s="78"/>
      <c r="AG114" s="78"/>
      <c r="AH114" s="78"/>
      <c r="AI114" s="78"/>
      <c r="AJ114" s="18"/>
      <c r="AK114" s="645" t="s">
        <v>114</v>
      </c>
      <c r="AL114" s="573"/>
      <c r="AM114" s="78"/>
      <c r="AN114" s="78"/>
      <c r="AO114" s="78"/>
      <c r="AP114" s="78"/>
      <c r="AQ114" s="645" t="s">
        <v>115</v>
      </c>
      <c r="AR114" s="574"/>
      <c r="AS114" s="574"/>
      <c r="AT114" s="573"/>
      <c r="AU114" s="78"/>
      <c r="AV114" s="78"/>
      <c r="AW114" s="78"/>
      <c r="AX114" s="78"/>
      <c r="AY114" s="78"/>
      <c r="AZ114" s="18"/>
      <c r="BA114" s="7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51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</row>
    <row r="115" spans="1:97" ht="49.5" customHeight="1" x14ac:dyDescent="0.25">
      <c r="B115" s="626"/>
      <c r="C115" s="19"/>
      <c r="D115" s="49"/>
      <c r="E115" s="49"/>
      <c r="F115" s="19"/>
      <c r="G115" s="49"/>
      <c r="H115" s="49"/>
      <c r="I115" s="19"/>
      <c r="J115" s="19"/>
      <c r="K115" s="19"/>
      <c r="L115" s="19"/>
      <c r="M115" s="19"/>
      <c r="N115" s="13"/>
      <c r="O115" s="13"/>
      <c r="P115" s="13"/>
      <c r="Q115" s="13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20"/>
      <c r="AE115" s="19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18"/>
      <c r="BA115" s="7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51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</row>
    <row r="116" spans="1:97" ht="49.5" customHeight="1" x14ac:dyDescent="0.25">
      <c r="B116" s="626"/>
      <c r="C116" s="19"/>
      <c r="D116" s="49"/>
      <c r="E116" s="49"/>
      <c r="F116" s="19"/>
      <c r="G116" s="49"/>
      <c r="H116" s="49"/>
      <c r="I116" s="19"/>
      <c r="J116" s="19"/>
      <c r="K116" s="19"/>
      <c r="L116" s="19"/>
      <c r="M116" s="19"/>
      <c r="N116" s="13"/>
      <c r="O116" s="13"/>
      <c r="P116" s="13"/>
      <c r="Q116" s="13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20"/>
      <c r="AE116" s="19"/>
      <c r="AF116" s="78"/>
      <c r="AG116" s="78"/>
      <c r="AH116" s="78"/>
      <c r="AI116" s="78"/>
      <c r="AJ116" s="78"/>
      <c r="AK116" s="78"/>
      <c r="AL116" s="78"/>
      <c r="AM116" s="78"/>
      <c r="AN116" s="78"/>
      <c r="AO116" s="87" t="s">
        <v>116</v>
      </c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18"/>
      <c r="BA116" s="7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51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</row>
    <row r="117" spans="1:97" ht="49.5" customHeight="1" x14ac:dyDescent="0.25">
      <c r="B117" s="626"/>
      <c r="C117" s="19"/>
      <c r="D117" s="49"/>
      <c r="E117" s="49"/>
      <c r="F117" s="19"/>
      <c r="G117" s="49"/>
      <c r="H117" s="49"/>
      <c r="I117" s="19"/>
      <c r="J117" s="19"/>
      <c r="K117" s="19"/>
      <c r="L117" s="19"/>
      <c r="M117" s="19"/>
      <c r="N117" s="13"/>
      <c r="O117" s="13"/>
      <c r="P117" s="13"/>
      <c r="Q117" s="13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20"/>
      <c r="AE117" s="19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19"/>
      <c r="BA117" s="21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51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</row>
    <row r="118" spans="1:97" ht="49.5" customHeight="1" x14ac:dyDescent="0.25">
      <c r="B118" s="627"/>
      <c r="C118" s="24"/>
      <c r="D118" s="109"/>
      <c r="E118" s="109"/>
      <c r="F118" s="24"/>
      <c r="G118" s="109"/>
      <c r="H118" s="109"/>
      <c r="I118" s="24"/>
      <c r="J118" s="24"/>
      <c r="K118" s="24"/>
      <c r="L118" s="24"/>
      <c r="M118" s="24"/>
      <c r="N118" s="110"/>
      <c r="O118" s="110"/>
      <c r="P118" s="110"/>
      <c r="Q118" s="11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3"/>
      <c r="AE118" s="2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118" t="s">
        <v>119</v>
      </c>
      <c r="AT118" s="94"/>
      <c r="AU118" s="94"/>
      <c r="AV118" s="94"/>
      <c r="AW118" s="94"/>
      <c r="AX118" s="94"/>
      <c r="AY118" s="94"/>
      <c r="AZ118" s="24"/>
      <c r="BA118" s="25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51"/>
      <c r="BS118" s="19"/>
      <c r="BT118" s="19"/>
      <c r="BU118" s="19"/>
      <c r="BV118" s="19"/>
      <c r="BW118" s="19"/>
      <c r="BX118" s="19"/>
      <c r="BY118" s="19"/>
    </row>
    <row r="119" spans="1:97" ht="49.5" customHeight="1" x14ac:dyDescent="0.25">
      <c r="D119" s="49"/>
      <c r="E119" s="49"/>
      <c r="G119" s="49"/>
      <c r="H119" s="49"/>
      <c r="N119" s="13"/>
      <c r="O119" s="13"/>
      <c r="P119" s="13"/>
      <c r="Q119" s="13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51"/>
      <c r="BS119" s="19"/>
      <c r="BT119" s="19"/>
      <c r="BU119" s="19"/>
      <c r="BV119" s="19"/>
      <c r="BW119" s="19"/>
      <c r="BX119" s="19"/>
      <c r="BY119" s="19"/>
    </row>
    <row r="120" spans="1:97" ht="69.75" customHeight="1" x14ac:dyDescent="0.25">
      <c r="B120" s="628" t="s">
        <v>134</v>
      </c>
      <c r="C120" s="63"/>
      <c r="D120" s="119"/>
      <c r="E120" s="119"/>
      <c r="F120" s="63"/>
      <c r="G120" s="119"/>
      <c r="H120" s="119"/>
      <c r="I120" s="63"/>
      <c r="J120" s="63"/>
      <c r="K120" s="63"/>
      <c r="L120" s="63"/>
      <c r="M120" s="63"/>
      <c r="N120" s="120"/>
      <c r="O120" s="120"/>
      <c r="P120" s="120"/>
      <c r="Q120" s="120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47" t="s">
        <v>135</v>
      </c>
      <c r="AE120" s="639"/>
      <c r="AF120" s="111" t="s">
        <v>105</v>
      </c>
      <c r="AG120" s="111" t="s">
        <v>106</v>
      </c>
      <c r="AH120" s="112"/>
      <c r="AI120" s="112"/>
      <c r="AJ120" s="112"/>
      <c r="AK120" s="643" t="s">
        <v>136</v>
      </c>
      <c r="AL120" s="640" t="s">
        <v>137</v>
      </c>
      <c r="AM120" s="641"/>
      <c r="AN120" s="113" t="s">
        <v>138</v>
      </c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4"/>
      <c r="AZ120" s="115"/>
      <c r="BA120" s="116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51"/>
      <c r="BS120" s="19"/>
      <c r="BT120" s="19"/>
      <c r="BU120" s="19"/>
      <c r="BV120" s="19"/>
      <c r="BW120" s="19"/>
      <c r="BX120" s="19"/>
      <c r="BY120" s="19"/>
    </row>
    <row r="121" spans="1:97" ht="69.75" customHeight="1" x14ac:dyDescent="0.25">
      <c r="A121" s="56"/>
      <c r="B121" s="626"/>
      <c r="C121" s="56"/>
      <c r="D121" s="103"/>
      <c r="E121" s="103"/>
      <c r="F121" s="56"/>
      <c r="G121" s="103"/>
      <c r="H121" s="103"/>
      <c r="I121" s="56"/>
      <c r="J121" s="56"/>
      <c r="K121" s="56"/>
      <c r="L121" s="56"/>
      <c r="M121" s="56"/>
      <c r="N121" s="104"/>
      <c r="O121" s="104"/>
      <c r="P121" s="104"/>
      <c r="Q121" s="104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640" t="s">
        <v>132</v>
      </c>
      <c r="AG121" s="641"/>
      <c r="AH121" s="117"/>
      <c r="AI121" s="117"/>
      <c r="AJ121" s="117"/>
      <c r="AK121" s="608"/>
      <c r="AL121" s="642" t="s">
        <v>133</v>
      </c>
      <c r="AM121" s="574"/>
      <c r="AN121" s="573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18"/>
      <c r="BA121" s="79"/>
      <c r="BB121" s="56"/>
      <c r="BC121" s="56"/>
      <c r="BD121" s="56"/>
      <c r="BE121" s="56"/>
      <c r="BF121" s="56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51"/>
      <c r="BS121" s="19"/>
      <c r="BT121" s="19"/>
      <c r="BU121" s="19"/>
      <c r="BV121" s="19"/>
      <c r="BW121" s="19"/>
      <c r="BX121" s="19"/>
      <c r="BY121" s="19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6"/>
      <c r="CO121" s="56"/>
      <c r="CP121" s="56"/>
      <c r="CQ121" s="56"/>
      <c r="CR121" s="56"/>
      <c r="CS121" s="56"/>
    </row>
    <row r="122" spans="1:97" ht="49.5" customHeight="1" x14ac:dyDescent="0.25">
      <c r="B122" s="626"/>
      <c r="C122" s="19"/>
      <c r="D122" s="49"/>
      <c r="E122" s="49"/>
      <c r="F122" s="19"/>
      <c r="G122" s="49"/>
      <c r="H122" s="49"/>
      <c r="I122" s="19"/>
      <c r="J122" s="19"/>
      <c r="K122" s="19"/>
      <c r="L122" s="19"/>
      <c r="M122" s="19"/>
      <c r="N122" s="13"/>
      <c r="O122" s="13"/>
      <c r="P122" s="13"/>
      <c r="Q122" s="13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18"/>
      <c r="BA122" s="7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51"/>
      <c r="BS122" s="19"/>
      <c r="BT122" s="19"/>
      <c r="BU122" s="19"/>
      <c r="BV122" s="19"/>
      <c r="BW122" s="19"/>
      <c r="BX122" s="19"/>
      <c r="BY122" s="19"/>
    </row>
    <row r="123" spans="1:97" ht="49.5" customHeight="1" x14ac:dyDescent="0.25">
      <c r="B123" s="626"/>
      <c r="C123" s="19"/>
      <c r="D123" s="49"/>
      <c r="E123" s="49"/>
      <c r="F123" s="19"/>
      <c r="G123" s="49"/>
      <c r="H123" s="49"/>
      <c r="I123" s="19"/>
      <c r="J123" s="19"/>
      <c r="K123" s="19"/>
      <c r="L123" s="19"/>
      <c r="M123" s="19"/>
      <c r="N123" s="13"/>
      <c r="O123" s="13"/>
      <c r="P123" s="13"/>
      <c r="Q123" s="13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78"/>
      <c r="AG123" s="78"/>
      <c r="AH123" s="78"/>
      <c r="AI123" s="78"/>
      <c r="AJ123" s="78"/>
      <c r="AK123" s="78"/>
      <c r="AL123" s="78"/>
      <c r="AM123" s="653" t="s">
        <v>109</v>
      </c>
      <c r="AN123" s="574"/>
      <c r="AO123" s="574"/>
      <c r="AP123" s="574"/>
      <c r="AQ123" s="574"/>
      <c r="AR123" s="574"/>
      <c r="AS123" s="574"/>
      <c r="AT123" s="573"/>
      <c r="AU123" s="78"/>
      <c r="AV123" s="78"/>
      <c r="AW123" s="78"/>
      <c r="AX123" s="78"/>
      <c r="AY123" s="78"/>
      <c r="AZ123" s="18"/>
      <c r="BA123" s="7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51"/>
      <c r="BS123" s="19"/>
      <c r="BT123" s="19"/>
      <c r="BU123" s="19"/>
      <c r="BV123" s="19"/>
      <c r="BW123" s="19"/>
      <c r="BX123" s="19"/>
      <c r="BY123" s="19"/>
    </row>
    <row r="124" spans="1:97" ht="49.5" customHeight="1" x14ac:dyDescent="0.25">
      <c r="B124" s="626"/>
      <c r="C124" s="19"/>
      <c r="D124" s="49"/>
      <c r="E124" s="49"/>
      <c r="F124" s="19"/>
      <c r="G124" s="49"/>
      <c r="H124" s="49"/>
      <c r="I124" s="19"/>
      <c r="J124" s="19"/>
      <c r="K124" s="19"/>
      <c r="L124" s="19"/>
      <c r="M124" s="19"/>
      <c r="N124" s="13"/>
      <c r="O124" s="13"/>
      <c r="P124" s="13"/>
      <c r="Q124" s="13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18"/>
      <c r="BA124" s="7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51"/>
      <c r="BS124" s="19"/>
      <c r="BT124" s="19"/>
      <c r="BU124" s="19"/>
      <c r="BV124" s="19"/>
      <c r="BW124" s="19"/>
      <c r="BX124" s="19"/>
      <c r="BY124" s="19"/>
    </row>
    <row r="125" spans="1:97" ht="49.5" customHeight="1" x14ac:dyDescent="0.25">
      <c r="B125" s="626"/>
      <c r="C125" s="19"/>
      <c r="D125" s="49"/>
      <c r="E125" s="49"/>
      <c r="F125" s="19"/>
      <c r="G125" s="49"/>
      <c r="H125" s="49"/>
      <c r="I125" s="19"/>
      <c r="J125" s="19"/>
      <c r="K125" s="19"/>
      <c r="L125" s="19"/>
      <c r="M125" s="19"/>
      <c r="N125" s="13"/>
      <c r="O125" s="13"/>
      <c r="P125" s="13"/>
      <c r="Q125" s="13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657" t="s">
        <v>110</v>
      </c>
      <c r="AQ125" s="574"/>
      <c r="AR125" s="574"/>
      <c r="AS125" s="574"/>
      <c r="AT125" s="574"/>
      <c r="AU125" s="573"/>
      <c r="AV125" s="78"/>
      <c r="AW125" s="78"/>
      <c r="AX125" s="78"/>
      <c r="AY125" s="78"/>
      <c r="AZ125" s="18"/>
      <c r="BA125" s="7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51"/>
      <c r="BS125" s="19"/>
      <c r="BT125" s="19"/>
      <c r="BU125" s="19"/>
      <c r="BV125" s="19"/>
      <c r="BW125" s="19"/>
      <c r="BX125" s="19"/>
      <c r="BY125" s="19"/>
    </row>
    <row r="126" spans="1:97" ht="49.5" customHeight="1" x14ac:dyDescent="0.25">
      <c r="B126" s="626"/>
      <c r="C126" s="19"/>
      <c r="D126" s="49"/>
      <c r="E126" s="49"/>
      <c r="F126" s="19"/>
      <c r="G126" s="49"/>
      <c r="H126" s="49"/>
      <c r="I126" s="19"/>
      <c r="J126" s="19"/>
      <c r="K126" s="19"/>
      <c r="L126" s="19"/>
      <c r="M126" s="19"/>
      <c r="N126" s="13"/>
      <c r="O126" s="13"/>
      <c r="P126" s="13"/>
      <c r="Q126" s="13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18"/>
      <c r="BA126" s="7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51"/>
      <c r="BS126" s="19"/>
      <c r="BT126" s="19"/>
      <c r="BU126" s="19"/>
      <c r="BV126" s="19"/>
      <c r="BW126" s="19"/>
      <c r="BX126" s="19"/>
      <c r="BY126" s="19"/>
    </row>
    <row r="127" spans="1:97" ht="49.5" customHeight="1" x14ac:dyDescent="0.25">
      <c r="B127" s="626"/>
      <c r="C127" s="19"/>
      <c r="D127" s="49"/>
      <c r="E127" s="49"/>
      <c r="F127" s="19"/>
      <c r="G127" s="49"/>
      <c r="H127" s="49"/>
      <c r="I127" s="19"/>
      <c r="J127" s="19"/>
      <c r="K127" s="19"/>
      <c r="L127" s="19"/>
      <c r="M127" s="19"/>
      <c r="N127" s="13"/>
      <c r="O127" s="13"/>
      <c r="P127" s="13"/>
      <c r="Q127" s="13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650" t="s">
        <v>111</v>
      </c>
      <c r="AU127" s="574"/>
      <c r="AV127" s="574"/>
      <c r="AW127" s="574"/>
      <c r="AX127" s="574"/>
      <c r="AY127" s="574"/>
      <c r="AZ127" s="574"/>
      <c r="BA127" s="651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51"/>
      <c r="BS127" s="19"/>
      <c r="BT127" s="19"/>
      <c r="BU127" s="19"/>
      <c r="BV127" s="19"/>
      <c r="BW127" s="19"/>
      <c r="BX127" s="19"/>
      <c r="BY127" s="19"/>
    </row>
    <row r="128" spans="1:97" ht="49.5" customHeight="1" x14ac:dyDescent="0.25">
      <c r="B128" s="626"/>
      <c r="C128" s="19"/>
      <c r="D128" s="49"/>
      <c r="E128" s="49"/>
      <c r="F128" s="19"/>
      <c r="G128" s="49"/>
      <c r="H128" s="49"/>
      <c r="I128" s="19"/>
      <c r="J128" s="19"/>
      <c r="K128" s="19"/>
      <c r="L128" s="19"/>
      <c r="M128" s="19"/>
      <c r="N128" s="13"/>
      <c r="O128" s="13"/>
      <c r="P128" s="13"/>
      <c r="Q128" s="13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18"/>
      <c r="BA128" s="7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51"/>
      <c r="BS128" s="19"/>
      <c r="BT128" s="19"/>
      <c r="BU128" s="19"/>
      <c r="BV128" s="19"/>
      <c r="BW128" s="19"/>
      <c r="BX128" s="19"/>
      <c r="BY128" s="19"/>
    </row>
    <row r="129" spans="1:97" ht="49.5" customHeight="1" x14ac:dyDescent="0.25">
      <c r="B129" s="626"/>
      <c r="C129" s="19"/>
      <c r="D129" s="49"/>
      <c r="E129" s="49"/>
      <c r="F129" s="19"/>
      <c r="G129" s="49"/>
      <c r="H129" s="49"/>
      <c r="I129" s="19"/>
      <c r="J129" s="19"/>
      <c r="K129" s="19"/>
      <c r="L129" s="19"/>
      <c r="M129" s="19"/>
      <c r="N129" s="13"/>
      <c r="O129" s="13"/>
      <c r="P129" s="13"/>
      <c r="Q129" s="13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78"/>
      <c r="AG129" s="78"/>
      <c r="AH129" s="78"/>
      <c r="AI129" s="644" t="s">
        <v>112</v>
      </c>
      <c r="AJ129" s="574"/>
      <c r="AK129" s="574"/>
      <c r="AL129" s="573"/>
      <c r="AM129" s="78"/>
      <c r="AN129" s="78"/>
      <c r="AO129" s="78"/>
      <c r="AP129" s="78"/>
      <c r="AQ129" s="78"/>
      <c r="AR129" s="78"/>
      <c r="AS129" s="644" t="s">
        <v>113</v>
      </c>
      <c r="AT129" s="574"/>
      <c r="AU129" s="574"/>
      <c r="AV129" s="573"/>
      <c r="AW129" s="78"/>
      <c r="AX129" s="78"/>
      <c r="AY129" s="78"/>
      <c r="AZ129" s="18"/>
      <c r="BA129" s="7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51"/>
      <c r="BS129" s="19"/>
      <c r="BT129" s="19"/>
      <c r="BU129" s="19"/>
      <c r="BV129" s="19"/>
      <c r="BW129" s="19"/>
      <c r="BX129" s="19"/>
      <c r="BY129" s="19"/>
    </row>
    <row r="130" spans="1:97" ht="49.5" customHeight="1" x14ac:dyDescent="0.25">
      <c r="B130" s="626"/>
      <c r="C130" s="19"/>
      <c r="D130" s="49"/>
      <c r="E130" s="49"/>
      <c r="F130" s="19"/>
      <c r="G130" s="49"/>
      <c r="H130" s="49"/>
      <c r="I130" s="19"/>
      <c r="J130" s="19"/>
      <c r="K130" s="19"/>
      <c r="L130" s="19"/>
      <c r="M130" s="19"/>
      <c r="N130" s="13"/>
      <c r="O130" s="13"/>
      <c r="P130" s="13"/>
      <c r="Q130" s="13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18"/>
      <c r="BA130" s="7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51"/>
      <c r="BS130" s="19"/>
      <c r="BT130" s="19"/>
      <c r="BU130" s="19"/>
      <c r="BV130" s="19"/>
      <c r="BW130" s="19"/>
      <c r="BX130" s="19"/>
      <c r="BY130" s="19"/>
    </row>
    <row r="131" spans="1:97" ht="49.5" customHeight="1" x14ac:dyDescent="0.25">
      <c r="B131" s="626"/>
      <c r="C131" s="19"/>
      <c r="D131" s="49"/>
      <c r="E131" s="49"/>
      <c r="F131" s="19"/>
      <c r="G131" s="49"/>
      <c r="H131" s="49"/>
      <c r="I131" s="19"/>
      <c r="J131" s="19"/>
      <c r="K131" s="19"/>
      <c r="L131" s="19"/>
      <c r="M131" s="19"/>
      <c r="N131" s="13"/>
      <c r="O131" s="13"/>
      <c r="P131" s="13"/>
      <c r="Q131" s="13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78"/>
      <c r="AG131" s="78"/>
      <c r="AH131" s="78"/>
      <c r="AI131" s="78"/>
      <c r="AJ131" s="18"/>
      <c r="AK131" s="645" t="s">
        <v>114</v>
      </c>
      <c r="AL131" s="573"/>
      <c r="AM131" s="78"/>
      <c r="AN131" s="78"/>
      <c r="AO131" s="78"/>
      <c r="AP131" s="78"/>
      <c r="AQ131" s="645" t="s">
        <v>115</v>
      </c>
      <c r="AR131" s="574"/>
      <c r="AS131" s="574"/>
      <c r="AT131" s="573"/>
      <c r="AU131" s="78"/>
      <c r="AV131" s="78"/>
      <c r="AW131" s="78"/>
      <c r="AX131" s="78"/>
      <c r="AY131" s="78"/>
      <c r="AZ131" s="18"/>
      <c r="BA131" s="7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51"/>
      <c r="BS131" s="19"/>
      <c r="BT131" s="19"/>
      <c r="BU131" s="19"/>
      <c r="BV131" s="19"/>
      <c r="BW131" s="19"/>
      <c r="BX131" s="19"/>
      <c r="BY131" s="19"/>
    </row>
    <row r="132" spans="1:97" ht="49.5" customHeight="1" x14ac:dyDescent="0.25">
      <c r="B132" s="626"/>
      <c r="C132" s="19"/>
      <c r="D132" s="49"/>
      <c r="E132" s="49"/>
      <c r="F132" s="19"/>
      <c r="G132" s="49"/>
      <c r="H132" s="49"/>
      <c r="I132" s="19"/>
      <c r="J132" s="19"/>
      <c r="K132" s="19"/>
      <c r="L132" s="19"/>
      <c r="M132" s="19"/>
      <c r="N132" s="13"/>
      <c r="O132" s="13"/>
      <c r="P132" s="13"/>
      <c r="Q132" s="13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18"/>
      <c r="BA132" s="7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51"/>
      <c r="BS132" s="19"/>
      <c r="BT132" s="19"/>
      <c r="BU132" s="19"/>
      <c r="BV132" s="19"/>
      <c r="BW132" s="19"/>
      <c r="BX132" s="19"/>
      <c r="BY132" s="19"/>
    </row>
    <row r="133" spans="1:97" ht="49.5" customHeight="1" x14ac:dyDescent="0.25">
      <c r="B133" s="626"/>
      <c r="C133" s="19"/>
      <c r="D133" s="49"/>
      <c r="E133" s="49"/>
      <c r="F133" s="19"/>
      <c r="G133" s="49"/>
      <c r="H133" s="49"/>
      <c r="I133" s="19"/>
      <c r="J133" s="19"/>
      <c r="K133" s="19"/>
      <c r="L133" s="19"/>
      <c r="M133" s="19"/>
      <c r="N133" s="13"/>
      <c r="O133" s="13"/>
      <c r="P133" s="13"/>
      <c r="Q133" s="13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78"/>
      <c r="AG133" s="78"/>
      <c r="AH133" s="78"/>
      <c r="AI133" s="78"/>
      <c r="AJ133" s="78"/>
      <c r="AK133" s="78"/>
      <c r="AL133" s="78"/>
      <c r="AM133" s="78"/>
      <c r="AN133" s="78"/>
      <c r="AO133" s="87" t="s">
        <v>116</v>
      </c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18"/>
      <c r="BA133" s="7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51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</row>
    <row r="134" spans="1:97" ht="49.5" customHeight="1" x14ac:dyDescent="0.25">
      <c r="B134" s="626"/>
      <c r="C134" s="19"/>
      <c r="D134" s="49"/>
      <c r="E134" s="49"/>
      <c r="F134" s="19"/>
      <c r="G134" s="49"/>
      <c r="H134" s="49"/>
      <c r="I134" s="19"/>
      <c r="J134" s="19"/>
      <c r="K134" s="19"/>
      <c r="L134" s="19"/>
      <c r="M134" s="19"/>
      <c r="N134" s="13"/>
      <c r="O134" s="13"/>
      <c r="P134" s="13"/>
      <c r="Q134" s="13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19"/>
      <c r="BA134" s="21"/>
      <c r="BR134" s="51"/>
      <c r="BZ134" s="19"/>
      <c r="CA134" s="19"/>
      <c r="CB134" s="19"/>
      <c r="CC134" s="19"/>
      <c r="CD134" s="19"/>
    </row>
    <row r="135" spans="1:97" ht="49.5" customHeight="1" x14ac:dyDescent="0.25">
      <c r="B135" s="627"/>
      <c r="C135" s="24"/>
      <c r="D135" s="109"/>
      <c r="E135" s="109"/>
      <c r="F135" s="24"/>
      <c r="G135" s="109"/>
      <c r="H135" s="109"/>
      <c r="I135" s="24"/>
      <c r="J135" s="24"/>
      <c r="K135" s="24"/>
      <c r="L135" s="24"/>
      <c r="M135" s="24"/>
      <c r="N135" s="110"/>
      <c r="O135" s="110"/>
      <c r="P135" s="110"/>
      <c r="Q135" s="11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118" t="s">
        <v>119</v>
      </c>
      <c r="AT135" s="94"/>
      <c r="AU135" s="94"/>
      <c r="AV135" s="94"/>
      <c r="AW135" s="94"/>
      <c r="AX135" s="94"/>
      <c r="AY135" s="94"/>
      <c r="AZ135" s="24"/>
      <c r="BA135" s="25"/>
      <c r="BR135" s="51"/>
      <c r="BZ135" s="19"/>
      <c r="CA135" s="19"/>
      <c r="CB135" s="19"/>
      <c r="CC135" s="19"/>
      <c r="CD135" s="19"/>
    </row>
    <row r="136" spans="1:97" ht="49.5" customHeight="1" x14ac:dyDescent="0.25">
      <c r="D136" s="49"/>
      <c r="E136" s="49"/>
      <c r="G136" s="49"/>
      <c r="H136" s="49"/>
      <c r="N136" s="13"/>
      <c r="O136" s="13"/>
      <c r="P136" s="13"/>
      <c r="Q136" s="13"/>
      <c r="BR136" s="51"/>
      <c r="BZ136" s="19"/>
      <c r="CA136" s="19"/>
      <c r="CB136" s="19"/>
      <c r="CC136" s="19"/>
      <c r="CD136" s="19"/>
    </row>
    <row r="137" spans="1:97" ht="69.75" customHeight="1" x14ac:dyDescent="0.25">
      <c r="A137" s="56"/>
      <c r="B137" s="628" t="s">
        <v>139</v>
      </c>
      <c r="C137" s="57"/>
      <c r="D137" s="59"/>
      <c r="E137" s="59"/>
      <c r="F137" s="57"/>
      <c r="G137" s="59"/>
      <c r="H137" s="59"/>
      <c r="I137" s="57"/>
      <c r="J137" s="57"/>
      <c r="K137" s="57"/>
      <c r="L137" s="57"/>
      <c r="M137" s="57"/>
      <c r="N137" s="97"/>
      <c r="O137" s="97"/>
      <c r="P137" s="97"/>
      <c r="Q137" s="9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648" t="s">
        <v>140</v>
      </c>
      <c r="AE137" s="649"/>
      <c r="AF137" s="649"/>
      <c r="AG137" s="649"/>
      <c r="AH137" s="649"/>
      <c r="AI137" s="649"/>
      <c r="AJ137" s="649"/>
      <c r="AK137" s="649"/>
      <c r="AL137" s="649"/>
      <c r="AM137" s="649"/>
      <c r="AN137" s="649"/>
      <c r="AO137" s="649"/>
      <c r="AP137" s="649"/>
      <c r="AQ137" s="649"/>
      <c r="AR137" s="649"/>
      <c r="AS137" s="649"/>
      <c r="AT137" s="649"/>
      <c r="AU137" s="649"/>
      <c r="AV137" s="649"/>
      <c r="AW137" s="649"/>
      <c r="AX137" s="649"/>
      <c r="AY137" s="649"/>
      <c r="AZ137" s="649"/>
      <c r="BA137" s="649"/>
      <c r="BB137" s="649"/>
      <c r="BC137" s="649"/>
      <c r="BD137" s="649"/>
      <c r="BE137" s="649"/>
      <c r="BF137" s="639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105"/>
      <c r="BS137" s="57"/>
      <c r="BT137" s="57"/>
      <c r="BU137" s="57"/>
      <c r="BV137" s="57"/>
      <c r="BW137" s="57"/>
      <c r="BX137" s="57"/>
      <c r="BY137" s="57"/>
      <c r="BZ137" s="64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</row>
    <row r="138" spans="1:97" ht="49.5" customHeight="1" x14ac:dyDescent="0.25">
      <c r="B138" s="626"/>
      <c r="C138" s="19"/>
      <c r="D138" s="49"/>
      <c r="E138" s="49"/>
      <c r="F138" s="19"/>
      <c r="G138" s="49"/>
      <c r="H138" s="49"/>
      <c r="I138" s="19"/>
      <c r="J138" s="19"/>
      <c r="K138" s="19"/>
      <c r="L138" s="19"/>
      <c r="M138" s="19"/>
      <c r="N138" s="13"/>
      <c r="O138" s="13"/>
      <c r="P138" s="13"/>
      <c r="Q138" s="13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51"/>
      <c r="BS138" s="19"/>
      <c r="BT138" s="19"/>
      <c r="BU138" s="19"/>
      <c r="BV138" s="19"/>
      <c r="BW138" s="19"/>
      <c r="BX138" s="19"/>
      <c r="BY138" s="19"/>
      <c r="BZ138" s="21"/>
      <c r="CA138" s="19"/>
      <c r="CB138" s="19"/>
      <c r="CC138" s="19"/>
      <c r="CD138" s="19"/>
    </row>
    <row r="139" spans="1:97" ht="49.5" customHeight="1" x14ac:dyDescent="0.25">
      <c r="B139" s="626"/>
      <c r="C139" s="19"/>
      <c r="D139" s="49"/>
      <c r="E139" s="49"/>
      <c r="F139" s="19"/>
      <c r="G139" s="49"/>
      <c r="H139" s="49"/>
      <c r="I139" s="19"/>
      <c r="J139" s="19"/>
      <c r="K139" s="19"/>
      <c r="L139" s="19"/>
      <c r="M139" s="19"/>
      <c r="N139" s="13"/>
      <c r="O139" s="13"/>
      <c r="P139" s="13"/>
      <c r="Q139" s="13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68"/>
      <c r="AW139" s="68"/>
      <c r="AX139" s="68"/>
      <c r="AY139" s="68"/>
      <c r="AZ139" s="68"/>
      <c r="BA139" s="68"/>
      <c r="BB139" s="68"/>
      <c r="BC139" s="68"/>
      <c r="BD139" s="68"/>
      <c r="BE139" s="76" t="s">
        <v>105</v>
      </c>
      <c r="BF139" s="76" t="s">
        <v>106</v>
      </c>
      <c r="BG139" s="19"/>
      <c r="BH139" s="19"/>
      <c r="BI139" s="77" t="s">
        <v>107</v>
      </c>
      <c r="BJ139" s="656" t="s">
        <v>108</v>
      </c>
      <c r="BK139" s="573"/>
      <c r="BL139" s="19"/>
      <c r="BM139" s="19"/>
      <c r="BN139" s="78"/>
      <c r="BO139" s="78"/>
      <c r="BP139" s="78"/>
      <c r="BQ139" s="78"/>
      <c r="BR139" s="100"/>
      <c r="BS139" s="78"/>
      <c r="BT139" s="78"/>
      <c r="BU139" s="78"/>
      <c r="BV139" s="78"/>
      <c r="BW139" s="78"/>
      <c r="BX139" s="78"/>
      <c r="BY139" s="18"/>
      <c r="BZ139" s="79"/>
      <c r="CA139" s="19"/>
      <c r="CB139" s="19"/>
      <c r="CC139" s="19"/>
      <c r="CD139" s="19"/>
    </row>
    <row r="140" spans="1:97" ht="49.5" customHeight="1" x14ac:dyDescent="0.25">
      <c r="B140" s="626"/>
      <c r="C140" s="19"/>
      <c r="D140" s="49"/>
      <c r="E140" s="49"/>
      <c r="F140" s="19"/>
      <c r="G140" s="49"/>
      <c r="H140" s="49"/>
      <c r="I140" s="19"/>
      <c r="J140" s="19"/>
      <c r="K140" s="19"/>
      <c r="L140" s="19"/>
      <c r="M140" s="19"/>
      <c r="N140" s="13"/>
      <c r="O140" s="13"/>
      <c r="P140" s="13"/>
      <c r="Q140" s="13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68"/>
      <c r="AW140" s="68"/>
      <c r="AX140" s="68"/>
      <c r="AY140" s="68"/>
      <c r="AZ140" s="68"/>
      <c r="BA140" s="68"/>
      <c r="BB140" s="68"/>
      <c r="BC140" s="68"/>
      <c r="BD140" s="68"/>
      <c r="BE140" s="78"/>
      <c r="BF140" s="78"/>
      <c r="BG140" s="78"/>
      <c r="BH140" s="78"/>
      <c r="BI140" s="78"/>
      <c r="BJ140" s="78"/>
      <c r="BK140" s="19"/>
      <c r="BL140" s="19"/>
      <c r="BM140" s="19"/>
      <c r="BN140" s="19"/>
      <c r="BO140" s="19"/>
      <c r="BP140" s="19"/>
      <c r="BQ140" s="19"/>
      <c r="BR140" s="51"/>
      <c r="BS140" s="78"/>
      <c r="BT140" s="78"/>
      <c r="BU140" s="78"/>
      <c r="BV140" s="78"/>
      <c r="BW140" s="78"/>
      <c r="BX140" s="78"/>
      <c r="BY140" s="18"/>
      <c r="BZ140" s="79"/>
      <c r="CA140" s="19"/>
      <c r="CB140" s="19"/>
      <c r="CC140" s="19"/>
      <c r="CD140" s="19"/>
    </row>
    <row r="141" spans="1:97" ht="49.5" customHeight="1" x14ac:dyDescent="0.25">
      <c r="B141" s="626"/>
      <c r="C141" s="19"/>
      <c r="D141" s="49"/>
      <c r="E141" s="49"/>
      <c r="F141" s="19"/>
      <c r="G141" s="49"/>
      <c r="H141" s="49"/>
      <c r="I141" s="19"/>
      <c r="J141" s="19"/>
      <c r="K141" s="19"/>
      <c r="L141" s="19"/>
      <c r="M141" s="19"/>
      <c r="N141" s="13"/>
      <c r="O141" s="13"/>
      <c r="P141" s="13"/>
      <c r="Q141" s="13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68"/>
      <c r="AW141" s="68"/>
      <c r="AX141" s="68"/>
      <c r="AY141" s="68"/>
      <c r="AZ141" s="68"/>
      <c r="BA141" s="68"/>
      <c r="BB141" s="68"/>
      <c r="BC141" s="68"/>
      <c r="BD141" s="68"/>
      <c r="BE141" s="78"/>
      <c r="BF141" s="78"/>
      <c r="BG141" s="78"/>
      <c r="BH141" s="78"/>
      <c r="BI141" s="78"/>
      <c r="BJ141" s="19"/>
      <c r="BK141" s="653" t="s">
        <v>109</v>
      </c>
      <c r="BL141" s="574"/>
      <c r="BM141" s="574"/>
      <c r="BN141" s="574"/>
      <c r="BO141" s="574"/>
      <c r="BP141" s="574"/>
      <c r="BQ141" s="574"/>
      <c r="BR141" s="573"/>
      <c r="BS141" s="78"/>
      <c r="BT141" s="78"/>
      <c r="BU141" s="78"/>
      <c r="BV141" s="78"/>
      <c r="BW141" s="78"/>
      <c r="BX141" s="78"/>
      <c r="BY141" s="18"/>
      <c r="BZ141" s="79"/>
      <c r="CA141" s="19"/>
      <c r="CB141" s="19"/>
      <c r="CC141" s="19"/>
      <c r="CD141" s="19"/>
    </row>
    <row r="142" spans="1:97" ht="49.5" customHeight="1" x14ac:dyDescent="0.25">
      <c r="B142" s="626"/>
      <c r="C142" s="19"/>
      <c r="D142" s="49"/>
      <c r="E142" s="49"/>
      <c r="F142" s="19"/>
      <c r="G142" s="49"/>
      <c r="H142" s="49"/>
      <c r="I142" s="19"/>
      <c r="J142" s="19"/>
      <c r="K142" s="19"/>
      <c r="L142" s="19"/>
      <c r="M142" s="19"/>
      <c r="N142" s="13"/>
      <c r="O142" s="13"/>
      <c r="P142" s="13"/>
      <c r="Q142" s="13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68"/>
      <c r="AW142" s="68"/>
      <c r="AX142" s="68"/>
      <c r="AY142" s="68"/>
      <c r="AZ142" s="68"/>
      <c r="BA142" s="68"/>
      <c r="BB142" s="68"/>
      <c r="BC142" s="68"/>
      <c r="BD142" s="68"/>
      <c r="BE142" s="78"/>
      <c r="BF142" s="78"/>
      <c r="BG142" s="78"/>
      <c r="BH142" s="78"/>
      <c r="BI142" s="78"/>
      <c r="BJ142" s="78"/>
      <c r="BK142" s="78"/>
      <c r="BL142" s="19"/>
      <c r="BM142" s="19"/>
      <c r="BN142" s="19"/>
      <c r="BO142" s="19"/>
      <c r="BP142" s="19"/>
      <c r="BQ142" s="19"/>
      <c r="BR142" s="51"/>
      <c r="BS142" s="19"/>
      <c r="BT142" s="78"/>
      <c r="BU142" s="78"/>
      <c r="BV142" s="78"/>
      <c r="BW142" s="78"/>
      <c r="BX142" s="78"/>
      <c r="BY142" s="18"/>
      <c r="BZ142" s="79"/>
    </row>
    <row r="143" spans="1:97" ht="49.5" customHeight="1" x14ac:dyDescent="0.25">
      <c r="B143" s="626"/>
      <c r="C143" s="19"/>
      <c r="D143" s="49"/>
      <c r="E143" s="49"/>
      <c r="F143" s="19"/>
      <c r="G143" s="49"/>
      <c r="H143" s="49"/>
      <c r="I143" s="19"/>
      <c r="J143" s="19"/>
      <c r="K143" s="19"/>
      <c r="L143" s="19"/>
      <c r="M143" s="19"/>
      <c r="N143" s="13"/>
      <c r="O143" s="13"/>
      <c r="P143" s="13"/>
      <c r="Q143" s="13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68"/>
      <c r="AW143" s="68"/>
      <c r="AX143" s="68"/>
      <c r="AY143" s="68"/>
      <c r="AZ143" s="68"/>
      <c r="BA143" s="68"/>
      <c r="BB143" s="68"/>
      <c r="BC143" s="68"/>
      <c r="BD143" s="68"/>
      <c r="BE143" s="78"/>
      <c r="BF143" s="78"/>
      <c r="BG143" s="78"/>
      <c r="BH143" s="78"/>
      <c r="BI143" s="78"/>
      <c r="BJ143" s="78"/>
      <c r="BK143" s="78"/>
      <c r="BL143" s="78"/>
      <c r="BM143" s="657" t="s">
        <v>110</v>
      </c>
      <c r="BN143" s="574"/>
      <c r="BO143" s="574"/>
      <c r="BP143" s="574"/>
      <c r="BQ143" s="574"/>
      <c r="BR143" s="573"/>
      <c r="BS143" s="78"/>
      <c r="BT143" s="78"/>
      <c r="BU143" s="78"/>
      <c r="BV143" s="78"/>
      <c r="BW143" s="78"/>
      <c r="BX143" s="78"/>
      <c r="BY143" s="18"/>
      <c r="BZ143" s="79"/>
    </row>
    <row r="144" spans="1:97" ht="49.5" customHeight="1" x14ac:dyDescent="0.25">
      <c r="B144" s="626"/>
      <c r="C144" s="19"/>
      <c r="D144" s="49"/>
      <c r="E144" s="49"/>
      <c r="F144" s="19"/>
      <c r="G144" s="49"/>
      <c r="H144" s="49"/>
      <c r="I144" s="19"/>
      <c r="J144" s="19"/>
      <c r="K144" s="19"/>
      <c r="L144" s="19"/>
      <c r="M144" s="19"/>
      <c r="N144" s="13"/>
      <c r="O144" s="13"/>
      <c r="P144" s="13"/>
      <c r="Q144" s="13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68"/>
      <c r="AW144" s="68"/>
      <c r="AX144" s="68"/>
      <c r="AY144" s="68"/>
      <c r="AZ144" s="68"/>
      <c r="BA144" s="68"/>
      <c r="BB144" s="68"/>
      <c r="BC144" s="68"/>
      <c r="BD144" s="6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19"/>
      <c r="BP144" s="19"/>
      <c r="BQ144" s="19"/>
      <c r="BR144" s="51"/>
      <c r="BS144" s="19"/>
      <c r="BT144" s="19"/>
      <c r="BU144" s="19"/>
      <c r="BV144" s="19"/>
      <c r="BW144" s="19"/>
      <c r="BX144" s="19"/>
      <c r="BY144" s="19"/>
      <c r="BZ144" s="21"/>
    </row>
    <row r="145" spans="2:78" ht="49.5" customHeight="1" x14ac:dyDescent="0.25">
      <c r="B145" s="626"/>
      <c r="C145" s="19"/>
      <c r="D145" s="49"/>
      <c r="E145" s="49"/>
      <c r="F145" s="19"/>
      <c r="G145" s="49"/>
      <c r="H145" s="49"/>
      <c r="I145" s="19"/>
      <c r="J145" s="19"/>
      <c r="K145" s="19"/>
      <c r="L145" s="19"/>
      <c r="M145" s="19"/>
      <c r="N145" s="13"/>
      <c r="O145" s="13"/>
      <c r="P145" s="13"/>
      <c r="Q145" s="13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68"/>
      <c r="AW145" s="68"/>
      <c r="AX145" s="68"/>
      <c r="AY145" s="68"/>
      <c r="AZ145" s="68"/>
      <c r="BA145" s="68"/>
      <c r="BB145" s="68"/>
      <c r="BC145" s="68"/>
      <c r="BD145" s="68"/>
      <c r="BE145" s="78"/>
      <c r="BF145" s="19"/>
      <c r="BG145" s="19"/>
      <c r="BH145" s="19"/>
      <c r="BI145" s="19"/>
      <c r="BJ145" s="78"/>
      <c r="BK145" s="78"/>
      <c r="BL145" s="78"/>
      <c r="BM145" s="78"/>
      <c r="BN145" s="78"/>
      <c r="BO145" s="78"/>
      <c r="BP145" s="19"/>
      <c r="BQ145" s="19"/>
      <c r="BR145" s="51"/>
      <c r="BS145" s="650" t="s">
        <v>111</v>
      </c>
      <c r="BT145" s="574"/>
      <c r="BU145" s="574"/>
      <c r="BV145" s="574"/>
      <c r="BW145" s="574"/>
      <c r="BX145" s="574"/>
      <c r="BY145" s="574"/>
      <c r="BZ145" s="651"/>
    </row>
    <row r="146" spans="2:78" ht="49.5" customHeight="1" x14ac:dyDescent="0.25">
      <c r="B146" s="626"/>
      <c r="C146" s="19"/>
      <c r="D146" s="49"/>
      <c r="E146" s="49"/>
      <c r="F146" s="19"/>
      <c r="G146" s="49"/>
      <c r="H146" s="49"/>
      <c r="I146" s="19"/>
      <c r="J146" s="19"/>
      <c r="K146" s="19"/>
      <c r="L146" s="19"/>
      <c r="M146" s="19"/>
      <c r="N146" s="13"/>
      <c r="O146" s="13"/>
      <c r="P146" s="13"/>
      <c r="Q146" s="13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68"/>
      <c r="AW146" s="68"/>
      <c r="AX146" s="68"/>
      <c r="AY146" s="68"/>
      <c r="AZ146" s="68"/>
      <c r="BA146" s="68"/>
      <c r="BB146" s="68"/>
      <c r="BC146" s="68"/>
      <c r="BD146" s="68"/>
      <c r="BE146" s="78"/>
      <c r="BF146" s="78"/>
      <c r="BG146" s="78"/>
      <c r="BH146" s="78"/>
      <c r="BI146" s="78"/>
      <c r="BJ146" s="78"/>
      <c r="BK146" s="78"/>
      <c r="BL146" s="78"/>
      <c r="BM146" s="78"/>
      <c r="BN146" s="19"/>
      <c r="BO146" s="19"/>
      <c r="BP146" s="19"/>
      <c r="BQ146" s="19"/>
      <c r="BR146" s="100"/>
      <c r="BS146" s="19"/>
      <c r="BT146" s="19"/>
      <c r="BU146" s="19"/>
      <c r="BV146" s="19"/>
      <c r="BW146" s="19"/>
      <c r="BX146" s="19"/>
      <c r="BY146" s="19"/>
      <c r="BZ146" s="21"/>
    </row>
    <row r="147" spans="2:78" ht="49.5" customHeight="1" x14ac:dyDescent="0.25">
      <c r="B147" s="626"/>
      <c r="C147" s="19"/>
      <c r="D147" s="49"/>
      <c r="E147" s="49"/>
      <c r="F147" s="19"/>
      <c r="G147" s="49"/>
      <c r="H147" s="49"/>
      <c r="I147" s="19"/>
      <c r="J147" s="19"/>
      <c r="K147" s="19"/>
      <c r="L147" s="19"/>
      <c r="M147" s="19"/>
      <c r="N147" s="13"/>
      <c r="O147" s="13"/>
      <c r="P147" s="13"/>
      <c r="Q147" s="13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68"/>
      <c r="AW147" s="68"/>
      <c r="AX147" s="68"/>
      <c r="AY147" s="68"/>
      <c r="AZ147" s="68"/>
      <c r="BA147" s="68"/>
      <c r="BB147" s="68"/>
      <c r="BC147" s="68"/>
      <c r="BD147" s="68"/>
      <c r="BE147" s="644" t="s">
        <v>112</v>
      </c>
      <c r="BF147" s="574"/>
      <c r="BG147" s="574"/>
      <c r="BH147" s="573"/>
      <c r="BI147" s="19"/>
      <c r="BJ147" s="78"/>
      <c r="BK147" s="78"/>
      <c r="BL147" s="78"/>
      <c r="BM147" s="78"/>
      <c r="BN147" s="644" t="s">
        <v>113</v>
      </c>
      <c r="BO147" s="574"/>
      <c r="BP147" s="574"/>
      <c r="BQ147" s="573"/>
      <c r="BR147" s="51"/>
      <c r="BS147" s="19"/>
      <c r="BT147" s="78"/>
      <c r="BU147" s="78"/>
      <c r="BV147" s="78"/>
      <c r="BW147" s="78"/>
      <c r="BX147" s="78"/>
      <c r="BY147" s="18"/>
      <c r="BZ147" s="79"/>
    </row>
    <row r="148" spans="2:78" ht="49.5" customHeight="1" x14ac:dyDescent="0.25">
      <c r="B148" s="626"/>
      <c r="C148" s="19"/>
      <c r="D148" s="49"/>
      <c r="E148" s="49"/>
      <c r="F148" s="19"/>
      <c r="G148" s="49"/>
      <c r="H148" s="49"/>
      <c r="I148" s="19"/>
      <c r="J148" s="19"/>
      <c r="K148" s="19"/>
      <c r="L148" s="19"/>
      <c r="M148" s="19"/>
      <c r="N148" s="13"/>
      <c r="O148" s="13"/>
      <c r="P148" s="13"/>
      <c r="Q148" s="13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68"/>
      <c r="AW148" s="68"/>
      <c r="AX148" s="68"/>
      <c r="AY148" s="68"/>
      <c r="AZ148" s="68"/>
      <c r="BA148" s="68"/>
      <c r="BB148" s="68"/>
      <c r="BC148" s="68"/>
      <c r="BD148" s="68"/>
      <c r="BE148" s="78"/>
      <c r="BF148" s="78"/>
      <c r="BG148" s="78"/>
      <c r="BH148" s="19"/>
      <c r="BI148" s="19"/>
      <c r="BJ148" s="19"/>
      <c r="BK148" s="19"/>
      <c r="BL148" s="78"/>
      <c r="BM148" s="19"/>
      <c r="BN148" s="19"/>
      <c r="BO148" s="19"/>
      <c r="BP148" s="78"/>
      <c r="BQ148" s="78"/>
      <c r="BR148" s="51"/>
      <c r="BS148" s="19"/>
      <c r="BT148" s="19"/>
      <c r="BU148" s="19"/>
      <c r="BV148" s="78"/>
      <c r="BW148" s="78"/>
      <c r="BX148" s="78"/>
      <c r="BY148" s="18"/>
      <c r="BZ148" s="79"/>
    </row>
    <row r="149" spans="2:78" ht="49.5" customHeight="1" x14ac:dyDescent="0.25">
      <c r="B149" s="626"/>
      <c r="C149" s="19"/>
      <c r="D149" s="49"/>
      <c r="E149" s="49"/>
      <c r="F149" s="19"/>
      <c r="G149" s="49"/>
      <c r="H149" s="49"/>
      <c r="I149" s="19"/>
      <c r="J149" s="19"/>
      <c r="K149" s="19"/>
      <c r="L149" s="19"/>
      <c r="M149" s="19"/>
      <c r="N149" s="13"/>
      <c r="O149" s="13"/>
      <c r="P149" s="13"/>
      <c r="Q149" s="13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68"/>
      <c r="AW149" s="68"/>
      <c r="AX149" s="68"/>
      <c r="AY149" s="68"/>
      <c r="AZ149" s="68"/>
      <c r="BA149" s="68"/>
      <c r="BB149" s="68"/>
      <c r="BC149" s="68"/>
      <c r="BD149" s="68"/>
      <c r="BE149" s="78"/>
      <c r="BF149" s="78"/>
      <c r="BG149" s="652" t="s">
        <v>114</v>
      </c>
      <c r="BH149" s="573"/>
      <c r="BI149" s="78"/>
      <c r="BJ149" s="78"/>
      <c r="BK149" s="78"/>
      <c r="BL149" s="78"/>
      <c r="BM149" s="78"/>
      <c r="BN149" s="652" t="s">
        <v>115</v>
      </c>
      <c r="BO149" s="574"/>
      <c r="BP149" s="574"/>
      <c r="BQ149" s="573"/>
      <c r="BR149" s="51"/>
      <c r="BS149" s="78"/>
      <c r="BT149" s="78"/>
      <c r="BU149" s="78"/>
      <c r="BV149" s="78"/>
      <c r="BW149" s="78"/>
      <c r="BX149" s="78"/>
      <c r="BY149" s="18"/>
      <c r="BZ149" s="79"/>
    </row>
    <row r="150" spans="2:78" ht="49.5" customHeight="1" x14ac:dyDescent="0.25">
      <c r="B150" s="626"/>
      <c r="C150" s="19"/>
      <c r="D150" s="49"/>
      <c r="E150" s="49"/>
      <c r="F150" s="19"/>
      <c r="G150" s="49"/>
      <c r="H150" s="49"/>
      <c r="I150" s="19"/>
      <c r="J150" s="19"/>
      <c r="K150" s="19"/>
      <c r="L150" s="19"/>
      <c r="M150" s="19"/>
      <c r="N150" s="13"/>
      <c r="O150" s="13"/>
      <c r="P150" s="13"/>
      <c r="Q150" s="13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68"/>
      <c r="AW150" s="68"/>
      <c r="AX150" s="68"/>
      <c r="AY150" s="68"/>
      <c r="AZ150" s="68"/>
      <c r="BA150" s="68"/>
      <c r="BB150" s="68"/>
      <c r="BC150" s="68"/>
      <c r="BD150" s="68"/>
      <c r="BE150" s="78"/>
      <c r="BF150" s="78"/>
      <c r="BG150" s="78"/>
      <c r="BH150" s="78"/>
      <c r="BI150" s="18"/>
      <c r="BJ150" s="19"/>
      <c r="BK150" s="19"/>
      <c r="BL150" s="78"/>
      <c r="BM150" s="78"/>
      <c r="BN150" s="78"/>
      <c r="BO150" s="78"/>
      <c r="BP150" s="19"/>
      <c r="BQ150" s="19"/>
      <c r="BR150" s="51"/>
      <c r="BS150" s="19"/>
      <c r="BT150" s="78"/>
      <c r="BU150" s="78"/>
      <c r="BV150" s="78"/>
      <c r="BW150" s="78"/>
      <c r="BX150" s="78"/>
      <c r="BY150" s="18"/>
      <c r="BZ150" s="79"/>
    </row>
    <row r="151" spans="2:78" ht="49.5" customHeight="1" x14ac:dyDescent="0.25">
      <c r="B151" s="626"/>
      <c r="C151" s="19"/>
      <c r="D151" s="49"/>
      <c r="E151" s="49"/>
      <c r="F151" s="19"/>
      <c r="G151" s="49"/>
      <c r="H151" s="49"/>
      <c r="I151" s="19"/>
      <c r="J151" s="19"/>
      <c r="K151" s="19"/>
      <c r="L151" s="19"/>
      <c r="M151" s="19"/>
      <c r="N151" s="13"/>
      <c r="O151" s="13"/>
      <c r="P151" s="13"/>
      <c r="Q151" s="13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68"/>
      <c r="AW151" s="68"/>
      <c r="AX151" s="68"/>
      <c r="AY151" s="68"/>
      <c r="AZ151" s="68"/>
      <c r="BA151" s="68"/>
      <c r="BB151" s="68"/>
      <c r="BC151" s="68"/>
      <c r="BD151" s="68"/>
      <c r="BE151" s="78"/>
      <c r="BF151" s="78"/>
      <c r="BG151" s="78"/>
      <c r="BH151" s="78"/>
      <c r="BI151" s="78"/>
      <c r="BJ151" s="78"/>
      <c r="BK151" s="78"/>
      <c r="BL151" s="87" t="s">
        <v>116</v>
      </c>
      <c r="BM151" s="78"/>
      <c r="BN151" s="78"/>
      <c r="BO151" s="78"/>
      <c r="BP151" s="78"/>
      <c r="BQ151" s="78"/>
      <c r="BR151" s="100"/>
      <c r="BS151" s="78"/>
      <c r="BT151" s="78"/>
      <c r="BU151" s="78"/>
      <c r="BV151" s="78"/>
      <c r="BW151" s="78"/>
      <c r="BX151" s="78"/>
      <c r="BY151" s="18"/>
      <c r="BZ151" s="79"/>
    </row>
    <row r="152" spans="2:78" ht="49.5" customHeight="1" x14ac:dyDescent="0.25">
      <c r="B152" s="626"/>
      <c r="C152" s="19"/>
      <c r="D152" s="49"/>
      <c r="E152" s="49"/>
      <c r="F152" s="19"/>
      <c r="G152" s="49"/>
      <c r="H152" s="49"/>
      <c r="I152" s="19"/>
      <c r="J152" s="19"/>
      <c r="K152" s="19"/>
      <c r="L152" s="19"/>
      <c r="M152" s="19"/>
      <c r="N152" s="13"/>
      <c r="O152" s="13"/>
      <c r="P152" s="13"/>
      <c r="Q152" s="13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68"/>
      <c r="AW152" s="68"/>
      <c r="AX152" s="68"/>
      <c r="AY152" s="68"/>
      <c r="AZ152" s="68"/>
      <c r="BA152" s="68"/>
      <c r="BB152" s="68"/>
      <c r="BC152" s="68"/>
      <c r="BD152" s="68"/>
      <c r="BE152" s="78"/>
      <c r="BF152" s="78"/>
      <c r="BG152" s="78"/>
      <c r="BH152" s="78"/>
      <c r="BI152" s="78"/>
      <c r="BJ152" s="78"/>
      <c r="BK152" s="78"/>
      <c r="BL152" s="78"/>
      <c r="BM152" s="78"/>
      <c r="BN152" s="19"/>
      <c r="BO152" s="78"/>
      <c r="BP152" s="78"/>
      <c r="BQ152" s="78"/>
      <c r="BR152" s="100"/>
      <c r="BS152" s="78"/>
      <c r="BT152" s="78"/>
      <c r="BU152" s="78"/>
      <c r="BV152" s="78"/>
      <c r="BW152" s="78"/>
      <c r="BX152" s="78"/>
      <c r="BY152" s="18"/>
      <c r="BZ152" s="79"/>
    </row>
    <row r="153" spans="2:78" ht="49.5" customHeight="1" x14ac:dyDescent="0.25">
      <c r="B153" s="627"/>
      <c r="C153" s="24"/>
      <c r="D153" s="109"/>
      <c r="E153" s="109"/>
      <c r="F153" s="24"/>
      <c r="G153" s="109"/>
      <c r="H153" s="109"/>
      <c r="I153" s="24"/>
      <c r="J153" s="24"/>
      <c r="K153" s="24"/>
      <c r="L153" s="24"/>
      <c r="M153" s="24"/>
      <c r="N153" s="110"/>
      <c r="O153" s="110"/>
      <c r="P153" s="110"/>
      <c r="Q153" s="11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4"/>
      <c r="BI153" s="94"/>
      <c r="BJ153" s="94"/>
      <c r="BK153" s="94"/>
      <c r="BL153" s="94"/>
      <c r="BM153" s="94"/>
      <c r="BN153" s="94"/>
      <c r="BO153" s="94"/>
      <c r="BP153" s="95" t="s">
        <v>119</v>
      </c>
      <c r="BQ153" s="94"/>
      <c r="BR153" s="102"/>
      <c r="BS153" s="94"/>
      <c r="BT153" s="94"/>
      <c r="BU153" s="94"/>
      <c r="BV153" s="94"/>
      <c r="BW153" s="94"/>
      <c r="BX153" s="94"/>
      <c r="BY153" s="24"/>
      <c r="BZ153" s="25"/>
    </row>
    <row r="154" spans="2:78" ht="49.5" customHeight="1" x14ac:dyDescent="0.25">
      <c r="BR154" s="51"/>
    </row>
    <row r="155" spans="2:78" ht="69.75" customHeight="1" x14ac:dyDescent="0.25">
      <c r="B155" s="629" t="s">
        <v>76</v>
      </c>
      <c r="AK155" s="121"/>
      <c r="AL155" s="63"/>
      <c r="AM155" s="63"/>
      <c r="AN155" s="63"/>
      <c r="AO155" s="63"/>
      <c r="AP155" s="658" t="s">
        <v>141</v>
      </c>
      <c r="AQ155" s="649"/>
      <c r="AR155" s="649"/>
      <c r="AS155" s="649"/>
      <c r="AT155" s="649"/>
      <c r="AU155" s="649"/>
      <c r="AV155" s="649"/>
      <c r="AW155" s="649"/>
      <c r="AX155" s="649"/>
      <c r="AY155" s="649"/>
      <c r="AZ155" s="649"/>
      <c r="BA155" s="639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122"/>
      <c r="BR155" s="51"/>
    </row>
    <row r="156" spans="2:78" ht="49.5" customHeight="1" x14ac:dyDescent="0.25">
      <c r="B156" s="624"/>
      <c r="AK156" s="20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21"/>
      <c r="BR156" s="51"/>
    </row>
    <row r="157" spans="2:78" ht="49.5" customHeight="1" x14ac:dyDescent="0.25">
      <c r="B157" s="624"/>
      <c r="D157" s="49"/>
      <c r="E157" s="49"/>
      <c r="G157" s="49"/>
      <c r="H157" s="49"/>
      <c r="N157" s="13"/>
      <c r="O157" s="13"/>
      <c r="P157" s="13"/>
      <c r="Q157" s="13"/>
      <c r="AK157" s="646" t="s">
        <v>69</v>
      </c>
      <c r="AL157" s="573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21"/>
      <c r="BR157" s="51"/>
    </row>
    <row r="158" spans="2:78" ht="49.5" customHeight="1" x14ac:dyDescent="0.25">
      <c r="B158" s="624"/>
      <c r="D158" s="49"/>
      <c r="E158" s="49"/>
      <c r="G158" s="49"/>
      <c r="H158" s="49"/>
      <c r="N158" s="13"/>
      <c r="O158" s="13"/>
      <c r="P158" s="13"/>
      <c r="Q158" s="13"/>
      <c r="AK158" s="20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659" t="s">
        <v>142</v>
      </c>
      <c r="AX158" s="574"/>
      <c r="AY158" s="574"/>
      <c r="AZ158" s="574"/>
      <c r="BA158" s="574"/>
      <c r="BB158" s="573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21"/>
      <c r="BR158" s="51"/>
    </row>
    <row r="159" spans="2:78" ht="49.5" customHeight="1" x14ac:dyDescent="0.25">
      <c r="B159" s="624"/>
      <c r="D159" s="49"/>
      <c r="E159" s="49"/>
      <c r="G159" s="49"/>
      <c r="H159" s="49"/>
      <c r="N159" s="13"/>
      <c r="O159" s="13"/>
      <c r="P159" s="13"/>
      <c r="Q159" s="13"/>
      <c r="AK159" s="20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21"/>
      <c r="BR159" s="51"/>
    </row>
    <row r="160" spans="2:78" ht="49.5" customHeight="1" x14ac:dyDescent="0.25">
      <c r="B160" s="624"/>
      <c r="D160" s="49"/>
      <c r="E160" s="49"/>
      <c r="G160" s="49"/>
      <c r="H160" s="49"/>
      <c r="N160" s="13"/>
      <c r="O160" s="13"/>
      <c r="P160" s="13"/>
      <c r="Q160" s="13"/>
      <c r="AK160" s="20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21"/>
      <c r="BR160" s="51"/>
    </row>
    <row r="161" spans="2:70" ht="49.5" customHeight="1" x14ac:dyDescent="0.25">
      <c r="B161" s="624"/>
      <c r="D161" s="49"/>
      <c r="E161" s="49"/>
      <c r="G161" s="49"/>
      <c r="H161" s="49"/>
      <c r="N161" s="13"/>
      <c r="O161" s="13"/>
      <c r="P161" s="13"/>
      <c r="Q161" s="13"/>
      <c r="AK161" s="20"/>
      <c r="AL161" s="19"/>
      <c r="AM161" s="19"/>
      <c r="AN161" s="19"/>
      <c r="AO161" s="19"/>
      <c r="AP161" s="19"/>
      <c r="AQ161" s="19"/>
      <c r="AR161" s="19"/>
      <c r="AS161" s="123" t="s">
        <v>143</v>
      </c>
      <c r="AT161" s="19"/>
      <c r="AU161" s="19"/>
      <c r="AV161" s="19"/>
      <c r="AW161" s="123" t="s">
        <v>144</v>
      </c>
      <c r="AX161" s="19"/>
      <c r="AY161" s="19"/>
      <c r="AZ161" s="19"/>
      <c r="BA161" s="19"/>
      <c r="BB161" s="19"/>
      <c r="BC161" s="637" t="s">
        <v>145</v>
      </c>
      <c r="BD161" s="574"/>
      <c r="BE161" s="573"/>
      <c r="BF161" s="35"/>
      <c r="BG161" s="35"/>
      <c r="BH161" s="35"/>
      <c r="BI161" s="35"/>
      <c r="BJ161" s="35"/>
      <c r="BK161" s="35"/>
      <c r="BL161" s="35"/>
      <c r="BM161" s="35"/>
      <c r="BN161" s="124"/>
      <c r="BR161" s="51"/>
    </row>
    <row r="162" spans="2:70" ht="49.5" customHeight="1" x14ac:dyDescent="0.25">
      <c r="B162" s="624"/>
      <c r="D162" s="49"/>
      <c r="E162" s="49"/>
      <c r="G162" s="49"/>
      <c r="H162" s="49"/>
      <c r="N162" s="13"/>
      <c r="O162" s="13"/>
      <c r="P162" s="13"/>
      <c r="Q162" s="13"/>
      <c r="AK162" s="20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124"/>
      <c r="BR162" s="51"/>
    </row>
    <row r="163" spans="2:70" ht="49.5" customHeight="1" x14ac:dyDescent="0.25">
      <c r="B163" s="624"/>
      <c r="D163" s="49"/>
      <c r="E163" s="49"/>
      <c r="G163" s="49"/>
      <c r="H163" s="49"/>
      <c r="N163" s="13"/>
      <c r="O163" s="13"/>
      <c r="P163" s="13"/>
      <c r="Q163" s="13"/>
      <c r="AK163" s="20"/>
      <c r="AL163" s="19"/>
      <c r="AM163" s="19"/>
      <c r="AN163" s="19"/>
      <c r="AO163" s="19"/>
      <c r="AP163" s="19"/>
      <c r="AQ163" s="19"/>
      <c r="AR163" s="19"/>
      <c r="AS163" s="125" t="s">
        <v>122</v>
      </c>
      <c r="AT163" s="19"/>
      <c r="AU163" s="19"/>
      <c r="AV163" s="19"/>
      <c r="AW163" s="660" t="s">
        <v>146</v>
      </c>
      <c r="AX163" s="573"/>
      <c r="AY163" s="19"/>
      <c r="AZ163" s="19"/>
      <c r="BA163" s="19"/>
      <c r="BB163" s="19"/>
      <c r="BC163" s="660" t="s">
        <v>147</v>
      </c>
      <c r="BD163" s="573"/>
      <c r="BE163" s="35"/>
      <c r="BF163" s="35"/>
      <c r="BG163" s="35"/>
      <c r="BH163" s="35"/>
      <c r="BI163" s="35"/>
      <c r="BJ163" s="35"/>
      <c r="BK163" s="35"/>
      <c r="BL163" s="35"/>
      <c r="BM163" s="35"/>
      <c r="BN163" s="124"/>
      <c r="BR163" s="51"/>
    </row>
    <row r="164" spans="2:70" ht="49.5" customHeight="1" x14ac:dyDescent="0.25">
      <c r="B164" s="624"/>
      <c r="D164" s="49"/>
      <c r="E164" s="49"/>
      <c r="G164" s="49"/>
      <c r="H164" s="49"/>
      <c r="N164" s="13"/>
      <c r="O164" s="13"/>
      <c r="P164" s="13"/>
      <c r="Q164" s="13"/>
      <c r="AK164" s="20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124"/>
      <c r="BR164" s="51"/>
    </row>
    <row r="165" spans="2:70" ht="49.5" customHeight="1" x14ac:dyDescent="0.25">
      <c r="B165" s="624"/>
      <c r="D165" s="49"/>
      <c r="E165" s="49"/>
      <c r="G165" s="49"/>
      <c r="H165" s="49"/>
      <c r="N165" s="13"/>
      <c r="O165" s="13"/>
      <c r="P165" s="13"/>
      <c r="Q165" s="13"/>
      <c r="AK165" s="20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661" t="s">
        <v>109</v>
      </c>
      <c r="BC165" s="574"/>
      <c r="BD165" s="574"/>
      <c r="BE165" s="574"/>
      <c r="BF165" s="574"/>
      <c r="BG165" s="574"/>
      <c r="BH165" s="574"/>
      <c r="BI165" s="573"/>
      <c r="BJ165" s="35"/>
      <c r="BK165" s="35"/>
      <c r="BL165" s="35"/>
      <c r="BM165" s="35"/>
      <c r="BN165" s="124"/>
      <c r="BR165" s="51"/>
    </row>
    <row r="166" spans="2:70" ht="49.5" customHeight="1" x14ac:dyDescent="0.25">
      <c r="B166" s="624"/>
      <c r="D166" s="49"/>
      <c r="E166" s="49"/>
      <c r="G166" s="49"/>
      <c r="H166" s="49"/>
      <c r="N166" s="13"/>
      <c r="O166" s="13"/>
      <c r="P166" s="13"/>
      <c r="Q166" s="13"/>
      <c r="AK166" s="20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124"/>
      <c r="BR166" s="51"/>
    </row>
    <row r="167" spans="2:70" ht="49.5" customHeight="1" x14ac:dyDescent="0.25">
      <c r="B167" s="624"/>
      <c r="D167" s="49"/>
      <c r="E167" s="49"/>
      <c r="G167" s="49"/>
      <c r="H167" s="49"/>
      <c r="N167" s="13"/>
      <c r="O167" s="13"/>
      <c r="P167" s="13"/>
      <c r="Q167" s="13"/>
      <c r="AK167" s="20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660" t="s">
        <v>110</v>
      </c>
      <c r="BC167" s="574"/>
      <c r="BD167" s="574"/>
      <c r="BE167" s="574"/>
      <c r="BF167" s="574"/>
      <c r="BG167" s="573"/>
      <c r="BH167" s="19"/>
      <c r="BI167" s="19"/>
      <c r="BJ167" s="19"/>
      <c r="BK167" s="35"/>
      <c r="BL167" s="35"/>
      <c r="BM167" s="35"/>
      <c r="BN167" s="124"/>
      <c r="BR167" s="51"/>
    </row>
    <row r="168" spans="2:70" ht="49.5" customHeight="1" x14ac:dyDescent="0.25">
      <c r="B168" s="624"/>
      <c r="D168" s="49"/>
      <c r="E168" s="49"/>
      <c r="G168" s="49"/>
      <c r="H168" s="49"/>
      <c r="N168" s="13"/>
      <c r="O168" s="13"/>
      <c r="P168" s="13"/>
      <c r="Q168" s="13"/>
      <c r="AK168" s="20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124"/>
      <c r="BR168" s="51"/>
    </row>
    <row r="169" spans="2:70" ht="51.75" customHeight="1" x14ac:dyDescent="0.25">
      <c r="B169" s="624"/>
      <c r="D169" s="49"/>
      <c r="E169" s="49"/>
      <c r="G169" s="49"/>
      <c r="H169" s="49"/>
      <c r="N169" s="13"/>
      <c r="O169" s="13"/>
      <c r="P169" s="13"/>
      <c r="Q169" s="13"/>
      <c r="AK169" s="20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35"/>
      <c r="BC169" s="19"/>
      <c r="BD169" s="19"/>
      <c r="BE169" s="126"/>
      <c r="BF169" s="88"/>
      <c r="BG169" s="637" t="s">
        <v>111</v>
      </c>
      <c r="BH169" s="574"/>
      <c r="BI169" s="574"/>
      <c r="BJ169" s="574"/>
      <c r="BK169" s="574"/>
      <c r="BL169" s="574"/>
      <c r="BM169" s="574"/>
      <c r="BN169" s="651"/>
      <c r="BR169" s="51"/>
    </row>
    <row r="170" spans="2:70" ht="15" customHeight="1" x14ac:dyDescent="0.25">
      <c r="B170" s="593"/>
      <c r="AK170" s="23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5"/>
      <c r="BR170" s="51"/>
    </row>
    <row r="171" spans="2:70" ht="51.75" customHeight="1" x14ac:dyDescent="0.25">
      <c r="D171" s="49"/>
      <c r="E171" s="49"/>
      <c r="G171" s="49"/>
      <c r="H171" s="49"/>
      <c r="N171" s="13"/>
      <c r="O171" s="13"/>
      <c r="P171" s="13"/>
      <c r="Q171" s="13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35"/>
      <c r="BD171" s="19"/>
      <c r="BE171" s="19"/>
      <c r="BF171" s="126"/>
      <c r="BG171" s="88"/>
      <c r="BH171" s="82"/>
      <c r="BI171" s="19"/>
      <c r="BJ171" s="19"/>
      <c r="BK171" s="19"/>
      <c r="BL171" s="19"/>
      <c r="BM171" s="19"/>
      <c r="BN171" s="19"/>
      <c r="BO171" s="19"/>
      <c r="BR171" s="51"/>
    </row>
    <row r="172" spans="2:70" ht="49.5" customHeight="1" x14ac:dyDescent="0.25">
      <c r="D172" s="49"/>
      <c r="E172" s="49"/>
      <c r="G172" s="49"/>
      <c r="H172" s="49"/>
      <c r="N172" s="13"/>
      <c r="O172" s="13"/>
      <c r="P172" s="13"/>
      <c r="Q172" s="13"/>
      <c r="BR172" s="51"/>
    </row>
    <row r="173" spans="2:70" ht="49.5" customHeight="1" x14ac:dyDescent="0.25">
      <c r="D173" s="49"/>
      <c r="E173" s="49"/>
      <c r="G173" s="49"/>
      <c r="H173" s="49"/>
      <c r="N173" s="13"/>
      <c r="O173" s="13"/>
      <c r="P173" s="13"/>
      <c r="Q173" s="13"/>
      <c r="BR173" s="51"/>
    </row>
    <row r="174" spans="2:70" ht="49.5" customHeight="1" x14ac:dyDescent="0.25">
      <c r="D174" s="49"/>
      <c r="E174" s="49"/>
      <c r="G174" s="49"/>
      <c r="H174" s="49"/>
      <c r="N174" s="13"/>
      <c r="O174" s="13"/>
      <c r="P174" s="13"/>
      <c r="Q174" s="13"/>
      <c r="BR174" s="51"/>
    </row>
    <row r="175" spans="2:70" ht="14.25" customHeight="1" x14ac:dyDescent="0.25">
      <c r="D175" s="49"/>
      <c r="E175" s="49"/>
      <c r="G175" s="49"/>
      <c r="H175" s="49"/>
      <c r="N175" s="13"/>
      <c r="O175" s="13"/>
      <c r="P175" s="13"/>
      <c r="Q175" s="13"/>
      <c r="BR175" s="51"/>
    </row>
    <row r="176" spans="2:70" ht="14.25" customHeight="1" x14ac:dyDescent="0.25">
      <c r="D176" s="49"/>
      <c r="E176" s="49"/>
      <c r="G176" s="49"/>
      <c r="H176" s="49"/>
      <c r="N176" s="13"/>
      <c r="O176" s="13"/>
      <c r="P176" s="13"/>
      <c r="Q176" s="13"/>
      <c r="BR176" s="51"/>
    </row>
    <row r="177" spans="4:70" ht="18" customHeight="1" x14ac:dyDescent="0.25">
      <c r="D177" s="49"/>
      <c r="E177" s="49"/>
      <c r="G177" s="49"/>
      <c r="H177" s="49"/>
      <c r="N177" s="13"/>
      <c r="O177" s="13"/>
      <c r="P177" s="13"/>
      <c r="Q177" s="13"/>
      <c r="BR177" s="51"/>
    </row>
    <row r="178" spans="4:70" ht="14.25" customHeight="1" x14ac:dyDescent="0.25">
      <c r="D178" s="49"/>
      <c r="E178" s="49"/>
      <c r="G178" s="49"/>
      <c r="H178" s="49"/>
      <c r="N178" s="13"/>
      <c r="O178" s="13"/>
      <c r="P178" s="13"/>
      <c r="Q178" s="13"/>
      <c r="BR178" s="51"/>
    </row>
    <row r="179" spans="4:70" ht="14.25" customHeight="1" x14ac:dyDescent="0.25">
      <c r="D179" s="49"/>
      <c r="E179" s="49"/>
      <c r="G179" s="49"/>
      <c r="H179" s="49"/>
      <c r="N179" s="13"/>
      <c r="O179" s="13"/>
      <c r="P179" s="13"/>
      <c r="Q179" s="13"/>
      <c r="BR179" s="51"/>
    </row>
    <row r="180" spans="4:70" ht="14.25" customHeight="1" x14ac:dyDescent="0.25">
      <c r="D180" s="49"/>
      <c r="E180" s="49"/>
      <c r="G180" s="49"/>
      <c r="H180" s="49"/>
      <c r="N180" s="13"/>
      <c r="O180" s="13"/>
      <c r="P180" s="13"/>
      <c r="Q180" s="13"/>
      <c r="BR180" s="51"/>
    </row>
    <row r="181" spans="4:70" ht="14.25" customHeight="1" x14ac:dyDescent="0.25">
      <c r="D181" s="49"/>
      <c r="E181" s="49"/>
      <c r="G181" s="49"/>
      <c r="H181" s="49"/>
      <c r="N181" s="13"/>
      <c r="O181" s="13"/>
      <c r="P181" s="13"/>
      <c r="Q181" s="13"/>
      <c r="BR181" s="51"/>
    </row>
    <row r="182" spans="4:70" ht="14.25" customHeight="1" x14ac:dyDescent="0.25">
      <c r="D182" s="49"/>
      <c r="E182" s="49"/>
      <c r="G182" s="49"/>
      <c r="H182" s="49"/>
      <c r="N182" s="13"/>
      <c r="O182" s="13"/>
      <c r="P182" s="13"/>
      <c r="Q182" s="13"/>
      <c r="BR182" s="51"/>
    </row>
    <row r="183" spans="4:70" ht="14.25" customHeight="1" x14ac:dyDescent="0.25">
      <c r="D183" s="49"/>
      <c r="E183" s="49"/>
      <c r="G183" s="49"/>
      <c r="H183" s="49"/>
      <c r="N183" s="13"/>
      <c r="O183" s="13"/>
      <c r="P183" s="13"/>
      <c r="Q183" s="13"/>
      <c r="BR183" s="51"/>
    </row>
    <row r="184" spans="4:70" ht="14.25" customHeight="1" x14ac:dyDescent="0.25">
      <c r="D184" s="49"/>
      <c r="E184" s="49"/>
      <c r="G184" s="49"/>
      <c r="H184" s="49"/>
      <c r="N184" s="13"/>
      <c r="O184" s="13"/>
      <c r="P184" s="13"/>
      <c r="Q184" s="13"/>
      <c r="BR184" s="51"/>
    </row>
    <row r="185" spans="4:70" ht="14.25" customHeight="1" x14ac:dyDescent="0.25">
      <c r="D185" s="49"/>
      <c r="E185" s="49"/>
      <c r="G185" s="49"/>
      <c r="H185" s="49"/>
      <c r="N185" s="13"/>
      <c r="O185" s="13"/>
      <c r="P185" s="13"/>
      <c r="Q185" s="13"/>
      <c r="BR185" s="51"/>
    </row>
    <row r="186" spans="4:70" ht="14.25" customHeight="1" x14ac:dyDescent="0.25">
      <c r="D186" s="49"/>
      <c r="E186" s="49"/>
      <c r="G186" s="49"/>
      <c r="H186" s="49"/>
      <c r="N186" s="13"/>
      <c r="O186" s="13"/>
      <c r="P186" s="13"/>
      <c r="Q186" s="13"/>
      <c r="BR186" s="51"/>
    </row>
    <row r="187" spans="4:70" ht="14.25" customHeight="1" x14ac:dyDescent="0.25">
      <c r="D187" s="49"/>
      <c r="E187" s="49"/>
      <c r="G187" s="49"/>
      <c r="H187" s="49"/>
      <c r="N187" s="13"/>
      <c r="O187" s="13"/>
      <c r="P187" s="13"/>
      <c r="Q187" s="13"/>
      <c r="BR187" s="51"/>
    </row>
    <row r="188" spans="4:70" ht="14.25" customHeight="1" x14ac:dyDescent="0.25">
      <c r="D188" s="49"/>
      <c r="E188" s="49"/>
      <c r="G188" s="49"/>
      <c r="H188" s="49"/>
      <c r="N188" s="13"/>
      <c r="O188" s="13"/>
      <c r="P188" s="13"/>
      <c r="Q188" s="13"/>
      <c r="BR188" s="51"/>
    </row>
    <row r="189" spans="4:70" ht="14.25" customHeight="1" x14ac:dyDescent="0.25">
      <c r="D189" s="49"/>
      <c r="E189" s="49"/>
      <c r="G189" s="49"/>
      <c r="H189" s="49"/>
      <c r="N189" s="13"/>
      <c r="O189" s="13"/>
      <c r="P189" s="13"/>
      <c r="Q189" s="13"/>
      <c r="BR189" s="51"/>
    </row>
    <row r="190" spans="4:70" ht="14.25" customHeight="1" x14ac:dyDescent="0.25">
      <c r="D190" s="49"/>
      <c r="E190" s="49"/>
      <c r="G190" s="49"/>
      <c r="H190" s="49"/>
      <c r="N190" s="13"/>
      <c r="O190" s="13"/>
      <c r="P190" s="13"/>
      <c r="Q190" s="13"/>
      <c r="BR190" s="51"/>
    </row>
    <row r="191" spans="4:70" ht="14.25" customHeight="1" x14ac:dyDescent="0.25">
      <c r="D191" s="49"/>
      <c r="E191" s="49"/>
      <c r="G191" s="49"/>
      <c r="H191" s="49"/>
      <c r="N191" s="13"/>
      <c r="O191" s="13"/>
      <c r="P191" s="13"/>
      <c r="Q191" s="13"/>
      <c r="BR191" s="51"/>
    </row>
    <row r="192" spans="4:70" ht="14.25" customHeight="1" x14ac:dyDescent="0.25">
      <c r="D192" s="49"/>
      <c r="E192" s="49"/>
      <c r="G192" s="49"/>
      <c r="H192" s="49"/>
      <c r="N192" s="13"/>
      <c r="O192" s="13"/>
      <c r="P192" s="13"/>
      <c r="Q192" s="13"/>
      <c r="BR192" s="51"/>
    </row>
    <row r="193" spans="4:70" ht="14.25" customHeight="1" x14ac:dyDescent="0.25">
      <c r="D193" s="49"/>
      <c r="E193" s="49"/>
      <c r="G193" s="49"/>
      <c r="H193" s="49"/>
      <c r="N193" s="13"/>
      <c r="O193" s="13"/>
      <c r="P193" s="13"/>
      <c r="Q193" s="13"/>
      <c r="BR193" s="51"/>
    </row>
    <row r="194" spans="4:70" ht="14.25" customHeight="1" x14ac:dyDescent="0.25">
      <c r="D194" s="49"/>
      <c r="E194" s="49"/>
      <c r="G194" s="49"/>
      <c r="H194" s="49"/>
      <c r="N194" s="13"/>
      <c r="O194" s="13"/>
      <c r="P194" s="13"/>
      <c r="Q194" s="13"/>
      <c r="BR194" s="51"/>
    </row>
    <row r="195" spans="4:70" ht="14.25" customHeight="1" x14ac:dyDescent="0.25">
      <c r="D195" s="49"/>
      <c r="E195" s="49"/>
      <c r="G195" s="49"/>
      <c r="H195" s="49"/>
      <c r="N195" s="13"/>
      <c r="O195" s="13"/>
      <c r="P195" s="13"/>
      <c r="Q195" s="13"/>
      <c r="BR195" s="51"/>
    </row>
    <row r="196" spans="4:70" ht="14.25" customHeight="1" x14ac:dyDescent="0.25">
      <c r="D196" s="49"/>
      <c r="E196" s="49"/>
      <c r="G196" s="49"/>
      <c r="H196" s="49"/>
      <c r="N196" s="13"/>
      <c r="O196" s="13"/>
      <c r="P196" s="13"/>
      <c r="Q196" s="13"/>
      <c r="BR196" s="51"/>
    </row>
    <row r="197" spans="4:70" ht="14.25" customHeight="1" x14ac:dyDescent="0.25">
      <c r="D197" s="49"/>
      <c r="E197" s="49"/>
      <c r="G197" s="49"/>
      <c r="H197" s="49"/>
      <c r="N197" s="13"/>
      <c r="O197" s="13"/>
      <c r="P197" s="13"/>
      <c r="Q197" s="13"/>
      <c r="BR197" s="51"/>
    </row>
    <row r="198" spans="4:70" ht="14.25" customHeight="1" x14ac:dyDescent="0.25">
      <c r="D198" s="49"/>
      <c r="E198" s="49"/>
      <c r="G198" s="49"/>
      <c r="H198" s="49"/>
      <c r="N198" s="13"/>
      <c r="O198" s="13"/>
      <c r="P198" s="13"/>
      <c r="Q198" s="13"/>
      <c r="BR198" s="51"/>
    </row>
    <row r="199" spans="4:70" ht="14.25" customHeight="1" x14ac:dyDescent="0.25">
      <c r="D199" s="49"/>
      <c r="E199" s="49"/>
      <c r="G199" s="49"/>
      <c r="H199" s="49"/>
      <c r="N199" s="13"/>
      <c r="O199" s="13"/>
      <c r="P199" s="13"/>
      <c r="Q199" s="13"/>
      <c r="BR199" s="51"/>
    </row>
    <row r="200" spans="4:70" ht="14.25" customHeight="1" x14ac:dyDescent="0.25">
      <c r="D200" s="49"/>
      <c r="E200" s="49"/>
      <c r="G200" s="49"/>
      <c r="H200" s="49"/>
      <c r="N200" s="13"/>
      <c r="O200" s="13"/>
      <c r="P200" s="13"/>
      <c r="Q200" s="13"/>
      <c r="BR200" s="51"/>
    </row>
    <row r="201" spans="4:70" ht="14.25" customHeight="1" x14ac:dyDescent="0.25">
      <c r="D201" s="49"/>
      <c r="E201" s="49"/>
      <c r="G201" s="49"/>
      <c r="H201" s="49"/>
      <c r="N201" s="13"/>
      <c r="O201" s="13"/>
      <c r="P201" s="13"/>
      <c r="Q201" s="13"/>
      <c r="BR201" s="51"/>
    </row>
    <row r="202" spans="4:70" ht="14.25" customHeight="1" x14ac:dyDescent="0.25">
      <c r="D202" s="49"/>
      <c r="E202" s="49"/>
      <c r="G202" s="49"/>
      <c r="H202" s="49"/>
      <c r="N202" s="13"/>
      <c r="O202" s="13"/>
      <c r="P202" s="13"/>
      <c r="Q202" s="13"/>
      <c r="BR202" s="51"/>
    </row>
    <row r="203" spans="4:70" ht="14.25" customHeight="1" x14ac:dyDescent="0.25">
      <c r="D203" s="49"/>
      <c r="E203" s="49"/>
      <c r="G203" s="49"/>
      <c r="H203" s="49"/>
      <c r="N203" s="13"/>
      <c r="O203" s="13"/>
      <c r="P203" s="13"/>
      <c r="Q203" s="13"/>
      <c r="BR203" s="51"/>
    </row>
    <row r="204" spans="4:70" ht="14.25" customHeight="1" x14ac:dyDescent="0.25">
      <c r="D204" s="49"/>
      <c r="E204" s="49"/>
      <c r="G204" s="49"/>
      <c r="H204" s="49"/>
      <c r="N204" s="13"/>
      <c r="O204" s="13"/>
      <c r="P204" s="13"/>
      <c r="Q204" s="13"/>
      <c r="BR204" s="51"/>
    </row>
    <row r="205" spans="4:70" ht="14.25" customHeight="1" x14ac:dyDescent="0.25">
      <c r="D205" s="49"/>
      <c r="E205" s="49"/>
      <c r="G205" s="49"/>
      <c r="H205" s="49"/>
      <c r="N205" s="13"/>
      <c r="O205" s="13"/>
      <c r="P205" s="13"/>
      <c r="Q205" s="13"/>
      <c r="BR205" s="51"/>
    </row>
    <row r="206" spans="4:70" ht="14.25" customHeight="1" x14ac:dyDescent="0.25">
      <c r="D206" s="49"/>
      <c r="E206" s="49"/>
      <c r="G206" s="49"/>
      <c r="H206" s="49"/>
      <c r="N206" s="13"/>
      <c r="O206" s="13"/>
      <c r="P206" s="13"/>
      <c r="Q206" s="13"/>
      <c r="BR206" s="51"/>
    </row>
    <row r="207" spans="4:70" ht="14.25" customHeight="1" x14ac:dyDescent="0.25">
      <c r="D207" s="49"/>
      <c r="E207" s="49"/>
      <c r="G207" s="49"/>
      <c r="H207" s="49"/>
      <c r="N207" s="13"/>
      <c r="O207" s="13"/>
      <c r="P207" s="13"/>
      <c r="Q207" s="13"/>
      <c r="BR207" s="51"/>
    </row>
    <row r="208" spans="4:70" ht="14.25" customHeight="1" x14ac:dyDescent="0.25">
      <c r="D208" s="49"/>
      <c r="E208" s="49"/>
      <c r="G208" s="49"/>
      <c r="H208" s="49"/>
      <c r="N208" s="13"/>
      <c r="O208" s="13"/>
      <c r="P208" s="13"/>
      <c r="Q208" s="13"/>
      <c r="BR208" s="51"/>
    </row>
    <row r="209" spans="4:70" ht="14.25" customHeight="1" x14ac:dyDescent="0.25">
      <c r="D209" s="49"/>
      <c r="E209" s="49"/>
      <c r="G209" s="49"/>
      <c r="H209" s="49"/>
      <c r="N209" s="13"/>
      <c r="O209" s="13"/>
      <c r="P209" s="13"/>
      <c r="Q209" s="13"/>
      <c r="BR209" s="51"/>
    </row>
    <row r="210" spans="4:70" ht="14.25" customHeight="1" x14ac:dyDescent="0.25">
      <c r="D210" s="49"/>
      <c r="E210" s="49"/>
      <c r="G210" s="49"/>
      <c r="H210" s="49"/>
      <c r="N210" s="13"/>
      <c r="O210" s="13"/>
      <c r="P210" s="13"/>
      <c r="Q210" s="13"/>
      <c r="BR210" s="51"/>
    </row>
    <row r="211" spans="4:70" ht="14.25" customHeight="1" x14ac:dyDescent="0.25">
      <c r="D211" s="49"/>
      <c r="E211" s="49"/>
      <c r="G211" s="49"/>
      <c r="H211" s="49"/>
      <c r="N211" s="13"/>
      <c r="O211" s="13"/>
      <c r="P211" s="13"/>
      <c r="Q211" s="13"/>
      <c r="BR211" s="51"/>
    </row>
    <row r="212" spans="4:70" ht="14.25" customHeight="1" x14ac:dyDescent="0.25">
      <c r="D212" s="49"/>
      <c r="E212" s="49"/>
      <c r="G212" s="49"/>
      <c r="H212" s="49"/>
      <c r="N212" s="13"/>
      <c r="O212" s="13"/>
      <c r="P212" s="13"/>
      <c r="Q212" s="13"/>
      <c r="BR212" s="51"/>
    </row>
    <row r="213" spans="4:70" ht="14.25" customHeight="1" x14ac:dyDescent="0.25">
      <c r="D213" s="49"/>
      <c r="E213" s="49"/>
      <c r="G213" s="49"/>
      <c r="H213" s="49"/>
      <c r="N213" s="13"/>
      <c r="O213" s="13"/>
      <c r="P213" s="13"/>
      <c r="Q213" s="13"/>
      <c r="BR213" s="51"/>
    </row>
    <row r="214" spans="4:70" ht="14.25" customHeight="1" x14ac:dyDescent="0.25">
      <c r="D214" s="49"/>
      <c r="E214" s="49"/>
      <c r="G214" s="49"/>
      <c r="H214" s="49"/>
      <c r="N214" s="13"/>
      <c r="O214" s="13"/>
      <c r="P214" s="13"/>
      <c r="Q214" s="13"/>
      <c r="BR214" s="51"/>
    </row>
    <row r="215" spans="4:70" ht="14.25" customHeight="1" x14ac:dyDescent="0.25">
      <c r="D215" s="49"/>
      <c r="E215" s="49"/>
      <c r="G215" s="49"/>
      <c r="H215" s="49"/>
      <c r="N215" s="13"/>
      <c r="O215" s="13"/>
      <c r="P215" s="13"/>
      <c r="Q215" s="13"/>
      <c r="BR215" s="51"/>
    </row>
    <row r="216" spans="4:70" ht="14.25" customHeight="1" x14ac:dyDescent="0.25">
      <c r="D216" s="49"/>
      <c r="E216" s="49"/>
      <c r="G216" s="49"/>
      <c r="H216" s="49"/>
      <c r="N216" s="13"/>
      <c r="O216" s="13"/>
      <c r="P216" s="13"/>
      <c r="Q216" s="13"/>
      <c r="BR216" s="51"/>
    </row>
    <row r="217" spans="4:70" ht="14.25" customHeight="1" x14ac:dyDescent="0.25">
      <c r="D217" s="49"/>
      <c r="E217" s="49"/>
      <c r="G217" s="49"/>
      <c r="H217" s="49"/>
      <c r="N217" s="13"/>
      <c r="O217" s="13"/>
      <c r="P217" s="13"/>
      <c r="Q217" s="13"/>
      <c r="BR217" s="51"/>
    </row>
    <row r="218" spans="4:70" ht="14.25" customHeight="1" x14ac:dyDescent="0.25">
      <c r="D218" s="49"/>
      <c r="E218" s="49"/>
      <c r="G218" s="49"/>
      <c r="H218" s="49"/>
      <c r="N218" s="13"/>
      <c r="O218" s="13"/>
      <c r="P218" s="13"/>
      <c r="Q218" s="13"/>
      <c r="BR218" s="51"/>
    </row>
    <row r="219" spans="4:70" ht="14.25" customHeight="1" x14ac:dyDescent="0.25">
      <c r="D219" s="49"/>
      <c r="E219" s="49"/>
      <c r="G219" s="49"/>
      <c r="H219" s="49"/>
      <c r="N219" s="13"/>
      <c r="O219" s="13"/>
      <c r="P219" s="13"/>
      <c r="Q219" s="13"/>
      <c r="BR219" s="51"/>
    </row>
    <row r="220" spans="4:70" ht="14.25" customHeight="1" x14ac:dyDescent="0.25">
      <c r="D220" s="49"/>
      <c r="E220" s="49"/>
      <c r="G220" s="49"/>
      <c r="H220" s="49"/>
      <c r="N220" s="13"/>
      <c r="O220" s="13"/>
      <c r="P220" s="13"/>
      <c r="Q220" s="13"/>
      <c r="BR220" s="51"/>
    </row>
    <row r="221" spans="4:70" ht="14.25" customHeight="1" x14ac:dyDescent="0.25">
      <c r="D221" s="49"/>
      <c r="E221" s="49"/>
      <c r="G221" s="49"/>
      <c r="H221" s="49"/>
      <c r="N221" s="13"/>
      <c r="O221" s="13"/>
      <c r="P221" s="13"/>
      <c r="Q221" s="13"/>
      <c r="BR221" s="51"/>
    </row>
    <row r="222" spans="4:70" ht="14.25" customHeight="1" x14ac:dyDescent="0.25">
      <c r="D222" s="49"/>
      <c r="E222" s="49"/>
      <c r="G222" s="49"/>
      <c r="H222" s="49"/>
      <c r="N222" s="13"/>
      <c r="O222" s="13"/>
      <c r="P222" s="13"/>
      <c r="Q222" s="13"/>
      <c r="BR222" s="51"/>
    </row>
    <row r="223" spans="4:70" ht="14.25" customHeight="1" x14ac:dyDescent="0.25">
      <c r="D223" s="49"/>
      <c r="E223" s="49"/>
      <c r="G223" s="49"/>
      <c r="H223" s="49"/>
      <c r="N223" s="13"/>
      <c r="O223" s="13"/>
      <c r="P223" s="13"/>
      <c r="Q223" s="13"/>
      <c r="BR223" s="51"/>
    </row>
    <row r="224" spans="4:70" ht="14.25" customHeight="1" x14ac:dyDescent="0.25">
      <c r="D224" s="49"/>
      <c r="E224" s="49"/>
      <c r="G224" s="49"/>
      <c r="H224" s="49"/>
      <c r="N224" s="13"/>
      <c r="O224" s="13"/>
      <c r="P224" s="13"/>
      <c r="Q224" s="13"/>
      <c r="BR224" s="51"/>
    </row>
    <row r="225" spans="4:70" ht="14.25" customHeight="1" x14ac:dyDescent="0.25">
      <c r="D225" s="49"/>
      <c r="E225" s="49"/>
      <c r="G225" s="49"/>
      <c r="H225" s="49"/>
      <c r="N225" s="13"/>
      <c r="O225" s="13"/>
      <c r="P225" s="13"/>
      <c r="Q225" s="13"/>
      <c r="BR225" s="51"/>
    </row>
    <row r="226" spans="4:70" ht="14.25" customHeight="1" x14ac:dyDescent="0.25">
      <c r="D226" s="49"/>
      <c r="E226" s="49"/>
      <c r="G226" s="49"/>
      <c r="H226" s="49"/>
      <c r="N226" s="13"/>
      <c r="O226" s="13"/>
      <c r="P226" s="13"/>
      <c r="Q226" s="13"/>
      <c r="BR226" s="51"/>
    </row>
    <row r="227" spans="4:70" ht="14.25" customHeight="1" x14ac:dyDescent="0.25">
      <c r="D227" s="49"/>
      <c r="E227" s="49"/>
      <c r="G227" s="49"/>
      <c r="H227" s="49"/>
      <c r="N227" s="13"/>
      <c r="O227" s="13"/>
      <c r="P227" s="13"/>
      <c r="Q227" s="13"/>
      <c r="BR227" s="51"/>
    </row>
    <row r="228" spans="4:70" ht="14.25" customHeight="1" x14ac:dyDescent="0.25">
      <c r="D228" s="49"/>
      <c r="E228" s="49"/>
      <c r="G228" s="49"/>
      <c r="H228" s="49"/>
      <c r="N228" s="13"/>
      <c r="O228" s="13"/>
      <c r="P228" s="13"/>
      <c r="Q228" s="13"/>
      <c r="BR228" s="51"/>
    </row>
    <row r="229" spans="4:70" ht="14.25" customHeight="1" x14ac:dyDescent="0.25">
      <c r="D229" s="49"/>
      <c r="E229" s="49"/>
      <c r="G229" s="49"/>
      <c r="H229" s="49"/>
      <c r="N229" s="13"/>
      <c r="O229" s="13"/>
      <c r="P229" s="13"/>
      <c r="Q229" s="13"/>
      <c r="BR229" s="51"/>
    </row>
    <row r="230" spans="4:70" ht="14.25" customHeight="1" x14ac:dyDescent="0.25">
      <c r="D230" s="49"/>
      <c r="E230" s="49"/>
      <c r="G230" s="49"/>
      <c r="H230" s="49"/>
      <c r="N230" s="13"/>
      <c r="O230" s="13"/>
      <c r="P230" s="13"/>
      <c r="Q230" s="13"/>
      <c r="BR230" s="51"/>
    </row>
    <row r="231" spans="4:70" ht="14.25" customHeight="1" x14ac:dyDescent="0.25">
      <c r="D231" s="49"/>
      <c r="E231" s="49"/>
      <c r="G231" s="49"/>
      <c r="H231" s="49"/>
      <c r="N231" s="13"/>
      <c r="O231" s="13"/>
      <c r="P231" s="13"/>
      <c r="Q231" s="13"/>
      <c r="BR231" s="51"/>
    </row>
    <row r="232" spans="4:70" ht="14.25" customHeight="1" x14ac:dyDescent="0.25">
      <c r="D232" s="49"/>
      <c r="E232" s="49"/>
      <c r="G232" s="49"/>
      <c r="H232" s="49"/>
      <c r="N232" s="13"/>
      <c r="O232" s="13"/>
      <c r="P232" s="13"/>
      <c r="Q232" s="13"/>
      <c r="BR232" s="51"/>
    </row>
    <row r="233" spans="4:70" ht="14.25" customHeight="1" x14ac:dyDescent="0.25">
      <c r="D233" s="49"/>
      <c r="E233" s="49"/>
      <c r="G233" s="49"/>
      <c r="H233" s="49"/>
      <c r="N233" s="13"/>
      <c r="O233" s="13"/>
      <c r="P233" s="13"/>
      <c r="Q233" s="13"/>
      <c r="BR233" s="51"/>
    </row>
    <row r="234" spans="4:70" ht="14.25" customHeight="1" x14ac:dyDescent="0.25">
      <c r="D234" s="49"/>
      <c r="E234" s="49"/>
      <c r="G234" s="49"/>
      <c r="H234" s="49"/>
      <c r="N234" s="13"/>
      <c r="O234" s="13"/>
      <c r="P234" s="13"/>
      <c r="Q234" s="13"/>
      <c r="BR234" s="51"/>
    </row>
    <row r="235" spans="4:70" ht="14.25" customHeight="1" x14ac:dyDescent="0.25">
      <c r="D235" s="49"/>
      <c r="E235" s="49"/>
      <c r="G235" s="49"/>
      <c r="H235" s="49"/>
      <c r="N235" s="13"/>
      <c r="O235" s="13"/>
      <c r="P235" s="13"/>
      <c r="Q235" s="13"/>
      <c r="BR235" s="51"/>
    </row>
    <row r="236" spans="4:70" ht="14.25" customHeight="1" x14ac:dyDescent="0.25">
      <c r="D236" s="49"/>
      <c r="E236" s="49"/>
      <c r="G236" s="49"/>
      <c r="H236" s="49"/>
      <c r="N236" s="13"/>
      <c r="O236" s="13"/>
      <c r="P236" s="13"/>
      <c r="Q236" s="13"/>
      <c r="BR236" s="51"/>
    </row>
    <row r="237" spans="4:70" ht="14.25" customHeight="1" x14ac:dyDescent="0.25">
      <c r="D237" s="49"/>
      <c r="E237" s="49"/>
      <c r="G237" s="49"/>
      <c r="H237" s="49"/>
      <c r="N237" s="13"/>
      <c r="O237" s="13"/>
      <c r="P237" s="13"/>
      <c r="Q237" s="13"/>
      <c r="BR237" s="51"/>
    </row>
    <row r="238" spans="4:70" ht="14.25" customHeight="1" x14ac:dyDescent="0.25">
      <c r="D238" s="49"/>
      <c r="E238" s="49"/>
      <c r="G238" s="49"/>
      <c r="H238" s="49"/>
      <c r="N238" s="13"/>
      <c r="O238" s="13"/>
      <c r="P238" s="13"/>
      <c r="Q238" s="13"/>
      <c r="BR238" s="51"/>
    </row>
    <row r="239" spans="4:70" ht="14.25" customHeight="1" x14ac:dyDescent="0.25">
      <c r="D239" s="49"/>
      <c r="E239" s="49"/>
      <c r="G239" s="49"/>
      <c r="H239" s="49"/>
      <c r="N239" s="13"/>
      <c r="O239" s="13"/>
      <c r="P239" s="13"/>
      <c r="Q239" s="13"/>
      <c r="BR239" s="51"/>
    </row>
    <row r="240" spans="4:70" ht="14.25" customHeight="1" x14ac:dyDescent="0.25">
      <c r="D240" s="49"/>
      <c r="E240" s="49"/>
      <c r="G240" s="49"/>
      <c r="H240" s="49"/>
      <c r="N240" s="13"/>
      <c r="O240" s="13"/>
      <c r="P240" s="13"/>
      <c r="Q240" s="13"/>
      <c r="BR240" s="51"/>
    </row>
    <row r="241" spans="4:70" ht="14.25" customHeight="1" x14ac:dyDescent="0.25">
      <c r="D241" s="49"/>
      <c r="E241" s="49"/>
      <c r="G241" s="49"/>
      <c r="H241" s="49"/>
      <c r="N241" s="13"/>
      <c r="O241" s="13"/>
      <c r="P241" s="13"/>
      <c r="Q241" s="13"/>
      <c r="BR241" s="51"/>
    </row>
    <row r="242" spans="4:70" ht="15.75" customHeight="1" x14ac:dyDescent="0.25">
      <c r="BR242" s="51"/>
    </row>
    <row r="243" spans="4:70" ht="15.75" customHeight="1" x14ac:dyDescent="0.25">
      <c r="BR243" s="51"/>
    </row>
    <row r="244" spans="4:70" ht="15.75" customHeight="1" x14ac:dyDescent="0.25">
      <c r="BR244" s="51"/>
    </row>
    <row r="245" spans="4:70" ht="15.75" customHeight="1" x14ac:dyDescent="0.25">
      <c r="BR245" s="51"/>
    </row>
    <row r="246" spans="4:70" ht="15.75" customHeight="1" x14ac:dyDescent="0.25">
      <c r="BR246" s="51"/>
    </row>
    <row r="247" spans="4:70" ht="15.75" customHeight="1" x14ac:dyDescent="0.25">
      <c r="BR247" s="51"/>
    </row>
    <row r="248" spans="4:70" ht="15.75" customHeight="1" x14ac:dyDescent="0.25">
      <c r="BR248" s="51"/>
    </row>
    <row r="249" spans="4:70" ht="15.75" customHeight="1" x14ac:dyDescent="0.25">
      <c r="BR249" s="51"/>
    </row>
    <row r="250" spans="4:70" ht="15.75" customHeight="1" x14ac:dyDescent="0.25">
      <c r="BR250" s="51"/>
    </row>
    <row r="251" spans="4:70" ht="15.75" customHeight="1" x14ac:dyDescent="0.25">
      <c r="BR251" s="51"/>
    </row>
    <row r="252" spans="4:70" ht="15.75" customHeight="1" x14ac:dyDescent="0.25">
      <c r="BR252" s="51"/>
    </row>
    <row r="253" spans="4:70" ht="15.75" customHeight="1" x14ac:dyDescent="0.25">
      <c r="BR253" s="51"/>
    </row>
    <row r="254" spans="4:70" ht="15.75" customHeight="1" x14ac:dyDescent="0.25">
      <c r="BR254" s="51"/>
    </row>
    <row r="255" spans="4:70" ht="15.75" customHeight="1" x14ac:dyDescent="0.25">
      <c r="BR255" s="51"/>
    </row>
    <row r="256" spans="4:70" ht="15.75" customHeight="1" x14ac:dyDescent="0.25">
      <c r="BR256" s="51"/>
    </row>
    <row r="257" spans="70:70" ht="15.75" customHeight="1" x14ac:dyDescent="0.25">
      <c r="BR257" s="51"/>
    </row>
    <row r="258" spans="70:70" ht="15.75" customHeight="1" x14ac:dyDescent="0.25">
      <c r="BR258" s="51"/>
    </row>
    <row r="259" spans="70:70" ht="15.75" customHeight="1" x14ac:dyDescent="0.25">
      <c r="BR259" s="51"/>
    </row>
    <row r="260" spans="70:70" ht="15.75" customHeight="1" x14ac:dyDescent="0.25">
      <c r="BR260" s="51"/>
    </row>
    <row r="261" spans="70:70" ht="15.75" customHeight="1" x14ac:dyDescent="0.25">
      <c r="BR261" s="51"/>
    </row>
    <row r="262" spans="70:70" ht="15.75" customHeight="1" x14ac:dyDescent="0.25">
      <c r="BR262" s="51"/>
    </row>
    <row r="263" spans="70:70" ht="15.75" customHeight="1" x14ac:dyDescent="0.25">
      <c r="BR263" s="51"/>
    </row>
    <row r="264" spans="70:70" ht="15.75" customHeight="1" x14ac:dyDescent="0.25">
      <c r="BR264" s="51"/>
    </row>
    <row r="265" spans="70:70" ht="15.75" customHeight="1" x14ac:dyDescent="0.25">
      <c r="BR265" s="51"/>
    </row>
    <row r="266" spans="70:70" ht="15.75" customHeight="1" x14ac:dyDescent="0.25">
      <c r="BR266" s="51"/>
    </row>
    <row r="267" spans="70:70" ht="15.75" customHeight="1" x14ac:dyDescent="0.25">
      <c r="BR267" s="51"/>
    </row>
    <row r="268" spans="70:70" ht="15.75" customHeight="1" x14ac:dyDescent="0.25">
      <c r="BR268" s="51"/>
    </row>
    <row r="269" spans="70:70" ht="15.75" customHeight="1" x14ac:dyDescent="0.25">
      <c r="BR269" s="51"/>
    </row>
    <row r="270" spans="70:70" ht="15.75" customHeight="1" x14ac:dyDescent="0.25">
      <c r="BR270" s="51"/>
    </row>
    <row r="271" spans="70:70" ht="15.75" customHeight="1" x14ac:dyDescent="0.25">
      <c r="BR271" s="51"/>
    </row>
    <row r="272" spans="70:70" ht="15.75" customHeight="1" x14ac:dyDescent="0.25">
      <c r="BR272" s="51"/>
    </row>
    <row r="273" spans="70:70" ht="15.75" customHeight="1" x14ac:dyDescent="0.25">
      <c r="BR273" s="51"/>
    </row>
    <row r="274" spans="70:70" ht="15.75" customHeight="1" x14ac:dyDescent="0.25">
      <c r="BR274" s="51"/>
    </row>
    <row r="275" spans="70:70" ht="15.75" customHeight="1" x14ac:dyDescent="0.25">
      <c r="BR275" s="51"/>
    </row>
    <row r="276" spans="70:70" ht="15.75" customHeight="1" x14ac:dyDescent="0.25">
      <c r="BR276" s="51"/>
    </row>
    <row r="277" spans="70:70" ht="15.75" customHeight="1" x14ac:dyDescent="0.25">
      <c r="BR277" s="51"/>
    </row>
    <row r="278" spans="70:70" ht="15.75" customHeight="1" x14ac:dyDescent="0.25">
      <c r="BR278" s="51"/>
    </row>
    <row r="279" spans="70:70" ht="15.75" customHeight="1" x14ac:dyDescent="0.25">
      <c r="BR279" s="51"/>
    </row>
    <row r="280" spans="70:70" ht="15.75" customHeight="1" x14ac:dyDescent="0.25">
      <c r="BR280" s="51"/>
    </row>
    <row r="281" spans="70:70" ht="15.75" customHeight="1" x14ac:dyDescent="0.25">
      <c r="BR281" s="51"/>
    </row>
    <row r="282" spans="70:70" ht="15.75" customHeight="1" x14ac:dyDescent="0.25">
      <c r="BR282" s="51"/>
    </row>
    <row r="283" spans="70:70" ht="15.75" customHeight="1" x14ac:dyDescent="0.25">
      <c r="BR283" s="51"/>
    </row>
    <row r="284" spans="70:70" ht="15.75" customHeight="1" x14ac:dyDescent="0.25">
      <c r="BR284" s="51"/>
    </row>
    <row r="285" spans="70:70" ht="15.75" customHeight="1" x14ac:dyDescent="0.25">
      <c r="BR285" s="51"/>
    </row>
    <row r="286" spans="70:70" ht="15.75" customHeight="1" x14ac:dyDescent="0.25">
      <c r="BR286" s="51"/>
    </row>
    <row r="287" spans="70:70" ht="15.75" customHeight="1" x14ac:dyDescent="0.25">
      <c r="BR287" s="51"/>
    </row>
    <row r="288" spans="70:70" ht="15.75" customHeight="1" x14ac:dyDescent="0.25">
      <c r="BR288" s="51"/>
    </row>
    <row r="289" spans="70:70" ht="15.75" customHeight="1" x14ac:dyDescent="0.25">
      <c r="BR289" s="51"/>
    </row>
    <row r="290" spans="70:70" ht="15.75" customHeight="1" x14ac:dyDescent="0.25">
      <c r="BR290" s="51"/>
    </row>
    <row r="291" spans="70:70" ht="15.75" customHeight="1" x14ac:dyDescent="0.25">
      <c r="BR291" s="51"/>
    </row>
    <row r="292" spans="70:70" ht="15.75" customHeight="1" x14ac:dyDescent="0.25">
      <c r="BR292" s="51"/>
    </row>
    <row r="293" spans="70:70" ht="15.75" customHeight="1" x14ac:dyDescent="0.25">
      <c r="BR293" s="51"/>
    </row>
    <row r="294" spans="70:70" ht="15.75" customHeight="1" x14ac:dyDescent="0.25">
      <c r="BR294" s="51"/>
    </row>
    <row r="295" spans="70:70" ht="15.75" customHeight="1" x14ac:dyDescent="0.25">
      <c r="BR295" s="51"/>
    </row>
    <row r="296" spans="70:70" ht="15.75" customHeight="1" x14ac:dyDescent="0.25">
      <c r="BR296" s="51"/>
    </row>
    <row r="297" spans="70:70" ht="15.75" customHeight="1" x14ac:dyDescent="0.25">
      <c r="BR297" s="51"/>
    </row>
    <row r="298" spans="70:70" ht="15.75" customHeight="1" x14ac:dyDescent="0.25">
      <c r="BR298" s="51"/>
    </row>
    <row r="299" spans="70:70" ht="15.75" customHeight="1" x14ac:dyDescent="0.25">
      <c r="BR299" s="51"/>
    </row>
    <row r="300" spans="70:70" ht="15.75" customHeight="1" x14ac:dyDescent="0.25">
      <c r="BR300" s="51"/>
    </row>
    <row r="301" spans="70:70" ht="15.75" customHeight="1" x14ac:dyDescent="0.25">
      <c r="BR301" s="51"/>
    </row>
    <row r="302" spans="70:70" ht="15.75" customHeight="1" x14ac:dyDescent="0.25">
      <c r="BR302" s="51"/>
    </row>
    <row r="303" spans="70:70" ht="15.75" customHeight="1" x14ac:dyDescent="0.25">
      <c r="BR303" s="51"/>
    </row>
    <row r="304" spans="70:70" ht="15.75" customHeight="1" x14ac:dyDescent="0.25">
      <c r="BR304" s="51"/>
    </row>
    <row r="305" spans="70:70" ht="15.75" customHeight="1" x14ac:dyDescent="0.25">
      <c r="BR305" s="51"/>
    </row>
    <row r="306" spans="70:70" ht="15.75" customHeight="1" x14ac:dyDescent="0.25">
      <c r="BR306" s="51"/>
    </row>
    <row r="307" spans="70:70" ht="15.75" customHeight="1" x14ac:dyDescent="0.25">
      <c r="BR307" s="51"/>
    </row>
    <row r="308" spans="70:70" ht="15.75" customHeight="1" x14ac:dyDescent="0.25">
      <c r="BR308" s="51"/>
    </row>
    <row r="309" spans="70:70" ht="15.75" customHeight="1" x14ac:dyDescent="0.25">
      <c r="BR309" s="51"/>
    </row>
    <row r="310" spans="70:70" ht="15.75" customHeight="1" x14ac:dyDescent="0.25">
      <c r="BR310" s="51"/>
    </row>
    <row r="311" spans="70:70" ht="15.75" customHeight="1" x14ac:dyDescent="0.25">
      <c r="BR311" s="51"/>
    </row>
    <row r="312" spans="70:70" ht="15.75" customHeight="1" x14ac:dyDescent="0.25">
      <c r="BR312" s="51"/>
    </row>
    <row r="313" spans="70:70" ht="15.75" customHeight="1" x14ac:dyDescent="0.25">
      <c r="BR313" s="51"/>
    </row>
    <row r="314" spans="70:70" ht="15.75" customHeight="1" x14ac:dyDescent="0.25">
      <c r="BR314" s="51"/>
    </row>
    <row r="315" spans="70:70" ht="15.75" customHeight="1" x14ac:dyDescent="0.25">
      <c r="BR315" s="51"/>
    </row>
    <row r="316" spans="70:70" ht="15.75" customHeight="1" x14ac:dyDescent="0.25">
      <c r="BR316" s="51"/>
    </row>
    <row r="317" spans="70:70" ht="15.75" customHeight="1" x14ac:dyDescent="0.25">
      <c r="BR317" s="51"/>
    </row>
    <row r="318" spans="70:70" ht="15.75" customHeight="1" x14ac:dyDescent="0.25">
      <c r="BR318" s="51"/>
    </row>
    <row r="319" spans="70:70" ht="15.75" customHeight="1" x14ac:dyDescent="0.25">
      <c r="BR319" s="51"/>
    </row>
    <row r="320" spans="70:70" ht="15.75" customHeight="1" x14ac:dyDescent="0.25">
      <c r="BR320" s="51"/>
    </row>
    <row r="321" spans="70:70" ht="15.75" customHeight="1" x14ac:dyDescent="0.25">
      <c r="BR321" s="51"/>
    </row>
    <row r="322" spans="70:70" ht="15.75" customHeight="1" x14ac:dyDescent="0.25">
      <c r="BR322" s="51"/>
    </row>
    <row r="323" spans="70:70" ht="15.75" customHeight="1" x14ac:dyDescent="0.25">
      <c r="BR323" s="51"/>
    </row>
    <row r="324" spans="70:70" ht="15.75" customHeight="1" x14ac:dyDescent="0.25">
      <c r="BR324" s="51"/>
    </row>
    <row r="325" spans="70:70" ht="15.75" customHeight="1" x14ac:dyDescent="0.25">
      <c r="BR325" s="51"/>
    </row>
    <row r="326" spans="70:70" ht="15.75" customHeight="1" x14ac:dyDescent="0.25">
      <c r="BR326" s="51"/>
    </row>
    <row r="327" spans="70:70" ht="15.75" customHeight="1" x14ac:dyDescent="0.25">
      <c r="BR327" s="51"/>
    </row>
    <row r="328" spans="70:70" ht="15.75" customHeight="1" x14ac:dyDescent="0.25">
      <c r="BR328" s="51"/>
    </row>
    <row r="329" spans="70:70" ht="15.75" customHeight="1" x14ac:dyDescent="0.25">
      <c r="BR329" s="51"/>
    </row>
    <row r="330" spans="70:70" ht="15.75" customHeight="1" x14ac:dyDescent="0.25">
      <c r="BR330" s="51"/>
    </row>
    <row r="331" spans="70:70" ht="15.75" customHeight="1" x14ac:dyDescent="0.25">
      <c r="BR331" s="51"/>
    </row>
    <row r="332" spans="70:70" ht="15.75" customHeight="1" x14ac:dyDescent="0.25">
      <c r="BR332" s="51"/>
    </row>
    <row r="333" spans="70:70" ht="15.75" customHeight="1" x14ac:dyDescent="0.25">
      <c r="BR333" s="51"/>
    </row>
    <row r="334" spans="70:70" ht="15.75" customHeight="1" x14ac:dyDescent="0.25">
      <c r="BR334" s="51"/>
    </row>
    <row r="335" spans="70:70" ht="15.75" customHeight="1" x14ac:dyDescent="0.25">
      <c r="BR335" s="51"/>
    </row>
    <row r="336" spans="70:70" ht="15.75" customHeight="1" x14ac:dyDescent="0.25">
      <c r="BR336" s="51"/>
    </row>
    <row r="337" spans="70:70" ht="15.75" customHeight="1" x14ac:dyDescent="0.25">
      <c r="BR337" s="51"/>
    </row>
    <row r="338" spans="70:70" ht="15.75" customHeight="1" x14ac:dyDescent="0.25">
      <c r="BR338" s="51"/>
    </row>
    <row r="339" spans="70:70" ht="15.75" customHeight="1" x14ac:dyDescent="0.25">
      <c r="BR339" s="51"/>
    </row>
    <row r="340" spans="70:70" ht="15.75" customHeight="1" x14ac:dyDescent="0.25">
      <c r="BR340" s="51"/>
    </row>
    <row r="341" spans="70:70" ht="15.75" customHeight="1" x14ac:dyDescent="0.25">
      <c r="BR341" s="51"/>
    </row>
    <row r="342" spans="70:70" ht="15.75" customHeight="1" x14ac:dyDescent="0.25">
      <c r="BR342" s="51"/>
    </row>
    <row r="343" spans="70:70" ht="15.75" customHeight="1" x14ac:dyDescent="0.25">
      <c r="BR343" s="51"/>
    </row>
    <row r="344" spans="70:70" ht="15.75" customHeight="1" x14ac:dyDescent="0.25">
      <c r="BR344" s="51"/>
    </row>
    <row r="345" spans="70:70" ht="15.75" customHeight="1" x14ac:dyDescent="0.25">
      <c r="BR345" s="51"/>
    </row>
    <row r="346" spans="70:70" ht="15.75" customHeight="1" x14ac:dyDescent="0.25">
      <c r="BR346" s="51"/>
    </row>
    <row r="347" spans="70:70" ht="15.75" customHeight="1" x14ac:dyDescent="0.25">
      <c r="BR347" s="51"/>
    </row>
    <row r="348" spans="70:70" ht="15.75" customHeight="1" x14ac:dyDescent="0.25">
      <c r="BR348" s="51"/>
    </row>
    <row r="349" spans="70:70" ht="15.75" customHeight="1" x14ac:dyDescent="0.25">
      <c r="BR349" s="51"/>
    </row>
    <row r="350" spans="70:70" ht="15.75" customHeight="1" x14ac:dyDescent="0.25">
      <c r="BR350" s="51"/>
    </row>
    <row r="351" spans="70:70" ht="15.75" customHeight="1" x14ac:dyDescent="0.25">
      <c r="BR351" s="51"/>
    </row>
    <row r="352" spans="70:70" ht="15.75" customHeight="1" x14ac:dyDescent="0.25">
      <c r="BR352" s="51"/>
    </row>
    <row r="353" spans="70:70" ht="15.75" customHeight="1" x14ac:dyDescent="0.25">
      <c r="BR353" s="51"/>
    </row>
    <row r="354" spans="70:70" ht="15.75" customHeight="1" x14ac:dyDescent="0.25">
      <c r="BR354" s="51"/>
    </row>
    <row r="355" spans="70:70" ht="15.75" customHeight="1" x14ac:dyDescent="0.25">
      <c r="BR355" s="51"/>
    </row>
    <row r="356" spans="70:70" ht="15.75" customHeight="1" x14ac:dyDescent="0.25">
      <c r="BR356" s="51"/>
    </row>
    <row r="357" spans="70:70" ht="15.75" customHeight="1" x14ac:dyDescent="0.25">
      <c r="BR357" s="51"/>
    </row>
    <row r="358" spans="70:70" ht="15.75" customHeight="1" x14ac:dyDescent="0.25">
      <c r="BR358" s="51"/>
    </row>
    <row r="359" spans="70:70" ht="15.75" customHeight="1" x14ac:dyDescent="0.25">
      <c r="BR359" s="51"/>
    </row>
    <row r="360" spans="70:70" ht="15.75" customHeight="1" x14ac:dyDescent="0.25">
      <c r="BR360" s="51"/>
    </row>
    <row r="361" spans="70:70" ht="15.75" customHeight="1" x14ac:dyDescent="0.25">
      <c r="BR361" s="51"/>
    </row>
    <row r="362" spans="70:70" ht="15.75" customHeight="1" x14ac:dyDescent="0.25">
      <c r="BR362" s="51"/>
    </row>
    <row r="363" spans="70:70" ht="15.75" customHeight="1" x14ac:dyDescent="0.25">
      <c r="BR363" s="51"/>
    </row>
    <row r="364" spans="70:70" ht="15.75" customHeight="1" x14ac:dyDescent="0.25">
      <c r="BR364" s="51"/>
    </row>
    <row r="365" spans="70:70" ht="15.75" customHeight="1" x14ac:dyDescent="0.25">
      <c r="BR365" s="51"/>
    </row>
    <row r="366" spans="70:70" ht="15.75" customHeight="1" x14ac:dyDescent="0.25">
      <c r="BR366" s="51"/>
    </row>
    <row r="367" spans="70:70" ht="15.75" customHeight="1" x14ac:dyDescent="0.25">
      <c r="BR367" s="51"/>
    </row>
    <row r="368" spans="70:70" ht="15.75" customHeight="1" x14ac:dyDescent="0.25">
      <c r="BR368" s="51"/>
    </row>
    <row r="369" spans="70:70" ht="15.75" customHeight="1" x14ac:dyDescent="0.25">
      <c r="BR369" s="51"/>
    </row>
    <row r="370" spans="70:70" ht="15.75" customHeight="1" x14ac:dyDescent="0.25">
      <c r="BR370" s="51"/>
    </row>
    <row r="371" spans="70:70" ht="15.75" customHeight="1" x14ac:dyDescent="0.25">
      <c r="BR371" s="51"/>
    </row>
    <row r="372" spans="70:70" ht="15.75" customHeight="1" x14ac:dyDescent="0.25">
      <c r="BR372" s="51"/>
    </row>
    <row r="373" spans="70:70" ht="15.75" customHeight="1" x14ac:dyDescent="0.25">
      <c r="BR373" s="51"/>
    </row>
    <row r="374" spans="70:70" ht="15.75" customHeight="1" x14ac:dyDescent="0.25">
      <c r="BR374" s="51"/>
    </row>
    <row r="375" spans="70:70" ht="15.75" customHeight="1" x14ac:dyDescent="0.25">
      <c r="BR375" s="51"/>
    </row>
    <row r="376" spans="70:70" ht="15.75" customHeight="1" x14ac:dyDescent="0.25">
      <c r="BR376" s="51"/>
    </row>
    <row r="377" spans="70:70" ht="15.75" customHeight="1" x14ac:dyDescent="0.25">
      <c r="BR377" s="51"/>
    </row>
    <row r="378" spans="70:70" ht="15.75" customHeight="1" x14ac:dyDescent="0.25">
      <c r="BR378" s="51"/>
    </row>
    <row r="379" spans="70:70" ht="15.75" customHeight="1" x14ac:dyDescent="0.25">
      <c r="BR379" s="51"/>
    </row>
    <row r="380" spans="70:70" ht="15.75" customHeight="1" x14ac:dyDescent="0.25">
      <c r="BR380" s="51"/>
    </row>
    <row r="381" spans="70:70" ht="15.75" customHeight="1" x14ac:dyDescent="0.25">
      <c r="BR381" s="51"/>
    </row>
    <row r="382" spans="70:70" ht="15.75" customHeight="1" x14ac:dyDescent="0.25">
      <c r="BR382" s="51"/>
    </row>
    <row r="383" spans="70:70" ht="15.75" customHeight="1" x14ac:dyDescent="0.25">
      <c r="BR383" s="51"/>
    </row>
    <row r="384" spans="70:70" ht="15.75" customHeight="1" x14ac:dyDescent="0.25">
      <c r="BR384" s="51"/>
    </row>
    <row r="385" spans="70:70" ht="15.75" customHeight="1" x14ac:dyDescent="0.25">
      <c r="BR385" s="51"/>
    </row>
    <row r="386" spans="70:70" ht="15.75" customHeight="1" x14ac:dyDescent="0.25">
      <c r="BR386" s="51"/>
    </row>
    <row r="387" spans="70:70" ht="15.75" customHeight="1" x14ac:dyDescent="0.25">
      <c r="BR387" s="51"/>
    </row>
    <row r="388" spans="70:70" ht="15.75" customHeight="1" x14ac:dyDescent="0.25">
      <c r="BR388" s="51"/>
    </row>
    <row r="389" spans="70:70" ht="15.75" customHeight="1" x14ac:dyDescent="0.25">
      <c r="BR389" s="51"/>
    </row>
    <row r="390" spans="70:70" ht="15.75" customHeight="1" x14ac:dyDescent="0.25">
      <c r="BR390" s="51"/>
    </row>
    <row r="391" spans="70:70" ht="15.75" customHeight="1" x14ac:dyDescent="0.25">
      <c r="BR391" s="51"/>
    </row>
    <row r="392" spans="70:70" ht="15.75" customHeight="1" x14ac:dyDescent="0.25">
      <c r="BR392" s="51"/>
    </row>
    <row r="393" spans="70:70" ht="15.75" customHeight="1" x14ac:dyDescent="0.25">
      <c r="BR393" s="51"/>
    </row>
    <row r="394" spans="70:70" ht="15.75" customHeight="1" x14ac:dyDescent="0.25">
      <c r="BR394" s="51"/>
    </row>
    <row r="395" spans="70:70" ht="15.75" customHeight="1" x14ac:dyDescent="0.25">
      <c r="BR395" s="51"/>
    </row>
    <row r="396" spans="70:70" ht="15.75" customHeight="1" x14ac:dyDescent="0.25">
      <c r="BR396" s="51"/>
    </row>
    <row r="397" spans="70:70" ht="15.75" customHeight="1" x14ac:dyDescent="0.25">
      <c r="BR397" s="51"/>
    </row>
    <row r="398" spans="70:70" ht="15.75" customHeight="1" x14ac:dyDescent="0.25">
      <c r="BR398" s="51"/>
    </row>
    <row r="399" spans="70:70" ht="15.75" customHeight="1" x14ac:dyDescent="0.25">
      <c r="BR399" s="51"/>
    </row>
    <row r="400" spans="70:70" ht="15.75" customHeight="1" x14ac:dyDescent="0.25">
      <c r="BR400" s="51"/>
    </row>
    <row r="401" spans="70:70" ht="15.75" customHeight="1" x14ac:dyDescent="0.25">
      <c r="BR401" s="51"/>
    </row>
    <row r="402" spans="70:70" ht="15.75" customHeight="1" x14ac:dyDescent="0.25">
      <c r="BR402" s="51"/>
    </row>
    <row r="403" spans="70:70" ht="15.75" customHeight="1" x14ac:dyDescent="0.25">
      <c r="BR403" s="51"/>
    </row>
    <row r="404" spans="70:70" ht="15.75" customHeight="1" x14ac:dyDescent="0.25">
      <c r="BR404" s="51"/>
    </row>
    <row r="405" spans="70:70" ht="15.75" customHeight="1" x14ac:dyDescent="0.25">
      <c r="BR405" s="51"/>
    </row>
    <row r="406" spans="70:70" ht="15.75" customHeight="1" x14ac:dyDescent="0.25">
      <c r="BR406" s="51"/>
    </row>
    <row r="407" spans="70:70" ht="15.75" customHeight="1" x14ac:dyDescent="0.25">
      <c r="BR407" s="51"/>
    </row>
    <row r="408" spans="70:70" ht="15.75" customHeight="1" x14ac:dyDescent="0.25">
      <c r="BR408" s="51"/>
    </row>
    <row r="409" spans="70:70" ht="15.75" customHeight="1" x14ac:dyDescent="0.25">
      <c r="BR409" s="51"/>
    </row>
    <row r="410" spans="70:70" ht="15.75" customHeight="1" x14ac:dyDescent="0.25">
      <c r="BR410" s="51"/>
    </row>
    <row r="411" spans="70:70" ht="15.75" customHeight="1" x14ac:dyDescent="0.25">
      <c r="BR411" s="51"/>
    </row>
    <row r="412" spans="70:70" ht="15.75" customHeight="1" x14ac:dyDescent="0.25">
      <c r="BR412" s="51"/>
    </row>
    <row r="413" spans="70:70" ht="15.75" customHeight="1" x14ac:dyDescent="0.25">
      <c r="BR413" s="51"/>
    </row>
    <row r="414" spans="70:70" ht="15.75" customHeight="1" x14ac:dyDescent="0.25">
      <c r="BR414" s="51"/>
    </row>
    <row r="415" spans="70:70" ht="15.75" customHeight="1" x14ac:dyDescent="0.25">
      <c r="BR415" s="51"/>
    </row>
    <row r="416" spans="70:70" ht="15.75" customHeight="1" x14ac:dyDescent="0.25">
      <c r="BR416" s="51"/>
    </row>
    <row r="417" spans="70:70" ht="15.75" customHeight="1" x14ac:dyDescent="0.25">
      <c r="BR417" s="51"/>
    </row>
    <row r="418" spans="70:70" ht="15.75" customHeight="1" x14ac:dyDescent="0.25">
      <c r="BR418" s="51"/>
    </row>
    <row r="419" spans="70:70" ht="15.75" customHeight="1" x14ac:dyDescent="0.25">
      <c r="BR419" s="51"/>
    </row>
    <row r="420" spans="70:70" ht="15.75" customHeight="1" x14ac:dyDescent="0.25">
      <c r="BR420" s="51"/>
    </row>
    <row r="421" spans="70:70" ht="15.75" customHeight="1" x14ac:dyDescent="0.25">
      <c r="BR421" s="51"/>
    </row>
    <row r="422" spans="70:70" ht="15.75" customHeight="1" x14ac:dyDescent="0.25">
      <c r="BR422" s="51"/>
    </row>
    <row r="423" spans="70:70" ht="15.75" customHeight="1" x14ac:dyDescent="0.25">
      <c r="BR423" s="51"/>
    </row>
    <row r="424" spans="70:70" ht="15.75" customHeight="1" x14ac:dyDescent="0.25">
      <c r="BR424" s="51"/>
    </row>
    <row r="425" spans="70:70" ht="15.75" customHeight="1" x14ac:dyDescent="0.25">
      <c r="BR425" s="51"/>
    </row>
    <row r="426" spans="70:70" ht="15.75" customHeight="1" x14ac:dyDescent="0.25">
      <c r="BR426" s="51"/>
    </row>
    <row r="427" spans="70:70" ht="15.75" customHeight="1" x14ac:dyDescent="0.25">
      <c r="BR427" s="51"/>
    </row>
    <row r="428" spans="70:70" ht="15.75" customHeight="1" x14ac:dyDescent="0.25">
      <c r="BR428" s="51"/>
    </row>
    <row r="429" spans="70:70" ht="15.75" customHeight="1" x14ac:dyDescent="0.25">
      <c r="BR429" s="51"/>
    </row>
    <row r="430" spans="70:70" ht="15.75" customHeight="1" x14ac:dyDescent="0.25">
      <c r="BR430" s="51"/>
    </row>
    <row r="431" spans="70:70" ht="15.75" customHeight="1" x14ac:dyDescent="0.25">
      <c r="BR431" s="51"/>
    </row>
    <row r="432" spans="70:70" ht="15.75" customHeight="1" x14ac:dyDescent="0.25">
      <c r="BR432" s="51"/>
    </row>
    <row r="433" spans="70:70" ht="15.75" customHeight="1" x14ac:dyDescent="0.25">
      <c r="BR433" s="51"/>
    </row>
    <row r="434" spans="70:70" ht="15.75" customHeight="1" x14ac:dyDescent="0.25">
      <c r="BR434" s="51"/>
    </row>
    <row r="435" spans="70:70" ht="15.75" customHeight="1" x14ac:dyDescent="0.25">
      <c r="BR435" s="51"/>
    </row>
    <row r="436" spans="70:70" ht="15.75" customHeight="1" x14ac:dyDescent="0.25">
      <c r="BR436" s="51"/>
    </row>
    <row r="437" spans="70:70" ht="15.75" customHeight="1" x14ac:dyDescent="0.25">
      <c r="BR437" s="51"/>
    </row>
    <row r="438" spans="70:70" ht="15.75" customHeight="1" x14ac:dyDescent="0.25">
      <c r="BR438" s="51"/>
    </row>
    <row r="439" spans="70:70" ht="15.75" customHeight="1" x14ac:dyDescent="0.25">
      <c r="BR439" s="51"/>
    </row>
    <row r="440" spans="70:70" ht="15.75" customHeight="1" x14ac:dyDescent="0.25">
      <c r="BR440" s="51"/>
    </row>
    <row r="441" spans="70:70" ht="15.75" customHeight="1" x14ac:dyDescent="0.25">
      <c r="BR441" s="51"/>
    </row>
    <row r="442" spans="70:70" ht="15.75" customHeight="1" x14ac:dyDescent="0.25">
      <c r="BR442" s="51"/>
    </row>
    <row r="443" spans="70:70" ht="15.75" customHeight="1" x14ac:dyDescent="0.25">
      <c r="BR443" s="51"/>
    </row>
    <row r="444" spans="70:70" ht="15.75" customHeight="1" x14ac:dyDescent="0.25">
      <c r="BR444" s="51"/>
    </row>
    <row r="445" spans="70:70" ht="15.75" customHeight="1" x14ac:dyDescent="0.25">
      <c r="BR445" s="51"/>
    </row>
    <row r="446" spans="70:70" ht="15.75" customHeight="1" x14ac:dyDescent="0.25">
      <c r="BR446" s="51"/>
    </row>
    <row r="447" spans="70:70" ht="15.75" customHeight="1" x14ac:dyDescent="0.25">
      <c r="BR447" s="51"/>
    </row>
    <row r="448" spans="70:70" ht="15.75" customHeight="1" x14ac:dyDescent="0.25">
      <c r="BR448" s="51"/>
    </row>
    <row r="449" spans="70:70" ht="15.75" customHeight="1" x14ac:dyDescent="0.25">
      <c r="BR449" s="51"/>
    </row>
    <row r="450" spans="70:70" ht="15.75" customHeight="1" x14ac:dyDescent="0.25">
      <c r="BR450" s="51"/>
    </row>
    <row r="451" spans="70:70" ht="15.75" customHeight="1" x14ac:dyDescent="0.25">
      <c r="BR451" s="51"/>
    </row>
    <row r="452" spans="70:70" ht="15.75" customHeight="1" x14ac:dyDescent="0.25">
      <c r="BR452" s="51"/>
    </row>
    <row r="453" spans="70:70" ht="15.75" customHeight="1" x14ac:dyDescent="0.25">
      <c r="BR453" s="51"/>
    </row>
    <row r="454" spans="70:70" ht="15.75" customHeight="1" x14ac:dyDescent="0.25">
      <c r="BR454" s="51"/>
    </row>
    <row r="455" spans="70:70" ht="15.75" customHeight="1" x14ac:dyDescent="0.25">
      <c r="BR455" s="51"/>
    </row>
    <row r="456" spans="70:70" ht="15.75" customHeight="1" x14ac:dyDescent="0.25">
      <c r="BR456" s="51"/>
    </row>
    <row r="457" spans="70:70" ht="15.75" customHeight="1" x14ac:dyDescent="0.25">
      <c r="BR457" s="51"/>
    </row>
    <row r="458" spans="70:70" ht="15.75" customHeight="1" x14ac:dyDescent="0.25">
      <c r="BR458" s="51"/>
    </row>
    <row r="459" spans="70:70" ht="15.75" customHeight="1" x14ac:dyDescent="0.25">
      <c r="BR459" s="51"/>
    </row>
    <row r="460" spans="70:70" ht="15.75" customHeight="1" x14ac:dyDescent="0.25">
      <c r="BR460" s="51"/>
    </row>
    <row r="461" spans="70:70" ht="15.75" customHeight="1" x14ac:dyDescent="0.25">
      <c r="BR461" s="51"/>
    </row>
    <row r="462" spans="70:70" ht="15.75" customHeight="1" x14ac:dyDescent="0.25">
      <c r="BR462" s="51"/>
    </row>
    <row r="463" spans="70:70" ht="15.75" customHeight="1" x14ac:dyDescent="0.25">
      <c r="BR463" s="51"/>
    </row>
    <row r="464" spans="70:70" ht="15.75" customHeight="1" x14ac:dyDescent="0.25">
      <c r="BR464" s="51"/>
    </row>
    <row r="465" spans="70:70" ht="15.75" customHeight="1" x14ac:dyDescent="0.25">
      <c r="BR465" s="51"/>
    </row>
    <row r="466" spans="70:70" ht="15.75" customHeight="1" x14ac:dyDescent="0.25">
      <c r="BR466" s="51"/>
    </row>
    <row r="467" spans="70:70" ht="15.75" customHeight="1" x14ac:dyDescent="0.25">
      <c r="BR467" s="51"/>
    </row>
    <row r="468" spans="70:70" ht="15.75" customHeight="1" x14ac:dyDescent="0.25">
      <c r="BR468" s="51"/>
    </row>
    <row r="469" spans="70:70" ht="15.75" customHeight="1" x14ac:dyDescent="0.25">
      <c r="BR469" s="51"/>
    </row>
    <row r="470" spans="70:70" ht="15.75" customHeight="1" x14ac:dyDescent="0.25">
      <c r="BR470" s="51"/>
    </row>
    <row r="471" spans="70:70" ht="15.75" customHeight="1" x14ac:dyDescent="0.25">
      <c r="BR471" s="51"/>
    </row>
    <row r="472" spans="70:70" ht="15.75" customHeight="1" x14ac:dyDescent="0.25">
      <c r="BR472" s="51"/>
    </row>
    <row r="473" spans="70:70" ht="15.75" customHeight="1" x14ac:dyDescent="0.25">
      <c r="BR473" s="51"/>
    </row>
    <row r="474" spans="70:70" ht="15.75" customHeight="1" x14ac:dyDescent="0.25">
      <c r="BR474" s="51"/>
    </row>
    <row r="475" spans="70:70" ht="15.75" customHeight="1" x14ac:dyDescent="0.25">
      <c r="BR475" s="51"/>
    </row>
    <row r="476" spans="70:70" ht="15.75" customHeight="1" x14ac:dyDescent="0.25">
      <c r="BR476" s="51"/>
    </row>
    <row r="477" spans="70:70" ht="15.75" customHeight="1" x14ac:dyDescent="0.25">
      <c r="BR477" s="51"/>
    </row>
    <row r="478" spans="70:70" ht="15.75" customHeight="1" x14ac:dyDescent="0.25">
      <c r="BR478" s="51"/>
    </row>
    <row r="479" spans="70:70" ht="15.75" customHeight="1" x14ac:dyDescent="0.25">
      <c r="BR479" s="51"/>
    </row>
    <row r="480" spans="70:70" ht="15.75" customHeight="1" x14ac:dyDescent="0.25">
      <c r="BR480" s="51"/>
    </row>
    <row r="481" spans="70:70" ht="15.75" customHeight="1" x14ac:dyDescent="0.25">
      <c r="BR481" s="51"/>
    </row>
    <row r="482" spans="70:70" ht="15.75" customHeight="1" x14ac:dyDescent="0.25">
      <c r="BR482" s="51"/>
    </row>
    <row r="483" spans="70:70" ht="15.75" customHeight="1" x14ac:dyDescent="0.25">
      <c r="BR483" s="51"/>
    </row>
    <row r="484" spans="70:70" ht="15.75" customHeight="1" x14ac:dyDescent="0.25">
      <c r="BR484" s="51"/>
    </row>
    <row r="485" spans="70:70" ht="15.75" customHeight="1" x14ac:dyDescent="0.25">
      <c r="BR485" s="51"/>
    </row>
    <row r="486" spans="70:70" ht="15.75" customHeight="1" x14ac:dyDescent="0.25">
      <c r="BR486" s="51"/>
    </row>
    <row r="487" spans="70:70" ht="15.75" customHeight="1" x14ac:dyDescent="0.25">
      <c r="BR487" s="51"/>
    </row>
    <row r="488" spans="70:70" ht="15.75" customHeight="1" x14ac:dyDescent="0.25">
      <c r="BR488" s="51"/>
    </row>
    <row r="489" spans="70:70" ht="15.75" customHeight="1" x14ac:dyDescent="0.25">
      <c r="BR489" s="51"/>
    </row>
    <row r="490" spans="70:70" ht="15.75" customHeight="1" x14ac:dyDescent="0.25">
      <c r="BR490" s="51"/>
    </row>
    <row r="491" spans="70:70" ht="15.75" customHeight="1" x14ac:dyDescent="0.25">
      <c r="BR491" s="51"/>
    </row>
    <row r="492" spans="70:70" ht="15.75" customHeight="1" x14ac:dyDescent="0.25">
      <c r="BR492" s="51"/>
    </row>
    <row r="493" spans="70:70" ht="15.75" customHeight="1" x14ac:dyDescent="0.25">
      <c r="BR493" s="51"/>
    </row>
    <row r="494" spans="70:70" ht="15.75" customHeight="1" x14ac:dyDescent="0.25">
      <c r="BR494" s="51"/>
    </row>
    <row r="495" spans="70:70" ht="15.75" customHeight="1" x14ac:dyDescent="0.25">
      <c r="BR495" s="51"/>
    </row>
    <row r="496" spans="70:70" ht="15.75" customHeight="1" x14ac:dyDescent="0.25">
      <c r="BR496" s="51"/>
    </row>
    <row r="497" spans="70:70" ht="15.75" customHeight="1" x14ac:dyDescent="0.25">
      <c r="BR497" s="51"/>
    </row>
    <row r="498" spans="70:70" ht="15.75" customHeight="1" x14ac:dyDescent="0.25">
      <c r="BR498" s="51"/>
    </row>
    <row r="499" spans="70:70" ht="15.75" customHeight="1" x14ac:dyDescent="0.25">
      <c r="BR499" s="51"/>
    </row>
    <row r="500" spans="70:70" ht="15.75" customHeight="1" x14ac:dyDescent="0.25">
      <c r="BR500" s="51"/>
    </row>
    <row r="501" spans="70:70" ht="15.75" customHeight="1" x14ac:dyDescent="0.25">
      <c r="BR501" s="51"/>
    </row>
    <row r="502" spans="70:70" ht="15.75" customHeight="1" x14ac:dyDescent="0.25">
      <c r="BR502" s="51"/>
    </row>
    <row r="503" spans="70:70" ht="15.75" customHeight="1" x14ac:dyDescent="0.25">
      <c r="BR503" s="51"/>
    </row>
    <row r="504" spans="70:70" ht="15.75" customHeight="1" x14ac:dyDescent="0.25">
      <c r="BR504" s="51"/>
    </row>
    <row r="505" spans="70:70" ht="15.75" customHeight="1" x14ac:dyDescent="0.25">
      <c r="BR505" s="51"/>
    </row>
    <row r="506" spans="70:70" ht="15.75" customHeight="1" x14ac:dyDescent="0.25">
      <c r="BR506" s="51"/>
    </row>
    <row r="507" spans="70:70" ht="15.75" customHeight="1" x14ac:dyDescent="0.25">
      <c r="BR507" s="51"/>
    </row>
    <row r="508" spans="70:70" ht="15.75" customHeight="1" x14ac:dyDescent="0.25">
      <c r="BR508" s="51"/>
    </row>
    <row r="509" spans="70:70" ht="15.75" customHeight="1" x14ac:dyDescent="0.25">
      <c r="BR509" s="51"/>
    </row>
    <row r="510" spans="70:70" ht="15.75" customHeight="1" x14ac:dyDescent="0.25">
      <c r="BR510" s="51"/>
    </row>
    <row r="511" spans="70:70" ht="15.75" customHeight="1" x14ac:dyDescent="0.25">
      <c r="BR511" s="51"/>
    </row>
    <row r="512" spans="70:70" ht="15.75" customHeight="1" x14ac:dyDescent="0.25">
      <c r="BR512" s="51"/>
    </row>
    <row r="513" spans="70:70" ht="15.75" customHeight="1" x14ac:dyDescent="0.25">
      <c r="BR513" s="51"/>
    </row>
    <row r="514" spans="70:70" ht="15.75" customHeight="1" x14ac:dyDescent="0.25">
      <c r="BR514" s="51"/>
    </row>
    <row r="515" spans="70:70" ht="15.75" customHeight="1" x14ac:dyDescent="0.25">
      <c r="BR515" s="51"/>
    </row>
    <row r="516" spans="70:70" ht="15.75" customHeight="1" x14ac:dyDescent="0.25">
      <c r="BR516" s="51"/>
    </row>
    <row r="517" spans="70:70" ht="15.75" customHeight="1" x14ac:dyDescent="0.25">
      <c r="BR517" s="51"/>
    </row>
    <row r="518" spans="70:70" ht="15.75" customHeight="1" x14ac:dyDescent="0.25">
      <c r="BR518" s="51"/>
    </row>
    <row r="519" spans="70:70" ht="15.75" customHeight="1" x14ac:dyDescent="0.25">
      <c r="BR519" s="51"/>
    </row>
    <row r="520" spans="70:70" ht="15.75" customHeight="1" x14ac:dyDescent="0.25">
      <c r="BR520" s="51"/>
    </row>
    <row r="521" spans="70:70" ht="15.75" customHeight="1" x14ac:dyDescent="0.25">
      <c r="BR521" s="51"/>
    </row>
    <row r="522" spans="70:70" ht="15.75" customHeight="1" x14ac:dyDescent="0.25">
      <c r="BR522" s="51"/>
    </row>
    <row r="523" spans="70:70" ht="15.75" customHeight="1" x14ac:dyDescent="0.25">
      <c r="BR523" s="51"/>
    </row>
    <row r="524" spans="70:70" ht="15.75" customHeight="1" x14ac:dyDescent="0.25">
      <c r="BR524" s="51"/>
    </row>
    <row r="525" spans="70:70" ht="15.75" customHeight="1" x14ac:dyDescent="0.25">
      <c r="BR525" s="51"/>
    </row>
    <row r="526" spans="70:70" ht="15.75" customHeight="1" x14ac:dyDescent="0.25">
      <c r="BR526" s="51"/>
    </row>
    <row r="527" spans="70:70" ht="15.75" customHeight="1" x14ac:dyDescent="0.25">
      <c r="BR527" s="51"/>
    </row>
    <row r="528" spans="70:70" ht="15.75" customHeight="1" x14ac:dyDescent="0.25">
      <c r="BR528" s="51"/>
    </row>
    <row r="529" spans="70:70" ht="15.75" customHeight="1" x14ac:dyDescent="0.25">
      <c r="BR529" s="51"/>
    </row>
    <row r="530" spans="70:70" ht="15.75" customHeight="1" x14ac:dyDescent="0.25">
      <c r="BR530" s="51"/>
    </row>
    <row r="531" spans="70:70" ht="15.75" customHeight="1" x14ac:dyDescent="0.25">
      <c r="BR531" s="51"/>
    </row>
    <row r="532" spans="70:70" ht="15.75" customHeight="1" x14ac:dyDescent="0.25">
      <c r="BR532" s="51"/>
    </row>
    <row r="533" spans="70:70" ht="15.75" customHeight="1" x14ac:dyDescent="0.25">
      <c r="BR533" s="51"/>
    </row>
    <row r="534" spans="70:70" ht="15.75" customHeight="1" x14ac:dyDescent="0.25">
      <c r="BR534" s="51"/>
    </row>
    <row r="535" spans="70:70" ht="15.75" customHeight="1" x14ac:dyDescent="0.25">
      <c r="BR535" s="51"/>
    </row>
    <row r="536" spans="70:70" ht="15.75" customHeight="1" x14ac:dyDescent="0.25">
      <c r="BR536" s="51"/>
    </row>
    <row r="537" spans="70:70" ht="15.75" customHeight="1" x14ac:dyDescent="0.25">
      <c r="BR537" s="51"/>
    </row>
    <row r="538" spans="70:70" ht="15.75" customHeight="1" x14ac:dyDescent="0.25">
      <c r="BR538" s="51"/>
    </row>
    <row r="539" spans="70:70" ht="15.75" customHeight="1" x14ac:dyDescent="0.25">
      <c r="BR539" s="51"/>
    </row>
    <row r="540" spans="70:70" ht="15.75" customHeight="1" x14ac:dyDescent="0.25">
      <c r="BR540" s="51"/>
    </row>
    <row r="541" spans="70:70" ht="15.75" customHeight="1" x14ac:dyDescent="0.25">
      <c r="BR541" s="51"/>
    </row>
    <row r="542" spans="70:70" ht="15.75" customHeight="1" x14ac:dyDescent="0.25">
      <c r="BR542" s="51"/>
    </row>
    <row r="543" spans="70:70" ht="15.75" customHeight="1" x14ac:dyDescent="0.25">
      <c r="BR543" s="51"/>
    </row>
    <row r="544" spans="70:70" ht="15.75" customHeight="1" x14ac:dyDescent="0.25">
      <c r="BR544" s="51"/>
    </row>
    <row r="545" spans="70:70" ht="15.75" customHeight="1" x14ac:dyDescent="0.25">
      <c r="BR545" s="51"/>
    </row>
    <row r="546" spans="70:70" ht="15.75" customHeight="1" x14ac:dyDescent="0.25">
      <c r="BR546" s="51"/>
    </row>
    <row r="547" spans="70:70" ht="15.75" customHeight="1" x14ac:dyDescent="0.25">
      <c r="BR547" s="51"/>
    </row>
    <row r="548" spans="70:70" ht="15.75" customHeight="1" x14ac:dyDescent="0.25">
      <c r="BR548" s="51"/>
    </row>
    <row r="549" spans="70:70" ht="15.75" customHeight="1" x14ac:dyDescent="0.25">
      <c r="BR549" s="51"/>
    </row>
    <row r="550" spans="70:70" ht="15.75" customHeight="1" x14ac:dyDescent="0.25">
      <c r="BR550" s="51"/>
    </row>
    <row r="551" spans="70:70" ht="15.75" customHeight="1" x14ac:dyDescent="0.25">
      <c r="BR551" s="51"/>
    </row>
    <row r="552" spans="70:70" ht="15.75" customHeight="1" x14ac:dyDescent="0.25">
      <c r="BR552" s="51"/>
    </row>
    <row r="553" spans="70:70" ht="15.75" customHeight="1" x14ac:dyDescent="0.25">
      <c r="BR553" s="51"/>
    </row>
    <row r="554" spans="70:70" ht="15.75" customHeight="1" x14ac:dyDescent="0.25">
      <c r="BR554" s="51"/>
    </row>
    <row r="555" spans="70:70" ht="15.75" customHeight="1" x14ac:dyDescent="0.25">
      <c r="BR555" s="51"/>
    </row>
    <row r="556" spans="70:70" ht="15.75" customHeight="1" x14ac:dyDescent="0.25">
      <c r="BR556" s="51"/>
    </row>
    <row r="557" spans="70:70" ht="15.75" customHeight="1" x14ac:dyDescent="0.25">
      <c r="BR557" s="51"/>
    </row>
    <row r="558" spans="70:70" ht="15.75" customHeight="1" x14ac:dyDescent="0.25">
      <c r="BR558" s="51"/>
    </row>
    <row r="559" spans="70:70" ht="15.75" customHeight="1" x14ac:dyDescent="0.25">
      <c r="BR559" s="51"/>
    </row>
    <row r="560" spans="70:70" ht="15.75" customHeight="1" x14ac:dyDescent="0.25">
      <c r="BR560" s="51"/>
    </row>
    <row r="561" spans="70:70" ht="15.75" customHeight="1" x14ac:dyDescent="0.25">
      <c r="BR561" s="51"/>
    </row>
    <row r="562" spans="70:70" ht="15.75" customHeight="1" x14ac:dyDescent="0.25">
      <c r="BR562" s="51"/>
    </row>
    <row r="563" spans="70:70" ht="15.75" customHeight="1" x14ac:dyDescent="0.25">
      <c r="BR563" s="51"/>
    </row>
    <row r="564" spans="70:70" ht="15.75" customHeight="1" x14ac:dyDescent="0.25">
      <c r="BR564" s="51"/>
    </row>
    <row r="565" spans="70:70" ht="15.75" customHeight="1" x14ac:dyDescent="0.25">
      <c r="BR565" s="51"/>
    </row>
    <row r="566" spans="70:70" ht="15.75" customHeight="1" x14ac:dyDescent="0.25">
      <c r="BR566" s="51"/>
    </row>
    <row r="567" spans="70:70" ht="15.75" customHeight="1" x14ac:dyDescent="0.25">
      <c r="BR567" s="51"/>
    </row>
    <row r="568" spans="70:70" ht="15.75" customHeight="1" x14ac:dyDescent="0.25">
      <c r="BR568" s="51"/>
    </row>
    <row r="569" spans="70:70" ht="15.75" customHeight="1" x14ac:dyDescent="0.25">
      <c r="BR569" s="51"/>
    </row>
    <row r="570" spans="70:70" ht="15.75" customHeight="1" x14ac:dyDescent="0.25">
      <c r="BR570" s="51"/>
    </row>
    <row r="571" spans="70:70" ht="15.75" customHeight="1" x14ac:dyDescent="0.25">
      <c r="BR571" s="51"/>
    </row>
    <row r="572" spans="70:70" ht="15.75" customHeight="1" x14ac:dyDescent="0.25">
      <c r="BR572" s="51"/>
    </row>
    <row r="573" spans="70:70" ht="15.75" customHeight="1" x14ac:dyDescent="0.25">
      <c r="BR573" s="51"/>
    </row>
    <row r="574" spans="70:70" ht="15.75" customHeight="1" x14ac:dyDescent="0.25">
      <c r="BR574" s="51"/>
    </row>
    <row r="575" spans="70:70" ht="15.75" customHeight="1" x14ac:dyDescent="0.25">
      <c r="BR575" s="51"/>
    </row>
    <row r="576" spans="70:70" ht="15.75" customHeight="1" x14ac:dyDescent="0.25">
      <c r="BR576" s="51"/>
    </row>
    <row r="577" spans="70:70" ht="15.75" customHeight="1" x14ac:dyDescent="0.25">
      <c r="BR577" s="51"/>
    </row>
    <row r="578" spans="70:70" ht="15.75" customHeight="1" x14ac:dyDescent="0.25">
      <c r="BR578" s="51"/>
    </row>
    <row r="579" spans="70:70" ht="15.75" customHeight="1" x14ac:dyDescent="0.25">
      <c r="BR579" s="51"/>
    </row>
    <row r="580" spans="70:70" ht="15.75" customHeight="1" x14ac:dyDescent="0.25">
      <c r="BR580" s="51"/>
    </row>
    <row r="581" spans="70:70" ht="15.75" customHeight="1" x14ac:dyDescent="0.25">
      <c r="BR581" s="51"/>
    </row>
    <row r="582" spans="70:70" ht="15.75" customHeight="1" x14ac:dyDescent="0.25">
      <c r="BR582" s="51"/>
    </row>
    <row r="583" spans="70:70" ht="15.75" customHeight="1" x14ac:dyDescent="0.25">
      <c r="BR583" s="51"/>
    </row>
    <row r="584" spans="70:70" ht="15.75" customHeight="1" x14ac:dyDescent="0.25">
      <c r="BR584" s="51"/>
    </row>
    <row r="585" spans="70:70" ht="15.75" customHeight="1" x14ac:dyDescent="0.25">
      <c r="BR585" s="51"/>
    </row>
    <row r="586" spans="70:70" ht="15.75" customHeight="1" x14ac:dyDescent="0.25">
      <c r="BR586" s="51"/>
    </row>
    <row r="587" spans="70:70" ht="15.75" customHeight="1" x14ac:dyDescent="0.25">
      <c r="BR587" s="51"/>
    </row>
    <row r="588" spans="70:70" ht="15.75" customHeight="1" x14ac:dyDescent="0.25">
      <c r="BR588" s="51"/>
    </row>
    <row r="589" spans="70:70" ht="15.75" customHeight="1" x14ac:dyDescent="0.25">
      <c r="BR589" s="51"/>
    </row>
    <row r="590" spans="70:70" ht="15.75" customHeight="1" x14ac:dyDescent="0.25">
      <c r="BR590" s="51"/>
    </row>
    <row r="591" spans="70:70" ht="15.75" customHeight="1" x14ac:dyDescent="0.25">
      <c r="BR591" s="51"/>
    </row>
    <row r="592" spans="70:70" ht="15.75" customHeight="1" x14ac:dyDescent="0.25">
      <c r="BR592" s="51"/>
    </row>
    <row r="593" spans="70:70" ht="15.75" customHeight="1" x14ac:dyDescent="0.25">
      <c r="BR593" s="51"/>
    </row>
    <row r="594" spans="70:70" ht="15.75" customHeight="1" x14ac:dyDescent="0.25">
      <c r="BR594" s="51"/>
    </row>
    <row r="595" spans="70:70" ht="15.75" customHeight="1" x14ac:dyDescent="0.25">
      <c r="BR595" s="51"/>
    </row>
    <row r="596" spans="70:70" ht="15.75" customHeight="1" x14ac:dyDescent="0.25">
      <c r="BR596" s="51"/>
    </row>
    <row r="597" spans="70:70" ht="15.75" customHeight="1" x14ac:dyDescent="0.25">
      <c r="BR597" s="51"/>
    </row>
    <row r="598" spans="70:70" ht="15.75" customHeight="1" x14ac:dyDescent="0.25">
      <c r="BR598" s="51"/>
    </row>
    <row r="599" spans="70:70" ht="15.75" customHeight="1" x14ac:dyDescent="0.25">
      <c r="BR599" s="51"/>
    </row>
    <row r="600" spans="70:70" ht="15.75" customHeight="1" x14ac:dyDescent="0.25">
      <c r="BR600" s="51"/>
    </row>
    <row r="601" spans="70:70" ht="15.75" customHeight="1" x14ac:dyDescent="0.25">
      <c r="BR601" s="51"/>
    </row>
    <row r="602" spans="70:70" ht="15.75" customHeight="1" x14ac:dyDescent="0.25">
      <c r="BR602" s="51"/>
    </row>
    <row r="603" spans="70:70" ht="15.75" customHeight="1" x14ac:dyDescent="0.25">
      <c r="BR603" s="51"/>
    </row>
    <row r="604" spans="70:70" ht="15.75" customHeight="1" x14ac:dyDescent="0.25">
      <c r="BR604" s="51"/>
    </row>
    <row r="605" spans="70:70" ht="15.75" customHeight="1" x14ac:dyDescent="0.25">
      <c r="BR605" s="51"/>
    </row>
    <row r="606" spans="70:70" ht="15.75" customHeight="1" x14ac:dyDescent="0.25">
      <c r="BR606" s="51"/>
    </row>
    <row r="607" spans="70:70" ht="15.75" customHeight="1" x14ac:dyDescent="0.25">
      <c r="BR607" s="51"/>
    </row>
    <row r="608" spans="70:70" ht="15.75" customHeight="1" x14ac:dyDescent="0.25">
      <c r="BR608" s="51"/>
    </row>
    <row r="609" spans="70:70" ht="15.75" customHeight="1" x14ac:dyDescent="0.25">
      <c r="BR609" s="51"/>
    </row>
    <row r="610" spans="70:70" ht="15.75" customHeight="1" x14ac:dyDescent="0.25">
      <c r="BR610" s="51"/>
    </row>
    <row r="611" spans="70:70" ht="15.75" customHeight="1" x14ac:dyDescent="0.25">
      <c r="BR611" s="51"/>
    </row>
    <row r="612" spans="70:70" ht="15.75" customHeight="1" x14ac:dyDescent="0.25">
      <c r="BR612" s="51"/>
    </row>
    <row r="613" spans="70:70" ht="15.75" customHeight="1" x14ac:dyDescent="0.25">
      <c r="BR613" s="51"/>
    </row>
    <row r="614" spans="70:70" ht="15.75" customHeight="1" x14ac:dyDescent="0.25">
      <c r="BR614" s="51"/>
    </row>
    <row r="615" spans="70:70" ht="15.75" customHeight="1" x14ac:dyDescent="0.25">
      <c r="BR615" s="51"/>
    </row>
    <row r="616" spans="70:70" ht="15.75" customHeight="1" x14ac:dyDescent="0.25">
      <c r="BR616" s="51"/>
    </row>
    <row r="617" spans="70:70" ht="15.75" customHeight="1" x14ac:dyDescent="0.25">
      <c r="BR617" s="51"/>
    </row>
    <row r="618" spans="70:70" ht="15.75" customHeight="1" x14ac:dyDescent="0.25">
      <c r="BR618" s="51"/>
    </row>
    <row r="619" spans="70:70" ht="15.75" customHeight="1" x14ac:dyDescent="0.25">
      <c r="BR619" s="51"/>
    </row>
    <row r="620" spans="70:70" ht="15.75" customHeight="1" x14ac:dyDescent="0.25">
      <c r="BR620" s="51"/>
    </row>
    <row r="621" spans="70:70" ht="15.75" customHeight="1" x14ac:dyDescent="0.25">
      <c r="BR621" s="51"/>
    </row>
    <row r="622" spans="70:70" ht="15.75" customHeight="1" x14ac:dyDescent="0.25">
      <c r="BR622" s="51"/>
    </row>
    <row r="623" spans="70:70" ht="15.75" customHeight="1" x14ac:dyDescent="0.25">
      <c r="BR623" s="51"/>
    </row>
    <row r="624" spans="70:70" ht="15.75" customHeight="1" x14ac:dyDescent="0.25">
      <c r="BR624" s="51"/>
    </row>
    <row r="625" spans="70:70" ht="15.75" customHeight="1" x14ac:dyDescent="0.25">
      <c r="BR625" s="51"/>
    </row>
    <row r="626" spans="70:70" ht="15.75" customHeight="1" x14ac:dyDescent="0.25">
      <c r="BR626" s="51"/>
    </row>
    <row r="627" spans="70:70" ht="15.75" customHeight="1" x14ac:dyDescent="0.25">
      <c r="BR627" s="51"/>
    </row>
    <row r="628" spans="70:70" ht="15.75" customHeight="1" x14ac:dyDescent="0.25">
      <c r="BR628" s="51"/>
    </row>
    <row r="629" spans="70:70" ht="15.75" customHeight="1" x14ac:dyDescent="0.25">
      <c r="BR629" s="51"/>
    </row>
    <row r="630" spans="70:70" ht="15.75" customHeight="1" x14ac:dyDescent="0.25">
      <c r="BR630" s="51"/>
    </row>
    <row r="631" spans="70:70" ht="15.75" customHeight="1" x14ac:dyDescent="0.25">
      <c r="BR631" s="51"/>
    </row>
    <row r="632" spans="70:70" ht="15.75" customHeight="1" x14ac:dyDescent="0.25">
      <c r="BR632" s="51"/>
    </row>
    <row r="633" spans="70:70" ht="15.75" customHeight="1" x14ac:dyDescent="0.25">
      <c r="BR633" s="51"/>
    </row>
    <row r="634" spans="70:70" ht="15.75" customHeight="1" x14ac:dyDescent="0.25">
      <c r="BR634" s="51"/>
    </row>
    <row r="635" spans="70:70" ht="15.75" customHeight="1" x14ac:dyDescent="0.25">
      <c r="BR635" s="51"/>
    </row>
    <row r="636" spans="70:70" ht="15.75" customHeight="1" x14ac:dyDescent="0.25">
      <c r="BR636" s="51"/>
    </row>
    <row r="637" spans="70:70" ht="15.75" customHeight="1" x14ac:dyDescent="0.25">
      <c r="BR637" s="51"/>
    </row>
    <row r="638" spans="70:70" ht="15.75" customHeight="1" x14ac:dyDescent="0.25">
      <c r="BR638" s="51"/>
    </row>
    <row r="639" spans="70:70" ht="15.75" customHeight="1" x14ac:dyDescent="0.25">
      <c r="BR639" s="51"/>
    </row>
    <row r="640" spans="70:70" ht="15.75" customHeight="1" x14ac:dyDescent="0.25">
      <c r="BR640" s="51"/>
    </row>
    <row r="641" spans="70:70" ht="15.75" customHeight="1" x14ac:dyDescent="0.25">
      <c r="BR641" s="51"/>
    </row>
    <row r="642" spans="70:70" ht="15.75" customHeight="1" x14ac:dyDescent="0.25">
      <c r="BR642" s="51"/>
    </row>
    <row r="643" spans="70:70" ht="15.75" customHeight="1" x14ac:dyDescent="0.25">
      <c r="BR643" s="51"/>
    </row>
    <row r="644" spans="70:70" ht="15.75" customHeight="1" x14ac:dyDescent="0.25">
      <c r="BR644" s="51"/>
    </row>
    <row r="645" spans="70:70" ht="15.75" customHeight="1" x14ac:dyDescent="0.25">
      <c r="BR645" s="51"/>
    </row>
    <row r="646" spans="70:70" ht="15.75" customHeight="1" x14ac:dyDescent="0.25">
      <c r="BR646" s="51"/>
    </row>
    <row r="647" spans="70:70" ht="15.75" customHeight="1" x14ac:dyDescent="0.25">
      <c r="BR647" s="51"/>
    </row>
    <row r="648" spans="70:70" ht="15.75" customHeight="1" x14ac:dyDescent="0.25">
      <c r="BR648" s="51"/>
    </row>
    <row r="649" spans="70:70" ht="15.75" customHeight="1" x14ac:dyDescent="0.25">
      <c r="BR649" s="51"/>
    </row>
    <row r="650" spans="70:70" ht="15.75" customHeight="1" x14ac:dyDescent="0.25">
      <c r="BR650" s="51"/>
    </row>
    <row r="651" spans="70:70" ht="15.75" customHeight="1" x14ac:dyDescent="0.25">
      <c r="BR651" s="51"/>
    </row>
    <row r="652" spans="70:70" ht="15.75" customHeight="1" x14ac:dyDescent="0.25">
      <c r="BR652" s="51"/>
    </row>
    <row r="653" spans="70:70" ht="15.75" customHeight="1" x14ac:dyDescent="0.25">
      <c r="BR653" s="51"/>
    </row>
    <row r="654" spans="70:70" ht="15.75" customHeight="1" x14ac:dyDescent="0.25">
      <c r="BR654" s="51"/>
    </row>
    <row r="655" spans="70:70" ht="15.75" customHeight="1" x14ac:dyDescent="0.25">
      <c r="BR655" s="51"/>
    </row>
    <row r="656" spans="70:70" ht="15.75" customHeight="1" x14ac:dyDescent="0.25">
      <c r="BR656" s="51"/>
    </row>
    <row r="657" spans="70:70" ht="15.75" customHeight="1" x14ac:dyDescent="0.25">
      <c r="BR657" s="51"/>
    </row>
    <row r="658" spans="70:70" ht="15.75" customHeight="1" x14ac:dyDescent="0.25">
      <c r="BR658" s="51"/>
    </row>
    <row r="659" spans="70:70" ht="15.75" customHeight="1" x14ac:dyDescent="0.25">
      <c r="BR659" s="51"/>
    </row>
    <row r="660" spans="70:70" ht="15.75" customHeight="1" x14ac:dyDescent="0.25">
      <c r="BR660" s="51"/>
    </row>
    <row r="661" spans="70:70" ht="15.75" customHeight="1" x14ac:dyDescent="0.25">
      <c r="BR661" s="51"/>
    </row>
    <row r="662" spans="70:70" ht="15.75" customHeight="1" x14ac:dyDescent="0.25">
      <c r="BR662" s="51"/>
    </row>
    <row r="663" spans="70:70" ht="15.75" customHeight="1" x14ac:dyDescent="0.25">
      <c r="BR663" s="51"/>
    </row>
    <row r="664" spans="70:70" ht="15.75" customHeight="1" x14ac:dyDescent="0.25">
      <c r="BR664" s="51"/>
    </row>
    <row r="665" spans="70:70" ht="15.75" customHeight="1" x14ac:dyDescent="0.25">
      <c r="BR665" s="51"/>
    </row>
    <row r="666" spans="70:70" ht="15.75" customHeight="1" x14ac:dyDescent="0.25">
      <c r="BR666" s="51"/>
    </row>
    <row r="667" spans="70:70" ht="15.75" customHeight="1" x14ac:dyDescent="0.25">
      <c r="BR667" s="51"/>
    </row>
    <row r="668" spans="70:70" ht="15.75" customHeight="1" x14ac:dyDescent="0.25">
      <c r="BR668" s="51"/>
    </row>
    <row r="669" spans="70:70" ht="15.75" customHeight="1" x14ac:dyDescent="0.25">
      <c r="BR669" s="51"/>
    </row>
    <row r="670" spans="70:70" ht="15.75" customHeight="1" x14ac:dyDescent="0.25">
      <c r="BR670" s="51"/>
    </row>
    <row r="671" spans="70:70" ht="15.75" customHeight="1" x14ac:dyDescent="0.25">
      <c r="BR671" s="51"/>
    </row>
    <row r="672" spans="70:70" ht="15.75" customHeight="1" x14ac:dyDescent="0.25">
      <c r="BR672" s="51"/>
    </row>
    <row r="673" spans="70:70" ht="15.75" customHeight="1" x14ac:dyDescent="0.25">
      <c r="BR673" s="51"/>
    </row>
    <row r="674" spans="70:70" ht="15.75" customHeight="1" x14ac:dyDescent="0.25">
      <c r="BR674" s="51"/>
    </row>
    <row r="675" spans="70:70" ht="15.75" customHeight="1" x14ac:dyDescent="0.25">
      <c r="BR675" s="51"/>
    </row>
    <row r="676" spans="70:70" ht="15.75" customHeight="1" x14ac:dyDescent="0.25">
      <c r="BR676" s="51"/>
    </row>
    <row r="677" spans="70:70" ht="15.75" customHeight="1" x14ac:dyDescent="0.25">
      <c r="BR677" s="51"/>
    </row>
    <row r="678" spans="70:70" ht="15.75" customHeight="1" x14ac:dyDescent="0.25">
      <c r="BR678" s="51"/>
    </row>
    <row r="679" spans="70:70" ht="15.75" customHeight="1" x14ac:dyDescent="0.25">
      <c r="BR679" s="51"/>
    </row>
    <row r="680" spans="70:70" ht="15.75" customHeight="1" x14ac:dyDescent="0.25">
      <c r="BR680" s="51"/>
    </row>
    <row r="681" spans="70:70" ht="15.75" customHeight="1" x14ac:dyDescent="0.25">
      <c r="BR681" s="51"/>
    </row>
    <row r="682" spans="70:70" ht="15.75" customHeight="1" x14ac:dyDescent="0.25">
      <c r="BR682" s="51"/>
    </row>
    <row r="683" spans="70:70" ht="15.75" customHeight="1" x14ac:dyDescent="0.25">
      <c r="BR683" s="51"/>
    </row>
    <row r="684" spans="70:70" ht="15.75" customHeight="1" x14ac:dyDescent="0.25">
      <c r="BR684" s="51"/>
    </row>
    <row r="685" spans="70:70" ht="15.75" customHeight="1" x14ac:dyDescent="0.25">
      <c r="BR685" s="51"/>
    </row>
    <row r="686" spans="70:70" ht="15.75" customHeight="1" x14ac:dyDescent="0.25">
      <c r="BR686" s="51"/>
    </row>
    <row r="687" spans="70:70" ht="15.75" customHeight="1" x14ac:dyDescent="0.25">
      <c r="BR687" s="51"/>
    </row>
    <row r="688" spans="70:70" ht="15.75" customHeight="1" x14ac:dyDescent="0.25">
      <c r="BR688" s="51"/>
    </row>
    <row r="689" spans="70:70" ht="15.75" customHeight="1" x14ac:dyDescent="0.25">
      <c r="BR689" s="51"/>
    </row>
    <row r="690" spans="70:70" ht="15.75" customHeight="1" x14ac:dyDescent="0.25">
      <c r="BR690" s="51"/>
    </row>
    <row r="691" spans="70:70" ht="15.75" customHeight="1" x14ac:dyDescent="0.25">
      <c r="BR691" s="51"/>
    </row>
    <row r="692" spans="70:70" ht="15.75" customHeight="1" x14ac:dyDescent="0.25">
      <c r="BR692" s="51"/>
    </row>
    <row r="693" spans="70:70" ht="15.75" customHeight="1" x14ac:dyDescent="0.25">
      <c r="BR693" s="51"/>
    </row>
    <row r="694" spans="70:70" ht="15.75" customHeight="1" x14ac:dyDescent="0.25">
      <c r="BR694" s="51"/>
    </row>
    <row r="695" spans="70:70" ht="15.75" customHeight="1" x14ac:dyDescent="0.25">
      <c r="BR695" s="51"/>
    </row>
    <row r="696" spans="70:70" ht="15.75" customHeight="1" x14ac:dyDescent="0.25">
      <c r="BR696" s="51"/>
    </row>
    <row r="697" spans="70:70" ht="15.75" customHeight="1" x14ac:dyDescent="0.25">
      <c r="BR697" s="51"/>
    </row>
    <row r="698" spans="70:70" ht="15.75" customHeight="1" x14ac:dyDescent="0.25">
      <c r="BR698" s="51"/>
    </row>
    <row r="699" spans="70:70" ht="15.75" customHeight="1" x14ac:dyDescent="0.25">
      <c r="BR699" s="51"/>
    </row>
    <row r="700" spans="70:70" ht="15.75" customHeight="1" x14ac:dyDescent="0.25">
      <c r="BR700" s="51"/>
    </row>
    <row r="701" spans="70:70" ht="15.75" customHeight="1" x14ac:dyDescent="0.25">
      <c r="BR701" s="51"/>
    </row>
    <row r="702" spans="70:70" ht="15.75" customHeight="1" x14ac:dyDescent="0.25">
      <c r="BR702" s="51"/>
    </row>
    <row r="703" spans="70:70" ht="15.75" customHeight="1" x14ac:dyDescent="0.25">
      <c r="BR703" s="51"/>
    </row>
    <row r="704" spans="70:70" ht="15.75" customHeight="1" x14ac:dyDescent="0.25">
      <c r="BR704" s="51"/>
    </row>
    <row r="705" spans="70:70" ht="15.75" customHeight="1" x14ac:dyDescent="0.25">
      <c r="BR705" s="51"/>
    </row>
    <row r="706" spans="70:70" ht="15.75" customHeight="1" x14ac:dyDescent="0.25">
      <c r="BR706" s="51"/>
    </row>
    <row r="707" spans="70:70" ht="15.75" customHeight="1" x14ac:dyDescent="0.25">
      <c r="BR707" s="51"/>
    </row>
    <row r="708" spans="70:70" ht="15.75" customHeight="1" x14ac:dyDescent="0.25">
      <c r="BR708" s="51"/>
    </row>
    <row r="709" spans="70:70" ht="15.75" customHeight="1" x14ac:dyDescent="0.25">
      <c r="BR709" s="51"/>
    </row>
    <row r="710" spans="70:70" ht="15.75" customHeight="1" x14ac:dyDescent="0.25">
      <c r="BR710" s="51"/>
    </row>
    <row r="711" spans="70:70" ht="15.75" customHeight="1" x14ac:dyDescent="0.25">
      <c r="BR711" s="51"/>
    </row>
    <row r="712" spans="70:70" ht="15.75" customHeight="1" x14ac:dyDescent="0.25">
      <c r="BR712" s="51"/>
    </row>
    <row r="713" spans="70:70" ht="15.75" customHeight="1" x14ac:dyDescent="0.25">
      <c r="BR713" s="51"/>
    </row>
    <row r="714" spans="70:70" ht="15.75" customHeight="1" x14ac:dyDescent="0.25">
      <c r="BR714" s="51"/>
    </row>
    <row r="715" spans="70:70" ht="15.75" customHeight="1" x14ac:dyDescent="0.25">
      <c r="BR715" s="51"/>
    </row>
    <row r="716" spans="70:70" ht="15.75" customHeight="1" x14ac:dyDescent="0.25">
      <c r="BR716" s="51"/>
    </row>
    <row r="717" spans="70:70" ht="15.75" customHeight="1" x14ac:dyDescent="0.25">
      <c r="BR717" s="51"/>
    </row>
    <row r="718" spans="70:70" ht="15.75" customHeight="1" x14ac:dyDescent="0.25">
      <c r="BR718" s="51"/>
    </row>
    <row r="719" spans="70:70" ht="15.75" customHeight="1" x14ac:dyDescent="0.25">
      <c r="BR719" s="51"/>
    </row>
    <row r="720" spans="70:70" ht="15.75" customHeight="1" x14ac:dyDescent="0.25">
      <c r="BR720" s="51"/>
    </row>
    <row r="721" spans="70:70" ht="15.75" customHeight="1" x14ac:dyDescent="0.25">
      <c r="BR721" s="51"/>
    </row>
    <row r="722" spans="70:70" ht="15.75" customHeight="1" x14ac:dyDescent="0.25">
      <c r="BR722" s="51"/>
    </row>
    <row r="723" spans="70:70" ht="15.75" customHeight="1" x14ac:dyDescent="0.25">
      <c r="BR723" s="51"/>
    </row>
    <row r="724" spans="70:70" ht="15.75" customHeight="1" x14ac:dyDescent="0.25">
      <c r="BR724" s="51"/>
    </row>
    <row r="725" spans="70:70" ht="15.75" customHeight="1" x14ac:dyDescent="0.25">
      <c r="BR725" s="51"/>
    </row>
    <row r="726" spans="70:70" ht="15.75" customHeight="1" x14ac:dyDescent="0.25">
      <c r="BR726" s="51"/>
    </row>
    <row r="727" spans="70:70" ht="15.75" customHeight="1" x14ac:dyDescent="0.25">
      <c r="BR727" s="51"/>
    </row>
    <row r="728" spans="70:70" ht="15.75" customHeight="1" x14ac:dyDescent="0.25">
      <c r="BR728" s="51"/>
    </row>
    <row r="729" spans="70:70" ht="15.75" customHeight="1" x14ac:dyDescent="0.25">
      <c r="BR729" s="51"/>
    </row>
    <row r="730" spans="70:70" ht="15.75" customHeight="1" x14ac:dyDescent="0.25">
      <c r="BR730" s="51"/>
    </row>
    <row r="731" spans="70:70" ht="15.75" customHeight="1" x14ac:dyDescent="0.25">
      <c r="BR731" s="51"/>
    </row>
    <row r="732" spans="70:70" ht="15.75" customHeight="1" x14ac:dyDescent="0.25">
      <c r="BR732" s="51"/>
    </row>
    <row r="733" spans="70:70" ht="15.75" customHeight="1" x14ac:dyDescent="0.25">
      <c r="BR733" s="51"/>
    </row>
    <row r="734" spans="70:70" ht="15.75" customHeight="1" x14ac:dyDescent="0.25">
      <c r="BR734" s="51"/>
    </row>
    <row r="735" spans="70:70" ht="15.75" customHeight="1" x14ac:dyDescent="0.25">
      <c r="BR735" s="51"/>
    </row>
    <row r="736" spans="70:70" ht="15.75" customHeight="1" x14ac:dyDescent="0.25">
      <c r="BR736" s="51"/>
    </row>
    <row r="737" spans="70:70" ht="15.75" customHeight="1" x14ac:dyDescent="0.25">
      <c r="BR737" s="51"/>
    </row>
    <row r="738" spans="70:70" ht="15.75" customHeight="1" x14ac:dyDescent="0.25">
      <c r="BR738" s="51"/>
    </row>
    <row r="739" spans="70:70" ht="15.75" customHeight="1" x14ac:dyDescent="0.25">
      <c r="BR739" s="51"/>
    </row>
    <row r="740" spans="70:70" ht="15.75" customHeight="1" x14ac:dyDescent="0.25">
      <c r="BR740" s="51"/>
    </row>
    <row r="741" spans="70:70" ht="15.75" customHeight="1" x14ac:dyDescent="0.25">
      <c r="BR741" s="51"/>
    </row>
    <row r="742" spans="70:70" ht="15.75" customHeight="1" x14ac:dyDescent="0.25">
      <c r="BR742" s="51"/>
    </row>
    <row r="743" spans="70:70" ht="15.75" customHeight="1" x14ac:dyDescent="0.25">
      <c r="BR743" s="51"/>
    </row>
    <row r="744" spans="70:70" ht="15.75" customHeight="1" x14ac:dyDescent="0.25">
      <c r="BR744" s="51"/>
    </row>
    <row r="745" spans="70:70" ht="15.75" customHeight="1" x14ac:dyDescent="0.25">
      <c r="BR745" s="51"/>
    </row>
    <row r="746" spans="70:70" ht="15.75" customHeight="1" x14ac:dyDescent="0.25">
      <c r="BR746" s="51"/>
    </row>
    <row r="747" spans="70:70" ht="15.75" customHeight="1" x14ac:dyDescent="0.25">
      <c r="BR747" s="51"/>
    </row>
    <row r="748" spans="70:70" ht="15.75" customHeight="1" x14ac:dyDescent="0.25">
      <c r="BR748" s="51"/>
    </row>
    <row r="749" spans="70:70" ht="15.75" customHeight="1" x14ac:dyDescent="0.25">
      <c r="BR749" s="51"/>
    </row>
    <row r="750" spans="70:70" ht="15.75" customHeight="1" x14ac:dyDescent="0.25">
      <c r="BR750" s="51"/>
    </row>
    <row r="751" spans="70:70" ht="15.75" customHeight="1" x14ac:dyDescent="0.25">
      <c r="BR751" s="51"/>
    </row>
    <row r="752" spans="70:70" ht="15.75" customHeight="1" x14ac:dyDescent="0.25">
      <c r="BR752" s="51"/>
    </row>
    <row r="753" spans="70:70" ht="15.75" customHeight="1" x14ac:dyDescent="0.25">
      <c r="BR753" s="51"/>
    </row>
    <row r="754" spans="70:70" ht="15.75" customHeight="1" x14ac:dyDescent="0.25">
      <c r="BR754" s="51"/>
    </row>
    <row r="755" spans="70:70" ht="15.75" customHeight="1" x14ac:dyDescent="0.25">
      <c r="BR755" s="51"/>
    </row>
    <row r="756" spans="70:70" ht="15.75" customHeight="1" x14ac:dyDescent="0.25">
      <c r="BR756" s="51"/>
    </row>
    <row r="757" spans="70:70" ht="15.75" customHeight="1" x14ac:dyDescent="0.25">
      <c r="BR757" s="51"/>
    </row>
    <row r="758" spans="70:70" ht="15.75" customHeight="1" x14ac:dyDescent="0.25">
      <c r="BR758" s="51"/>
    </row>
    <row r="759" spans="70:70" ht="15.75" customHeight="1" x14ac:dyDescent="0.25">
      <c r="BR759" s="51"/>
    </row>
    <row r="760" spans="70:70" ht="15.75" customHeight="1" x14ac:dyDescent="0.25">
      <c r="BR760" s="51"/>
    </row>
    <row r="761" spans="70:70" ht="15.75" customHeight="1" x14ac:dyDescent="0.25">
      <c r="BR761" s="51"/>
    </row>
    <row r="762" spans="70:70" ht="15.75" customHeight="1" x14ac:dyDescent="0.25">
      <c r="BR762" s="51"/>
    </row>
    <row r="763" spans="70:70" ht="15.75" customHeight="1" x14ac:dyDescent="0.25">
      <c r="BR763" s="51"/>
    </row>
    <row r="764" spans="70:70" ht="15.75" customHeight="1" x14ac:dyDescent="0.25">
      <c r="BR764" s="51"/>
    </row>
    <row r="765" spans="70:70" ht="15.75" customHeight="1" x14ac:dyDescent="0.25">
      <c r="BR765" s="51"/>
    </row>
    <row r="766" spans="70:70" ht="15.75" customHeight="1" x14ac:dyDescent="0.25">
      <c r="BR766" s="51"/>
    </row>
    <row r="767" spans="70:70" ht="15.75" customHeight="1" x14ac:dyDescent="0.25">
      <c r="BR767" s="51"/>
    </row>
    <row r="768" spans="70:70" ht="15.75" customHeight="1" x14ac:dyDescent="0.25">
      <c r="BR768" s="51"/>
    </row>
    <row r="769" spans="70:70" ht="15.75" customHeight="1" x14ac:dyDescent="0.25">
      <c r="BR769" s="51"/>
    </row>
    <row r="770" spans="70:70" ht="15.75" customHeight="1" x14ac:dyDescent="0.25">
      <c r="BR770" s="51"/>
    </row>
    <row r="771" spans="70:70" ht="15.75" customHeight="1" x14ac:dyDescent="0.25">
      <c r="BR771" s="51"/>
    </row>
    <row r="772" spans="70:70" ht="15.75" customHeight="1" x14ac:dyDescent="0.25">
      <c r="BR772" s="51"/>
    </row>
    <row r="773" spans="70:70" ht="15.75" customHeight="1" x14ac:dyDescent="0.25">
      <c r="BR773" s="51"/>
    </row>
    <row r="774" spans="70:70" ht="15.75" customHeight="1" x14ac:dyDescent="0.25">
      <c r="BR774" s="51"/>
    </row>
    <row r="775" spans="70:70" ht="15.75" customHeight="1" x14ac:dyDescent="0.25">
      <c r="BR775" s="51"/>
    </row>
    <row r="776" spans="70:70" ht="15.75" customHeight="1" x14ac:dyDescent="0.25">
      <c r="BR776" s="51"/>
    </row>
    <row r="777" spans="70:70" ht="15.75" customHeight="1" x14ac:dyDescent="0.25">
      <c r="BR777" s="51"/>
    </row>
    <row r="778" spans="70:70" ht="15.75" customHeight="1" x14ac:dyDescent="0.25">
      <c r="BR778" s="51"/>
    </row>
    <row r="779" spans="70:70" ht="15.75" customHeight="1" x14ac:dyDescent="0.25">
      <c r="BR779" s="51"/>
    </row>
    <row r="780" spans="70:70" ht="15.75" customHeight="1" x14ac:dyDescent="0.25">
      <c r="BR780" s="51"/>
    </row>
    <row r="781" spans="70:70" ht="15.75" customHeight="1" x14ac:dyDescent="0.25">
      <c r="BR781" s="51"/>
    </row>
    <row r="782" spans="70:70" ht="15.75" customHeight="1" x14ac:dyDescent="0.25">
      <c r="BR782" s="51"/>
    </row>
    <row r="783" spans="70:70" ht="15.75" customHeight="1" x14ac:dyDescent="0.25">
      <c r="BR783" s="51"/>
    </row>
    <row r="784" spans="70:70" ht="15.75" customHeight="1" x14ac:dyDescent="0.25">
      <c r="BR784" s="51"/>
    </row>
    <row r="785" spans="70:70" ht="15.75" customHeight="1" x14ac:dyDescent="0.25">
      <c r="BR785" s="51"/>
    </row>
    <row r="786" spans="70:70" ht="15.75" customHeight="1" x14ac:dyDescent="0.25">
      <c r="BR786" s="51"/>
    </row>
    <row r="787" spans="70:70" ht="15.75" customHeight="1" x14ac:dyDescent="0.25">
      <c r="BR787" s="51"/>
    </row>
    <row r="788" spans="70:70" ht="15.75" customHeight="1" x14ac:dyDescent="0.25">
      <c r="BR788" s="51"/>
    </row>
    <row r="789" spans="70:70" ht="15.75" customHeight="1" x14ac:dyDescent="0.25">
      <c r="BR789" s="51"/>
    </row>
    <row r="790" spans="70:70" ht="15.75" customHeight="1" x14ac:dyDescent="0.25">
      <c r="BR790" s="51"/>
    </row>
    <row r="791" spans="70:70" ht="15.75" customHeight="1" x14ac:dyDescent="0.25">
      <c r="BR791" s="51"/>
    </row>
    <row r="792" spans="70:70" ht="15.75" customHeight="1" x14ac:dyDescent="0.25">
      <c r="BR792" s="51"/>
    </row>
    <row r="793" spans="70:70" ht="15.75" customHeight="1" x14ac:dyDescent="0.25">
      <c r="BR793" s="51"/>
    </row>
    <row r="794" spans="70:70" ht="15.75" customHeight="1" x14ac:dyDescent="0.25">
      <c r="BR794" s="51"/>
    </row>
    <row r="795" spans="70:70" ht="15.75" customHeight="1" x14ac:dyDescent="0.25">
      <c r="BR795" s="51"/>
    </row>
    <row r="796" spans="70:70" ht="15.75" customHeight="1" x14ac:dyDescent="0.25">
      <c r="BR796" s="51"/>
    </row>
    <row r="797" spans="70:70" ht="15.75" customHeight="1" x14ac:dyDescent="0.25">
      <c r="BR797" s="51"/>
    </row>
    <row r="798" spans="70:70" ht="15.75" customHeight="1" x14ac:dyDescent="0.25">
      <c r="BR798" s="51"/>
    </row>
    <row r="799" spans="70:70" ht="15.75" customHeight="1" x14ac:dyDescent="0.25">
      <c r="BR799" s="51"/>
    </row>
    <row r="800" spans="70:70" ht="15.75" customHeight="1" x14ac:dyDescent="0.25">
      <c r="BR800" s="51"/>
    </row>
    <row r="801" spans="70:70" ht="15.75" customHeight="1" x14ac:dyDescent="0.25">
      <c r="BR801" s="51"/>
    </row>
    <row r="802" spans="70:70" ht="15.75" customHeight="1" x14ac:dyDescent="0.25">
      <c r="BR802" s="51"/>
    </row>
    <row r="803" spans="70:70" ht="15.75" customHeight="1" x14ac:dyDescent="0.25">
      <c r="BR803" s="51"/>
    </row>
    <row r="804" spans="70:70" ht="15.75" customHeight="1" x14ac:dyDescent="0.25">
      <c r="BR804" s="51"/>
    </row>
    <row r="805" spans="70:70" ht="15.75" customHeight="1" x14ac:dyDescent="0.25">
      <c r="BR805" s="51"/>
    </row>
    <row r="806" spans="70:70" ht="15.75" customHeight="1" x14ac:dyDescent="0.25">
      <c r="BR806" s="51"/>
    </row>
    <row r="807" spans="70:70" ht="15.75" customHeight="1" x14ac:dyDescent="0.25">
      <c r="BR807" s="51"/>
    </row>
    <row r="808" spans="70:70" ht="15.75" customHeight="1" x14ac:dyDescent="0.25">
      <c r="BR808" s="51"/>
    </row>
    <row r="809" spans="70:70" ht="15.75" customHeight="1" x14ac:dyDescent="0.25">
      <c r="BR809" s="51"/>
    </row>
    <row r="810" spans="70:70" ht="15.75" customHeight="1" x14ac:dyDescent="0.25">
      <c r="BR810" s="51"/>
    </row>
    <row r="811" spans="70:70" ht="15.75" customHeight="1" x14ac:dyDescent="0.25">
      <c r="BR811" s="51"/>
    </row>
    <row r="812" spans="70:70" ht="15.75" customHeight="1" x14ac:dyDescent="0.25">
      <c r="BR812" s="51"/>
    </row>
    <row r="813" spans="70:70" ht="15.75" customHeight="1" x14ac:dyDescent="0.25">
      <c r="BR813" s="51"/>
    </row>
    <row r="814" spans="70:70" ht="15.75" customHeight="1" x14ac:dyDescent="0.25">
      <c r="BR814" s="51"/>
    </row>
    <row r="815" spans="70:70" ht="15.75" customHeight="1" x14ac:dyDescent="0.25">
      <c r="BR815" s="51"/>
    </row>
    <row r="816" spans="70:70" ht="15.75" customHeight="1" x14ac:dyDescent="0.25">
      <c r="BR816" s="51"/>
    </row>
    <row r="817" spans="70:70" ht="15.75" customHeight="1" x14ac:dyDescent="0.25">
      <c r="BR817" s="51"/>
    </row>
    <row r="818" spans="70:70" ht="15.75" customHeight="1" x14ac:dyDescent="0.25">
      <c r="BR818" s="51"/>
    </row>
    <row r="819" spans="70:70" ht="15.75" customHeight="1" x14ac:dyDescent="0.25">
      <c r="BR819" s="51"/>
    </row>
    <row r="820" spans="70:70" ht="15.75" customHeight="1" x14ac:dyDescent="0.25">
      <c r="BR820" s="51"/>
    </row>
    <row r="821" spans="70:70" ht="15.75" customHeight="1" x14ac:dyDescent="0.25">
      <c r="BR821" s="51"/>
    </row>
    <row r="822" spans="70:70" ht="15.75" customHeight="1" x14ac:dyDescent="0.25">
      <c r="BR822" s="51"/>
    </row>
    <row r="823" spans="70:70" ht="15.75" customHeight="1" x14ac:dyDescent="0.25">
      <c r="BR823" s="51"/>
    </row>
    <row r="824" spans="70:70" ht="15.75" customHeight="1" x14ac:dyDescent="0.25">
      <c r="BR824" s="51"/>
    </row>
    <row r="825" spans="70:70" ht="15.75" customHeight="1" x14ac:dyDescent="0.25">
      <c r="BR825" s="51"/>
    </row>
    <row r="826" spans="70:70" ht="15.75" customHeight="1" x14ac:dyDescent="0.25">
      <c r="BR826" s="51"/>
    </row>
    <row r="827" spans="70:70" ht="15.75" customHeight="1" x14ac:dyDescent="0.25">
      <c r="BR827" s="51"/>
    </row>
    <row r="828" spans="70:70" ht="15.75" customHeight="1" x14ac:dyDescent="0.25">
      <c r="BR828" s="51"/>
    </row>
    <row r="829" spans="70:70" ht="15.75" customHeight="1" x14ac:dyDescent="0.25">
      <c r="BR829" s="51"/>
    </row>
    <row r="830" spans="70:70" ht="15.75" customHeight="1" x14ac:dyDescent="0.25">
      <c r="BR830" s="51"/>
    </row>
    <row r="831" spans="70:70" ht="15.75" customHeight="1" x14ac:dyDescent="0.25">
      <c r="BR831" s="51"/>
    </row>
    <row r="832" spans="70:70" ht="15.75" customHeight="1" x14ac:dyDescent="0.25">
      <c r="BR832" s="51"/>
    </row>
    <row r="833" spans="70:70" ht="15.75" customHeight="1" x14ac:dyDescent="0.25">
      <c r="BR833" s="51"/>
    </row>
    <row r="834" spans="70:70" ht="15.75" customHeight="1" x14ac:dyDescent="0.25">
      <c r="BR834" s="51"/>
    </row>
    <row r="835" spans="70:70" ht="15.75" customHeight="1" x14ac:dyDescent="0.25">
      <c r="BR835" s="51"/>
    </row>
    <row r="836" spans="70:70" ht="15.75" customHeight="1" x14ac:dyDescent="0.25">
      <c r="BR836" s="51"/>
    </row>
    <row r="837" spans="70:70" ht="15.75" customHeight="1" x14ac:dyDescent="0.25">
      <c r="BR837" s="51"/>
    </row>
    <row r="838" spans="70:70" ht="15.75" customHeight="1" x14ac:dyDescent="0.25">
      <c r="BR838" s="51"/>
    </row>
    <row r="839" spans="70:70" ht="15.75" customHeight="1" x14ac:dyDescent="0.25">
      <c r="BR839" s="51"/>
    </row>
    <row r="840" spans="70:70" ht="15.75" customHeight="1" x14ac:dyDescent="0.25">
      <c r="BR840" s="51"/>
    </row>
    <row r="841" spans="70:70" ht="15.75" customHeight="1" x14ac:dyDescent="0.25">
      <c r="BR841" s="51"/>
    </row>
    <row r="842" spans="70:70" ht="15.75" customHeight="1" x14ac:dyDescent="0.25">
      <c r="BR842" s="51"/>
    </row>
    <row r="843" spans="70:70" ht="15.75" customHeight="1" x14ac:dyDescent="0.25">
      <c r="BR843" s="51"/>
    </row>
    <row r="844" spans="70:70" ht="15.75" customHeight="1" x14ac:dyDescent="0.25">
      <c r="BR844" s="51"/>
    </row>
    <row r="845" spans="70:70" ht="15.75" customHeight="1" x14ac:dyDescent="0.25">
      <c r="BR845" s="51"/>
    </row>
    <row r="846" spans="70:70" ht="15.75" customHeight="1" x14ac:dyDescent="0.25">
      <c r="BR846" s="51"/>
    </row>
    <row r="847" spans="70:70" ht="15.75" customHeight="1" x14ac:dyDescent="0.25">
      <c r="BR847" s="51"/>
    </row>
    <row r="848" spans="70:70" ht="15.75" customHeight="1" x14ac:dyDescent="0.25">
      <c r="BR848" s="51"/>
    </row>
    <row r="849" spans="70:70" ht="15.75" customHeight="1" x14ac:dyDescent="0.25">
      <c r="BR849" s="51"/>
    </row>
    <row r="850" spans="70:70" ht="15.75" customHeight="1" x14ac:dyDescent="0.25">
      <c r="BR850" s="51"/>
    </row>
    <row r="851" spans="70:70" ht="15.75" customHeight="1" x14ac:dyDescent="0.25">
      <c r="BR851" s="51"/>
    </row>
    <row r="852" spans="70:70" ht="15.75" customHeight="1" x14ac:dyDescent="0.25">
      <c r="BR852" s="51"/>
    </row>
    <row r="853" spans="70:70" ht="15.75" customHeight="1" x14ac:dyDescent="0.25">
      <c r="BR853" s="51"/>
    </row>
    <row r="854" spans="70:70" ht="15.75" customHeight="1" x14ac:dyDescent="0.25">
      <c r="BR854" s="51"/>
    </row>
    <row r="855" spans="70:70" ht="15.75" customHeight="1" x14ac:dyDescent="0.25">
      <c r="BR855" s="51"/>
    </row>
    <row r="856" spans="70:70" ht="15.75" customHeight="1" x14ac:dyDescent="0.25">
      <c r="BR856" s="51"/>
    </row>
    <row r="857" spans="70:70" ht="15.75" customHeight="1" x14ac:dyDescent="0.25">
      <c r="BR857" s="51"/>
    </row>
    <row r="858" spans="70:70" ht="15.75" customHeight="1" x14ac:dyDescent="0.25">
      <c r="BR858" s="51"/>
    </row>
    <row r="859" spans="70:70" ht="15.75" customHeight="1" x14ac:dyDescent="0.25">
      <c r="BR859" s="51"/>
    </row>
    <row r="860" spans="70:70" ht="15.75" customHeight="1" x14ac:dyDescent="0.25">
      <c r="BR860" s="51"/>
    </row>
    <row r="861" spans="70:70" ht="15.75" customHeight="1" x14ac:dyDescent="0.25">
      <c r="BR861" s="51"/>
    </row>
    <row r="862" spans="70:70" ht="15.75" customHeight="1" x14ac:dyDescent="0.25">
      <c r="BR862" s="51"/>
    </row>
    <row r="863" spans="70:70" ht="15.75" customHeight="1" x14ac:dyDescent="0.25">
      <c r="BR863" s="51"/>
    </row>
    <row r="864" spans="70:70" ht="15.75" customHeight="1" x14ac:dyDescent="0.25">
      <c r="BR864" s="51"/>
    </row>
    <row r="865" spans="70:70" ht="15.75" customHeight="1" x14ac:dyDescent="0.25">
      <c r="BR865" s="51"/>
    </row>
    <row r="866" spans="70:70" ht="15.75" customHeight="1" x14ac:dyDescent="0.25">
      <c r="BR866" s="51"/>
    </row>
    <row r="867" spans="70:70" ht="15.75" customHeight="1" x14ac:dyDescent="0.25">
      <c r="BR867" s="51"/>
    </row>
    <row r="868" spans="70:70" ht="15.75" customHeight="1" x14ac:dyDescent="0.25">
      <c r="BR868" s="51"/>
    </row>
    <row r="869" spans="70:70" ht="15.75" customHeight="1" x14ac:dyDescent="0.25">
      <c r="BR869" s="51"/>
    </row>
    <row r="870" spans="70:70" ht="15.75" customHeight="1" x14ac:dyDescent="0.25">
      <c r="BR870" s="51"/>
    </row>
    <row r="871" spans="70:70" ht="15.75" customHeight="1" x14ac:dyDescent="0.25">
      <c r="BR871" s="51"/>
    </row>
    <row r="872" spans="70:70" ht="15.75" customHeight="1" x14ac:dyDescent="0.25">
      <c r="BR872" s="51"/>
    </row>
    <row r="873" spans="70:70" ht="15.75" customHeight="1" x14ac:dyDescent="0.25">
      <c r="BR873" s="51"/>
    </row>
    <row r="874" spans="70:70" ht="15.75" customHeight="1" x14ac:dyDescent="0.25">
      <c r="BR874" s="51"/>
    </row>
    <row r="875" spans="70:70" ht="15.75" customHeight="1" x14ac:dyDescent="0.25">
      <c r="BR875" s="51"/>
    </row>
    <row r="876" spans="70:70" ht="15.75" customHeight="1" x14ac:dyDescent="0.25">
      <c r="BR876" s="51"/>
    </row>
    <row r="877" spans="70:70" ht="15.75" customHeight="1" x14ac:dyDescent="0.25">
      <c r="BR877" s="51"/>
    </row>
    <row r="878" spans="70:70" ht="15.75" customHeight="1" x14ac:dyDescent="0.25">
      <c r="BR878" s="51"/>
    </row>
    <row r="879" spans="70:70" ht="15.75" customHeight="1" x14ac:dyDescent="0.25">
      <c r="BR879" s="51"/>
    </row>
    <row r="880" spans="70:70" ht="15.75" customHeight="1" x14ac:dyDescent="0.25">
      <c r="BR880" s="51"/>
    </row>
    <row r="881" spans="70:70" ht="15.75" customHeight="1" x14ac:dyDescent="0.25">
      <c r="BR881" s="51"/>
    </row>
    <row r="882" spans="70:70" ht="15.75" customHeight="1" x14ac:dyDescent="0.25">
      <c r="BR882" s="51"/>
    </row>
    <row r="883" spans="70:70" ht="15.75" customHeight="1" x14ac:dyDescent="0.25">
      <c r="BR883" s="51"/>
    </row>
    <row r="884" spans="70:70" ht="15.75" customHeight="1" x14ac:dyDescent="0.25">
      <c r="BR884" s="51"/>
    </row>
    <row r="885" spans="70:70" ht="15.75" customHeight="1" x14ac:dyDescent="0.25">
      <c r="BR885" s="51"/>
    </row>
    <row r="886" spans="70:70" ht="15.75" customHeight="1" x14ac:dyDescent="0.25">
      <c r="BR886" s="51"/>
    </row>
    <row r="887" spans="70:70" ht="15.75" customHeight="1" x14ac:dyDescent="0.25">
      <c r="BR887" s="51"/>
    </row>
    <row r="888" spans="70:70" ht="15.75" customHeight="1" x14ac:dyDescent="0.25">
      <c r="BR888" s="51"/>
    </row>
    <row r="889" spans="70:70" ht="15.75" customHeight="1" x14ac:dyDescent="0.25">
      <c r="BR889" s="51"/>
    </row>
    <row r="890" spans="70:70" ht="15.75" customHeight="1" x14ac:dyDescent="0.25">
      <c r="BR890" s="51"/>
    </row>
    <row r="891" spans="70:70" ht="15.75" customHeight="1" x14ac:dyDescent="0.25">
      <c r="BR891" s="51"/>
    </row>
    <row r="892" spans="70:70" ht="15.75" customHeight="1" x14ac:dyDescent="0.25">
      <c r="BR892" s="51"/>
    </row>
    <row r="893" spans="70:70" ht="15.75" customHeight="1" x14ac:dyDescent="0.25">
      <c r="BR893" s="51"/>
    </row>
    <row r="894" spans="70:70" ht="15.75" customHeight="1" x14ac:dyDescent="0.25">
      <c r="BR894" s="51"/>
    </row>
    <row r="895" spans="70:70" ht="15.75" customHeight="1" x14ac:dyDescent="0.25">
      <c r="BR895" s="51"/>
    </row>
    <row r="896" spans="70:70" ht="15.75" customHeight="1" x14ac:dyDescent="0.25">
      <c r="BR896" s="51"/>
    </row>
    <row r="897" spans="70:70" ht="15.75" customHeight="1" x14ac:dyDescent="0.25">
      <c r="BR897" s="51"/>
    </row>
    <row r="898" spans="70:70" ht="15.75" customHeight="1" x14ac:dyDescent="0.25">
      <c r="BR898" s="51"/>
    </row>
    <row r="899" spans="70:70" ht="15.75" customHeight="1" x14ac:dyDescent="0.25">
      <c r="BR899" s="51"/>
    </row>
    <row r="900" spans="70:70" ht="15.75" customHeight="1" x14ac:dyDescent="0.25">
      <c r="BR900" s="51"/>
    </row>
    <row r="901" spans="70:70" ht="15.75" customHeight="1" x14ac:dyDescent="0.25">
      <c r="BR901" s="51"/>
    </row>
    <row r="902" spans="70:70" ht="15.75" customHeight="1" x14ac:dyDescent="0.25">
      <c r="BR902" s="51"/>
    </row>
    <row r="903" spans="70:70" ht="15.75" customHeight="1" x14ac:dyDescent="0.25">
      <c r="BR903" s="51"/>
    </row>
    <row r="904" spans="70:70" ht="15.75" customHeight="1" x14ac:dyDescent="0.25">
      <c r="BR904" s="51"/>
    </row>
    <row r="905" spans="70:70" ht="15.75" customHeight="1" x14ac:dyDescent="0.25">
      <c r="BR905" s="51"/>
    </row>
    <row r="906" spans="70:70" ht="15.75" customHeight="1" x14ac:dyDescent="0.25">
      <c r="BR906" s="51"/>
    </row>
    <row r="907" spans="70:70" ht="15.75" customHeight="1" x14ac:dyDescent="0.25">
      <c r="BR907" s="51"/>
    </row>
    <row r="908" spans="70:70" ht="15.75" customHeight="1" x14ac:dyDescent="0.25">
      <c r="BR908" s="51"/>
    </row>
    <row r="909" spans="70:70" ht="15.75" customHeight="1" x14ac:dyDescent="0.25">
      <c r="BR909" s="51"/>
    </row>
    <row r="910" spans="70:70" ht="15.75" customHeight="1" x14ac:dyDescent="0.25">
      <c r="BR910" s="51"/>
    </row>
    <row r="911" spans="70:70" ht="15.75" customHeight="1" x14ac:dyDescent="0.25">
      <c r="BR911" s="51"/>
    </row>
    <row r="912" spans="70:70" ht="15.75" customHeight="1" x14ac:dyDescent="0.25">
      <c r="BR912" s="51"/>
    </row>
    <row r="913" spans="70:70" ht="15.75" customHeight="1" x14ac:dyDescent="0.25">
      <c r="BR913" s="51"/>
    </row>
    <row r="914" spans="70:70" ht="15.75" customHeight="1" x14ac:dyDescent="0.25">
      <c r="BR914" s="51"/>
    </row>
    <row r="915" spans="70:70" ht="15.75" customHeight="1" x14ac:dyDescent="0.25">
      <c r="BR915" s="51"/>
    </row>
    <row r="916" spans="70:70" ht="15.75" customHeight="1" x14ac:dyDescent="0.25">
      <c r="BR916" s="51"/>
    </row>
    <row r="917" spans="70:70" ht="15.75" customHeight="1" x14ac:dyDescent="0.25">
      <c r="BR917" s="51"/>
    </row>
    <row r="918" spans="70:70" ht="15.75" customHeight="1" x14ac:dyDescent="0.25">
      <c r="BR918" s="51"/>
    </row>
    <row r="919" spans="70:70" ht="15.75" customHeight="1" x14ac:dyDescent="0.25">
      <c r="BR919" s="51"/>
    </row>
    <row r="920" spans="70:70" ht="15.75" customHeight="1" x14ac:dyDescent="0.25">
      <c r="BR920" s="51"/>
    </row>
    <row r="921" spans="70:70" ht="15.75" customHeight="1" x14ac:dyDescent="0.25">
      <c r="BR921" s="51"/>
    </row>
    <row r="922" spans="70:70" ht="15.75" customHeight="1" x14ac:dyDescent="0.25">
      <c r="BR922" s="51"/>
    </row>
    <row r="923" spans="70:70" ht="15.75" customHeight="1" x14ac:dyDescent="0.25">
      <c r="BR923" s="51"/>
    </row>
    <row r="924" spans="70:70" ht="15.75" customHeight="1" x14ac:dyDescent="0.25">
      <c r="BR924" s="51"/>
    </row>
    <row r="925" spans="70:70" ht="15.75" customHeight="1" x14ac:dyDescent="0.25">
      <c r="BR925" s="51"/>
    </row>
    <row r="926" spans="70:70" ht="15.75" customHeight="1" x14ac:dyDescent="0.25">
      <c r="BR926" s="51"/>
    </row>
    <row r="927" spans="70:70" ht="15.75" customHeight="1" x14ac:dyDescent="0.25">
      <c r="BR927" s="51"/>
    </row>
    <row r="928" spans="70:70" ht="15.75" customHeight="1" x14ac:dyDescent="0.25">
      <c r="BR928" s="51"/>
    </row>
    <row r="929" spans="70:70" ht="15.75" customHeight="1" x14ac:dyDescent="0.25">
      <c r="BR929" s="51"/>
    </row>
    <row r="930" spans="70:70" ht="15.75" customHeight="1" x14ac:dyDescent="0.25">
      <c r="BR930" s="51"/>
    </row>
    <row r="931" spans="70:70" ht="15.75" customHeight="1" x14ac:dyDescent="0.25">
      <c r="BR931" s="51"/>
    </row>
    <row r="932" spans="70:70" ht="15.75" customHeight="1" x14ac:dyDescent="0.25">
      <c r="BR932" s="51"/>
    </row>
    <row r="933" spans="70:70" ht="15.75" customHeight="1" x14ac:dyDescent="0.25">
      <c r="BR933" s="51"/>
    </row>
    <row r="934" spans="70:70" ht="15.75" customHeight="1" x14ac:dyDescent="0.25">
      <c r="BR934" s="51"/>
    </row>
    <row r="935" spans="70:70" ht="15.75" customHeight="1" x14ac:dyDescent="0.25">
      <c r="BR935" s="51"/>
    </row>
    <row r="936" spans="70:70" ht="15.75" customHeight="1" x14ac:dyDescent="0.25">
      <c r="BR936" s="51"/>
    </row>
    <row r="937" spans="70:70" ht="15.75" customHeight="1" x14ac:dyDescent="0.25">
      <c r="BR937" s="51"/>
    </row>
    <row r="938" spans="70:70" ht="15.75" customHeight="1" x14ac:dyDescent="0.25">
      <c r="BR938" s="51"/>
    </row>
    <row r="939" spans="70:70" ht="15.75" customHeight="1" x14ac:dyDescent="0.25">
      <c r="BR939" s="51"/>
    </row>
    <row r="940" spans="70:70" ht="15.75" customHeight="1" x14ac:dyDescent="0.25">
      <c r="BR940" s="51"/>
    </row>
    <row r="941" spans="70:70" ht="15.75" customHeight="1" x14ac:dyDescent="0.25">
      <c r="BR941" s="51"/>
    </row>
    <row r="942" spans="70:70" ht="15.75" customHeight="1" x14ac:dyDescent="0.25">
      <c r="BR942" s="51"/>
    </row>
    <row r="943" spans="70:70" ht="15.75" customHeight="1" x14ac:dyDescent="0.25">
      <c r="BR943" s="51"/>
    </row>
    <row r="944" spans="70:70" ht="15.75" customHeight="1" x14ac:dyDescent="0.25">
      <c r="BR944" s="51"/>
    </row>
    <row r="945" spans="70:70" ht="15.75" customHeight="1" x14ac:dyDescent="0.25">
      <c r="BR945" s="51"/>
    </row>
    <row r="946" spans="70:70" ht="15.75" customHeight="1" x14ac:dyDescent="0.25">
      <c r="BR946" s="51"/>
    </row>
    <row r="947" spans="70:70" ht="15.75" customHeight="1" x14ac:dyDescent="0.25">
      <c r="BR947" s="51"/>
    </row>
    <row r="948" spans="70:70" ht="15.75" customHeight="1" x14ac:dyDescent="0.25">
      <c r="BR948" s="51"/>
    </row>
    <row r="949" spans="70:70" ht="15.75" customHeight="1" x14ac:dyDescent="0.25">
      <c r="BR949" s="51"/>
    </row>
    <row r="950" spans="70:70" ht="15.75" customHeight="1" x14ac:dyDescent="0.25">
      <c r="BR950" s="51"/>
    </row>
    <row r="951" spans="70:70" ht="15.75" customHeight="1" x14ac:dyDescent="0.25">
      <c r="BR951" s="51"/>
    </row>
    <row r="952" spans="70:70" ht="15.75" customHeight="1" x14ac:dyDescent="0.25">
      <c r="BR952" s="51"/>
    </row>
    <row r="953" spans="70:70" ht="15.75" customHeight="1" x14ac:dyDescent="0.25">
      <c r="BR953" s="51"/>
    </row>
    <row r="954" spans="70:70" ht="15.75" customHeight="1" x14ac:dyDescent="0.25">
      <c r="BR954" s="51"/>
    </row>
    <row r="955" spans="70:70" ht="15.75" customHeight="1" x14ac:dyDescent="0.25">
      <c r="BR955" s="51"/>
    </row>
    <row r="956" spans="70:70" ht="15.75" customHeight="1" x14ac:dyDescent="0.25">
      <c r="BR956" s="51"/>
    </row>
    <row r="957" spans="70:70" ht="15.75" customHeight="1" x14ac:dyDescent="0.25">
      <c r="BR957" s="51"/>
    </row>
    <row r="958" spans="70:70" ht="15.75" customHeight="1" x14ac:dyDescent="0.25">
      <c r="BR958" s="51"/>
    </row>
    <row r="959" spans="70:70" ht="15.75" customHeight="1" x14ac:dyDescent="0.25">
      <c r="BR959" s="51"/>
    </row>
    <row r="960" spans="70:70" ht="15.75" customHeight="1" x14ac:dyDescent="0.25">
      <c r="BR960" s="51"/>
    </row>
    <row r="961" spans="70:70" ht="15.75" customHeight="1" x14ac:dyDescent="0.25">
      <c r="BR961" s="51"/>
    </row>
    <row r="962" spans="70:70" ht="15.75" customHeight="1" x14ac:dyDescent="0.25">
      <c r="BR962" s="51"/>
    </row>
    <row r="963" spans="70:70" ht="15.75" customHeight="1" x14ac:dyDescent="0.25">
      <c r="BR963" s="51"/>
    </row>
    <row r="964" spans="70:70" ht="15.75" customHeight="1" x14ac:dyDescent="0.25">
      <c r="BR964" s="51"/>
    </row>
    <row r="965" spans="70:70" ht="15.75" customHeight="1" x14ac:dyDescent="0.25">
      <c r="BR965" s="51"/>
    </row>
    <row r="966" spans="70:70" ht="15.75" customHeight="1" x14ac:dyDescent="0.25">
      <c r="BR966" s="51"/>
    </row>
    <row r="967" spans="70:70" ht="15.75" customHeight="1" x14ac:dyDescent="0.25">
      <c r="BR967" s="51"/>
    </row>
    <row r="968" spans="70:70" ht="15.75" customHeight="1" x14ac:dyDescent="0.25">
      <c r="BR968" s="51"/>
    </row>
    <row r="969" spans="70:70" ht="15.75" customHeight="1" x14ac:dyDescent="0.25">
      <c r="BR969" s="51"/>
    </row>
    <row r="970" spans="70:70" ht="15.75" customHeight="1" x14ac:dyDescent="0.25">
      <c r="BR970" s="51"/>
    </row>
    <row r="971" spans="70:70" ht="15.75" customHeight="1" x14ac:dyDescent="0.25">
      <c r="BR971" s="51"/>
    </row>
    <row r="972" spans="70:70" ht="15.75" customHeight="1" x14ac:dyDescent="0.25">
      <c r="BR972" s="51"/>
    </row>
    <row r="973" spans="70:70" ht="15.75" customHeight="1" x14ac:dyDescent="0.25">
      <c r="BR973" s="51"/>
    </row>
    <row r="974" spans="70:70" ht="15.75" customHeight="1" x14ac:dyDescent="0.25">
      <c r="BR974" s="51"/>
    </row>
    <row r="975" spans="70:70" ht="15.75" customHeight="1" x14ac:dyDescent="0.25">
      <c r="BR975" s="51"/>
    </row>
    <row r="976" spans="70:70" ht="15.75" customHeight="1" x14ac:dyDescent="0.25">
      <c r="BR976" s="51"/>
    </row>
    <row r="977" spans="70:70" ht="15.75" customHeight="1" x14ac:dyDescent="0.25">
      <c r="BR977" s="51"/>
    </row>
    <row r="978" spans="70:70" ht="15.75" customHeight="1" x14ac:dyDescent="0.25">
      <c r="BR978" s="51"/>
    </row>
    <row r="979" spans="70:70" ht="15.75" customHeight="1" x14ac:dyDescent="0.25">
      <c r="BR979" s="51"/>
    </row>
    <row r="980" spans="70:70" ht="15.75" customHeight="1" x14ac:dyDescent="0.25">
      <c r="BR980" s="51"/>
    </row>
    <row r="981" spans="70:70" ht="15.75" customHeight="1" x14ac:dyDescent="0.25">
      <c r="BR981" s="51"/>
    </row>
    <row r="982" spans="70:70" ht="15.75" customHeight="1" x14ac:dyDescent="0.25">
      <c r="BR982" s="51"/>
    </row>
    <row r="983" spans="70:70" ht="15.75" customHeight="1" x14ac:dyDescent="0.25">
      <c r="BR983" s="51"/>
    </row>
    <row r="984" spans="70:70" ht="15.75" customHeight="1" x14ac:dyDescent="0.25">
      <c r="BR984" s="51"/>
    </row>
    <row r="985" spans="70:70" ht="15.75" customHeight="1" x14ac:dyDescent="0.25">
      <c r="BR985" s="51"/>
    </row>
    <row r="986" spans="70:70" ht="15.75" customHeight="1" x14ac:dyDescent="0.25">
      <c r="BR986" s="51"/>
    </row>
    <row r="987" spans="70:70" ht="15.75" customHeight="1" x14ac:dyDescent="0.25">
      <c r="BR987" s="51"/>
    </row>
    <row r="988" spans="70:70" ht="15.75" customHeight="1" x14ac:dyDescent="0.25">
      <c r="BR988" s="51"/>
    </row>
    <row r="989" spans="70:70" ht="15.75" customHeight="1" x14ac:dyDescent="0.25">
      <c r="BR989" s="51"/>
    </row>
    <row r="990" spans="70:70" ht="15.75" customHeight="1" x14ac:dyDescent="0.25">
      <c r="BR990" s="51"/>
    </row>
    <row r="991" spans="70:70" ht="15.75" customHeight="1" x14ac:dyDescent="0.25">
      <c r="BR991" s="51"/>
    </row>
    <row r="992" spans="70:70" ht="15.75" customHeight="1" x14ac:dyDescent="0.25">
      <c r="BR992" s="51"/>
    </row>
    <row r="993" spans="70:70" ht="15.75" customHeight="1" x14ac:dyDescent="0.25">
      <c r="BR993" s="51"/>
    </row>
    <row r="994" spans="70:70" ht="15.75" customHeight="1" x14ac:dyDescent="0.25">
      <c r="BR994" s="51"/>
    </row>
    <row r="995" spans="70:70" ht="15.75" customHeight="1" x14ac:dyDescent="0.25">
      <c r="BR995" s="51"/>
    </row>
    <row r="996" spans="70:70" ht="15.75" customHeight="1" x14ac:dyDescent="0.25">
      <c r="BR996" s="51"/>
    </row>
    <row r="997" spans="70:70" ht="15.75" customHeight="1" x14ac:dyDescent="0.25">
      <c r="BR997" s="51"/>
    </row>
    <row r="998" spans="70:70" ht="15.75" customHeight="1" x14ac:dyDescent="0.25">
      <c r="BR998" s="51"/>
    </row>
    <row r="999" spans="70:70" ht="15.75" customHeight="1" x14ac:dyDescent="0.25">
      <c r="BR999" s="51"/>
    </row>
    <row r="1000" spans="70:70" ht="15.75" customHeight="1" x14ac:dyDescent="0.25">
      <c r="BR1000" s="51"/>
    </row>
  </sheetData>
  <mergeCells count="134">
    <mergeCell ref="CF20:CM20"/>
    <mergeCell ref="CA22:CD22"/>
    <mergeCell ref="CA24:CD24"/>
    <mergeCell ref="B11:B28"/>
    <mergeCell ref="B30:B47"/>
    <mergeCell ref="AA47:AB47"/>
    <mergeCell ref="AL49:BM49"/>
    <mergeCell ref="BQ51:BR51"/>
    <mergeCell ref="BE53:BH53"/>
    <mergeCell ref="BR53:BY53"/>
    <mergeCell ref="AP28:AR28"/>
    <mergeCell ref="AQ30:BR30"/>
    <mergeCell ref="BN31:BQ31"/>
    <mergeCell ref="BU33:BV33"/>
    <mergeCell ref="BV35:CC35"/>
    <mergeCell ref="BX37:CC37"/>
    <mergeCell ref="CD39:CK39"/>
    <mergeCell ref="BP41:BS41"/>
    <mergeCell ref="BY41:CB41"/>
    <mergeCell ref="B49:B65"/>
    <mergeCell ref="BS145:BZ145"/>
    <mergeCell ref="BE147:BH147"/>
    <mergeCell ref="BN147:BQ147"/>
    <mergeCell ref="BG149:BH149"/>
    <mergeCell ref="BN149:BQ149"/>
    <mergeCell ref="AL5:AO5"/>
    <mergeCell ref="AP5:AS5"/>
    <mergeCell ref="AT5:AW5"/>
    <mergeCell ref="AX5:BA5"/>
    <mergeCell ref="BB5:BE5"/>
    <mergeCell ref="BF5:BI5"/>
    <mergeCell ref="BJ5:BM5"/>
    <mergeCell ref="BN5:BQ5"/>
    <mergeCell ref="BH11:BU11"/>
    <mergeCell ref="BR5:BU5"/>
    <mergeCell ref="BV5:BY5"/>
    <mergeCell ref="BW14:BX14"/>
    <mergeCell ref="BX16:CE16"/>
    <mergeCell ref="BZ18:CE18"/>
    <mergeCell ref="BT55:BY55"/>
    <mergeCell ref="BZ57:CG57"/>
    <mergeCell ref="BJ139:BK139"/>
    <mergeCell ref="AP108:AU108"/>
    <mergeCell ref="AT110:BA110"/>
    <mergeCell ref="AP155:BA155"/>
    <mergeCell ref="AW158:BB158"/>
    <mergeCell ref="BC161:BE161"/>
    <mergeCell ref="AW163:AX163"/>
    <mergeCell ref="BC163:BD163"/>
    <mergeCell ref="BB165:BI165"/>
    <mergeCell ref="BB167:BG167"/>
    <mergeCell ref="BG169:BN169"/>
    <mergeCell ref="BK141:BR141"/>
    <mergeCell ref="BM143:BR143"/>
    <mergeCell ref="AQ114:AT114"/>
    <mergeCell ref="AM123:AT123"/>
    <mergeCell ref="AP125:AU125"/>
    <mergeCell ref="AT127:BA127"/>
    <mergeCell ref="AS129:AV129"/>
    <mergeCell ref="AQ131:AT131"/>
    <mergeCell ref="AU87:AV87"/>
    <mergeCell ref="AV89:BC89"/>
    <mergeCell ref="AX91:BC91"/>
    <mergeCell ref="BV75:CC75"/>
    <mergeCell ref="BH77:BK77"/>
    <mergeCell ref="BQ77:BT77"/>
    <mergeCell ref="BJ79:BK79"/>
    <mergeCell ref="BQ79:BT79"/>
    <mergeCell ref="AD85:AQ85"/>
    <mergeCell ref="BG43:BJ43"/>
    <mergeCell ref="BR43:BS43"/>
    <mergeCell ref="BY43:CB43"/>
    <mergeCell ref="BL59:BO59"/>
    <mergeCell ref="BU59:BX59"/>
    <mergeCell ref="BN61:BO61"/>
    <mergeCell ref="BU61:BX61"/>
    <mergeCell ref="AL67:BI67"/>
    <mergeCell ref="BM69:BN69"/>
    <mergeCell ref="AZ71:BC71"/>
    <mergeCell ref="BN71:BU71"/>
    <mergeCell ref="BP73:BU73"/>
    <mergeCell ref="AH89:AK89"/>
    <mergeCell ref="AD103:AE103"/>
    <mergeCell ref="AL103:AM103"/>
    <mergeCell ref="AF104:AG104"/>
    <mergeCell ref="AL104:AN104"/>
    <mergeCell ref="AK120:AK121"/>
    <mergeCell ref="AI129:AL129"/>
    <mergeCell ref="AK131:AL131"/>
    <mergeCell ref="AK157:AL157"/>
    <mergeCell ref="AK103:AK104"/>
    <mergeCell ref="AI112:AL112"/>
    <mergeCell ref="AK114:AL114"/>
    <mergeCell ref="AD120:AE120"/>
    <mergeCell ref="AL120:AM120"/>
    <mergeCell ref="AF121:AG121"/>
    <mergeCell ref="AL121:AN121"/>
    <mergeCell ref="AD137:BF137"/>
    <mergeCell ref="BD93:BK93"/>
    <mergeCell ref="AP95:AS95"/>
    <mergeCell ref="AR97:AS97"/>
    <mergeCell ref="AY95:BB95"/>
    <mergeCell ref="AY97:BB97"/>
    <mergeCell ref="AM106:AT106"/>
    <mergeCell ref="AS112:AV112"/>
    <mergeCell ref="B67:B83"/>
    <mergeCell ref="B85:B101"/>
    <mergeCell ref="B103:B118"/>
    <mergeCell ref="B120:B135"/>
    <mergeCell ref="B137:B153"/>
    <mergeCell ref="B155:B170"/>
    <mergeCell ref="V5:Y5"/>
    <mergeCell ref="Z5:AC5"/>
    <mergeCell ref="J8:M8"/>
    <mergeCell ref="O8:P8"/>
    <mergeCell ref="O10:P10"/>
    <mergeCell ref="AB24:AC24"/>
    <mergeCell ref="AA28:AB28"/>
    <mergeCell ref="Z24:AA24"/>
    <mergeCell ref="X28:Y28"/>
    <mergeCell ref="BZ5:CC5"/>
    <mergeCell ref="CD5:CG5"/>
    <mergeCell ref="CH5:CK5"/>
    <mergeCell ref="CL5:CO5"/>
    <mergeCell ref="D3:H3"/>
    <mergeCell ref="J3:BY3"/>
    <mergeCell ref="BZ3:CS3"/>
    <mergeCell ref="D5:H5"/>
    <mergeCell ref="J5:M5"/>
    <mergeCell ref="N5:Q5"/>
    <mergeCell ref="R5:U5"/>
    <mergeCell ref="CP5:CS5"/>
    <mergeCell ref="AD5:AG5"/>
    <mergeCell ref="AH5:AK5"/>
  </mergeCells>
  <pageMargins left="0.75" right="0.75" top="1" bottom="1" header="0" footer="0"/>
  <pageSetup paperSize="9" fitToWidth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S280"/>
  <sheetViews>
    <sheetView workbookViewId="0">
      <pane xSplit="29" ySplit="6" topLeftCell="AD7" activePane="bottomRight" state="frozen"/>
      <selection pane="topRight" activeCell="AD1" sqref="AD1"/>
      <selection pane="bottomLeft" activeCell="A7" sqref="A7"/>
      <selection pane="bottomRight" activeCell="AD7" sqref="AD7"/>
    </sheetView>
  </sheetViews>
  <sheetFormatPr baseColWidth="10" defaultColWidth="14.42578125" defaultRowHeight="15" customHeight="1" x14ac:dyDescent="0.25"/>
  <cols>
    <col min="1" max="1" width="2.7109375" customWidth="1"/>
    <col min="2" max="2" width="15.42578125" customWidth="1"/>
    <col min="3" max="3" width="1.28515625" customWidth="1"/>
    <col min="4" max="5" width="43" hidden="1" customWidth="1"/>
    <col min="6" max="6" width="2.28515625" hidden="1" customWidth="1"/>
    <col min="7" max="8" width="43" hidden="1" customWidth="1"/>
    <col min="9" max="9" width="2.28515625" hidden="1" customWidth="1"/>
    <col min="10" max="12" width="60.7109375" hidden="1" customWidth="1"/>
    <col min="13" max="13" width="61.28515625" hidden="1" customWidth="1"/>
    <col min="14" max="18" width="30.7109375" hidden="1" customWidth="1"/>
    <col min="19" max="19" width="39.28515625" hidden="1" customWidth="1"/>
    <col min="20" max="20" width="30.7109375" hidden="1" customWidth="1"/>
    <col min="21" max="21" width="37.140625" hidden="1" customWidth="1"/>
    <col min="22" max="29" width="30.7109375" hidden="1" customWidth="1"/>
    <col min="30" max="97" width="30.7109375" customWidth="1"/>
  </cols>
  <sheetData>
    <row r="1" spans="2:97" ht="14.25" customHeight="1" x14ac:dyDescent="0.25">
      <c r="D1" s="49"/>
      <c r="E1" s="49"/>
      <c r="G1" s="49"/>
      <c r="H1" s="49"/>
      <c r="N1" s="13"/>
      <c r="O1" s="13"/>
      <c r="P1" s="13"/>
      <c r="Q1" s="13"/>
      <c r="AI1" s="50"/>
      <c r="AU1" s="50"/>
    </row>
    <row r="2" spans="2:97" ht="14.25" customHeight="1" x14ac:dyDescent="0.25">
      <c r="D2" s="49"/>
      <c r="E2" s="49"/>
      <c r="G2" s="49"/>
      <c r="H2" s="49"/>
      <c r="N2" s="13"/>
      <c r="O2" s="13"/>
      <c r="P2" s="13"/>
      <c r="Q2" s="13"/>
      <c r="AI2" s="50"/>
      <c r="AU2" s="50"/>
    </row>
    <row r="3" spans="2:97" ht="49.5" customHeight="1" x14ac:dyDescent="0.25">
      <c r="D3" s="619">
        <v>2024</v>
      </c>
      <c r="E3" s="568"/>
      <c r="F3" s="568"/>
      <c r="G3" s="568"/>
      <c r="H3" s="569"/>
      <c r="J3" s="668">
        <v>2025</v>
      </c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  <c r="AM3" s="568"/>
      <c r="AN3" s="568"/>
      <c r="AO3" s="568"/>
      <c r="AP3" s="568"/>
      <c r="AQ3" s="568"/>
      <c r="AR3" s="568"/>
      <c r="AS3" s="568"/>
      <c r="AT3" s="568"/>
      <c r="AU3" s="568"/>
      <c r="AV3" s="568"/>
      <c r="AW3" s="568"/>
      <c r="AX3" s="568"/>
      <c r="AY3" s="568"/>
      <c r="AZ3" s="568"/>
      <c r="BA3" s="569"/>
      <c r="BB3" s="668">
        <v>2025</v>
      </c>
      <c r="BC3" s="568"/>
      <c r="BD3" s="568"/>
      <c r="BE3" s="568"/>
      <c r="BF3" s="568"/>
      <c r="BG3" s="568"/>
      <c r="BH3" s="568"/>
      <c r="BI3" s="568"/>
      <c r="BJ3" s="568"/>
      <c r="BK3" s="568"/>
      <c r="BL3" s="568"/>
      <c r="BM3" s="568"/>
      <c r="BN3" s="568"/>
      <c r="BO3" s="568"/>
      <c r="BP3" s="568"/>
      <c r="BQ3" s="568"/>
      <c r="BR3" s="568"/>
      <c r="BS3" s="568"/>
      <c r="BT3" s="568"/>
      <c r="BU3" s="568"/>
      <c r="BV3" s="568"/>
      <c r="BW3" s="568"/>
      <c r="BX3" s="568"/>
      <c r="BY3" s="568"/>
      <c r="BZ3" s="568"/>
      <c r="CA3" s="568"/>
      <c r="CB3" s="568"/>
      <c r="CC3" s="568"/>
      <c r="CD3" s="568"/>
      <c r="CE3" s="568"/>
      <c r="CF3" s="568"/>
      <c r="CG3" s="568"/>
      <c r="CH3" s="568"/>
      <c r="CI3" s="568"/>
      <c r="CJ3" s="568"/>
      <c r="CK3" s="568"/>
      <c r="CL3" s="568"/>
      <c r="CM3" s="568"/>
      <c r="CN3" s="568"/>
      <c r="CO3" s="568"/>
      <c r="CP3" s="568"/>
      <c r="CQ3" s="568"/>
      <c r="CR3" s="568"/>
      <c r="CS3" s="569"/>
    </row>
    <row r="4" spans="2:97" ht="9.75" customHeight="1" x14ac:dyDescent="0.25">
      <c r="D4" s="49"/>
      <c r="E4" s="49"/>
      <c r="G4" s="49"/>
      <c r="H4" s="49"/>
      <c r="N4" s="13"/>
      <c r="O4" s="13"/>
      <c r="P4" s="13"/>
      <c r="Q4" s="13"/>
      <c r="AI4" s="50"/>
      <c r="AU4" s="50"/>
      <c r="BF4" s="13"/>
      <c r="BG4" s="13"/>
      <c r="BH4" s="13"/>
      <c r="BI4" s="13"/>
    </row>
    <row r="5" spans="2:97" ht="57.75" customHeight="1" x14ac:dyDescent="0.25">
      <c r="C5" s="52"/>
      <c r="D5" s="622" t="s">
        <v>93</v>
      </c>
      <c r="E5" s="582"/>
      <c r="F5" s="582"/>
      <c r="G5" s="582"/>
      <c r="H5" s="572"/>
      <c r="J5" s="575" t="s">
        <v>56</v>
      </c>
      <c r="K5" s="568"/>
      <c r="L5" s="568"/>
      <c r="M5" s="569"/>
      <c r="N5" s="577" t="s">
        <v>57</v>
      </c>
      <c r="O5" s="568"/>
      <c r="P5" s="568"/>
      <c r="Q5" s="569"/>
      <c r="R5" s="575" t="s">
        <v>58</v>
      </c>
      <c r="S5" s="568"/>
      <c r="T5" s="568"/>
      <c r="U5" s="569"/>
      <c r="V5" s="575" t="s">
        <v>1</v>
      </c>
      <c r="W5" s="568"/>
      <c r="X5" s="568"/>
      <c r="Y5" s="569"/>
      <c r="Z5" s="575" t="s">
        <v>19</v>
      </c>
      <c r="AA5" s="568"/>
      <c r="AB5" s="568"/>
      <c r="AC5" s="569"/>
      <c r="AD5" s="575" t="s">
        <v>25</v>
      </c>
      <c r="AE5" s="568"/>
      <c r="AF5" s="568"/>
      <c r="AG5" s="569"/>
      <c r="AH5" s="575" t="s">
        <v>26</v>
      </c>
      <c r="AI5" s="568"/>
      <c r="AJ5" s="568"/>
      <c r="AK5" s="569"/>
      <c r="AL5" s="575" t="s">
        <v>27</v>
      </c>
      <c r="AM5" s="568"/>
      <c r="AN5" s="568"/>
      <c r="AO5" s="569"/>
      <c r="AP5" s="575" t="s">
        <v>54</v>
      </c>
      <c r="AQ5" s="568"/>
      <c r="AR5" s="568"/>
      <c r="AS5" s="569"/>
      <c r="AT5" s="575" t="s">
        <v>60</v>
      </c>
      <c r="AU5" s="568"/>
      <c r="AV5" s="568"/>
      <c r="AW5" s="569"/>
      <c r="AX5" s="575" t="s">
        <v>55</v>
      </c>
      <c r="AY5" s="568"/>
      <c r="AZ5" s="568"/>
      <c r="BA5" s="569"/>
      <c r="BB5" s="575" t="s">
        <v>56</v>
      </c>
      <c r="BC5" s="568"/>
      <c r="BD5" s="568"/>
      <c r="BE5" s="569"/>
      <c r="BF5" s="577" t="s">
        <v>57</v>
      </c>
      <c r="BG5" s="568"/>
      <c r="BH5" s="568"/>
      <c r="BI5" s="569"/>
      <c r="BJ5" s="575" t="s">
        <v>58</v>
      </c>
      <c r="BK5" s="568"/>
      <c r="BL5" s="568"/>
      <c r="BM5" s="569"/>
      <c r="BN5" s="575" t="s">
        <v>1</v>
      </c>
      <c r="BO5" s="568"/>
      <c r="BP5" s="568"/>
      <c r="BQ5" s="569"/>
      <c r="BR5" s="575" t="s">
        <v>19</v>
      </c>
      <c r="BS5" s="568"/>
      <c r="BT5" s="568"/>
      <c r="BU5" s="569"/>
      <c r="BV5" s="575" t="s">
        <v>25</v>
      </c>
      <c r="BW5" s="568"/>
      <c r="BX5" s="568"/>
      <c r="BY5" s="569"/>
      <c r="BZ5" s="575" t="s">
        <v>26</v>
      </c>
      <c r="CA5" s="568"/>
      <c r="CB5" s="568"/>
      <c r="CC5" s="569"/>
      <c r="CD5" s="575" t="s">
        <v>27</v>
      </c>
      <c r="CE5" s="568"/>
      <c r="CF5" s="568"/>
      <c r="CG5" s="569"/>
      <c r="CH5" s="575" t="s">
        <v>54</v>
      </c>
      <c r="CI5" s="568"/>
      <c r="CJ5" s="568"/>
      <c r="CK5" s="569"/>
      <c r="CL5" s="575" t="s">
        <v>60</v>
      </c>
      <c r="CM5" s="568"/>
      <c r="CN5" s="568"/>
      <c r="CO5" s="569"/>
      <c r="CP5" s="575" t="s">
        <v>55</v>
      </c>
      <c r="CQ5" s="568"/>
      <c r="CR5" s="568"/>
      <c r="CS5" s="569"/>
    </row>
    <row r="6" spans="2:97" ht="9.75" customHeight="1" x14ac:dyDescent="0.25">
      <c r="D6" s="49"/>
      <c r="E6" s="49"/>
      <c r="G6" s="49"/>
      <c r="H6" s="49"/>
      <c r="N6" s="13"/>
      <c r="O6" s="13"/>
      <c r="P6" s="13"/>
      <c r="Q6" s="13"/>
      <c r="AI6" s="50"/>
      <c r="AU6" s="50"/>
      <c r="BF6" s="13"/>
      <c r="BG6" s="13"/>
      <c r="BH6" s="13"/>
      <c r="BI6" s="13"/>
    </row>
    <row r="7" spans="2:97" ht="15" customHeight="1" x14ac:dyDescent="0.25">
      <c r="D7" s="49"/>
      <c r="E7" s="49"/>
      <c r="G7" s="49"/>
      <c r="H7" s="5"/>
      <c r="M7" s="19" t="s">
        <v>94</v>
      </c>
      <c r="N7" s="13"/>
      <c r="O7" s="13"/>
      <c r="P7" s="13"/>
      <c r="Q7" s="13"/>
      <c r="AI7" s="50"/>
      <c r="AU7" s="50"/>
    </row>
    <row r="8" spans="2:97" ht="28.5" hidden="1" customHeight="1" x14ac:dyDescent="0.25">
      <c r="D8" s="49"/>
      <c r="E8" s="49"/>
      <c r="G8" s="49"/>
      <c r="H8" s="5"/>
      <c r="J8" s="630" t="s">
        <v>95</v>
      </c>
      <c r="K8" s="582"/>
      <c r="L8" s="582"/>
      <c r="M8" s="572"/>
      <c r="N8" s="13"/>
      <c r="O8" s="631" t="s">
        <v>96</v>
      </c>
      <c r="P8" s="572"/>
      <c r="Q8" s="13"/>
      <c r="R8" s="53" t="s">
        <v>97</v>
      </c>
      <c r="S8" s="53" t="s">
        <v>96</v>
      </c>
      <c r="AI8" s="50"/>
      <c r="AU8" s="50"/>
    </row>
    <row r="9" spans="2:97" ht="25.5" hidden="1" customHeight="1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13"/>
      <c r="O9" s="13"/>
      <c r="P9" s="13"/>
      <c r="Q9" s="49"/>
      <c r="R9" s="5"/>
      <c r="S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4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4"/>
      <c r="AV9" s="5"/>
      <c r="AW9" s="5"/>
      <c r="AX9" s="5"/>
      <c r="AY9" s="5"/>
      <c r="AZ9" s="5"/>
      <c r="BA9" s="5"/>
    </row>
    <row r="10" spans="2:97" ht="42" hidden="1" customHeight="1" x14ac:dyDescent="0.25">
      <c r="D10" s="5"/>
      <c r="E10" s="5"/>
      <c r="F10" s="5"/>
      <c r="G10" s="5"/>
      <c r="H10" s="5"/>
      <c r="I10" s="5"/>
      <c r="J10" s="55" t="s">
        <v>98</v>
      </c>
      <c r="K10" s="49"/>
      <c r="L10" s="49"/>
      <c r="M10" s="5"/>
      <c r="N10" s="49"/>
      <c r="O10" s="632" t="s">
        <v>99</v>
      </c>
      <c r="P10" s="633"/>
      <c r="Q10" s="49"/>
      <c r="R10" s="55" t="s">
        <v>100</v>
      </c>
      <c r="S10" s="55" t="s">
        <v>101</v>
      </c>
      <c r="AI10" s="50"/>
      <c r="AU10" s="50"/>
    </row>
    <row r="11" spans="2:97" ht="34.5" customHeight="1" x14ac:dyDescent="0.25">
      <c r="B11" s="675" t="s">
        <v>148</v>
      </c>
      <c r="C11" s="63"/>
      <c r="D11" s="127"/>
      <c r="E11" s="127"/>
      <c r="F11" s="127"/>
      <c r="G11" s="127"/>
      <c r="H11" s="127"/>
      <c r="I11" s="127"/>
      <c r="J11" s="128"/>
      <c r="K11" s="128"/>
      <c r="L11" s="128"/>
      <c r="M11" s="127"/>
      <c r="N11" s="128"/>
      <c r="O11" s="128"/>
      <c r="P11" s="128"/>
      <c r="Q11" s="128"/>
      <c r="R11" s="128"/>
      <c r="S11" s="128"/>
      <c r="T11" s="129"/>
      <c r="U11" s="129"/>
      <c r="V11" s="129"/>
      <c r="W11" s="129"/>
      <c r="X11" s="129"/>
      <c r="Y11" s="129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1" t="s">
        <v>149</v>
      </c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2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</row>
    <row r="12" spans="2:97" ht="34.5" customHeight="1" x14ac:dyDescent="0.25">
      <c r="B12" s="626"/>
      <c r="D12" s="65"/>
      <c r="E12" s="65"/>
      <c r="F12" s="65"/>
      <c r="G12" s="65"/>
      <c r="H12" s="65"/>
      <c r="I12" s="65"/>
      <c r="J12" s="66"/>
      <c r="K12" s="66"/>
      <c r="L12" s="66"/>
      <c r="M12" s="65"/>
      <c r="N12" s="66"/>
      <c r="O12" s="66"/>
      <c r="P12" s="66"/>
      <c r="Q12" s="66"/>
      <c r="R12" s="66"/>
      <c r="S12" s="66"/>
      <c r="T12" s="67"/>
      <c r="U12" s="67"/>
      <c r="V12" s="67"/>
      <c r="W12" s="67"/>
      <c r="X12" s="67"/>
      <c r="Y12" s="67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124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</row>
    <row r="13" spans="2:97" ht="34.5" customHeight="1" x14ac:dyDescent="0.25">
      <c r="B13" s="626"/>
      <c r="D13" s="65"/>
      <c r="E13" s="65"/>
      <c r="F13" s="65"/>
      <c r="G13" s="65"/>
      <c r="H13" s="65"/>
      <c r="I13" s="65"/>
      <c r="J13" s="66"/>
      <c r="K13" s="66"/>
      <c r="L13" s="66"/>
      <c r="M13" s="65"/>
      <c r="N13" s="66"/>
      <c r="O13" s="66"/>
      <c r="P13" s="66"/>
      <c r="Q13" s="66"/>
      <c r="R13" s="66"/>
      <c r="S13" s="66"/>
      <c r="T13" s="67"/>
      <c r="U13" s="67"/>
      <c r="V13" s="67"/>
      <c r="W13" s="67"/>
      <c r="X13" s="67"/>
      <c r="Y13" s="67"/>
      <c r="Z13" s="35"/>
      <c r="AA13" s="35"/>
      <c r="AB13" s="133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124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</row>
    <row r="14" spans="2:97" ht="34.5" customHeight="1" x14ac:dyDescent="0.25">
      <c r="B14" s="626"/>
      <c r="D14" s="65"/>
      <c r="E14" s="65"/>
      <c r="F14" s="65"/>
      <c r="G14" s="65"/>
      <c r="H14" s="65"/>
      <c r="I14" s="65"/>
      <c r="J14" s="66"/>
      <c r="K14" s="66"/>
      <c r="L14" s="66"/>
      <c r="M14" s="65"/>
      <c r="N14" s="66"/>
      <c r="O14" s="66"/>
      <c r="P14" s="66"/>
      <c r="Q14" s="66"/>
      <c r="R14" s="66"/>
      <c r="S14" s="66"/>
      <c r="T14" s="67"/>
      <c r="U14" s="67"/>
      <c r="V14" s="67"/>
      <c r="W14" s="67"/>
      <c r="X14" s="67"/>
      <c r="Y14" s="67"/>
      <c r="Z14" s="35"/>
      <c r="AA14" s="85" t="s">
        <v>150</v>
      </c>
      <c r="AB14" s="134" t="s">
        <v>151</v>
      </c>
      <c r="AC14" s="35"/>
      <c r="AD14" s="669" t="s">
        <v>152</v>
      </c>
      <c r="AE14" s="574"/>
      <c r="AF14" s="574"/>
      <c r="AG14" s="574"/>
      <c r="AH14" s="574"/>
      <c r="AI14" s="574"/>
      <c r="AJ14" s="574"/>
      <c r="AK14" s="574"/>
      <c r="AL14" s="574"/>
      <c r="AM14" s="574"/>
      <c r="AN14" s="573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124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</row>
    <row r="15" spans="2:97" ht="34.5" customHeight="1" x14ac:dyDescent="0.25">
      <c r="B15" s="626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6"/>
      <c r="O15" s="66"/>
      <c r="P15" s="66"/>
      <c r="Q15" s="66"/>
      <c r="R15" s="67"/>
      <c r="S15" s="67"/>
      <c r="T15" s="67"/>
      <c r="U15" s="67"/>
      <c r="V15" s="67"/>
      <c r="W15" s="67"/>
      <c r="X15" s="67"/>
      <c r="Y15" s="67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124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</row>
    <row r="16" spans="2:97" ht="34.5" customHeight="1" x14ac:dyDescent="0.25">
      <c r="B16" s="626"/>
      <c r="D16" s="65"/>
      <c r="E16" s="65"/>
      <c r="F16" s="67"/>
      <c r="G16" s="65"/>
      <c r="H16" s="65"/>
      <c r="I16" s="67"/>
      <c r="J16" s="67"/>
      <c r="K16" s="67"/>
      <c r="L16" s="67"/>
      <c r="M16" s="67"/>
      <c r="N16" s="66"/>
      <c r="O16" s="66"/>
      <c r="P16" s="66"/>
      <c r="Q16" s="66"/>
      <c r="R16" s="67"/>
      <c r="S16" s="67"/>
      <c r="T16" s="67"/>
      <c r="U16" s="67"/>
      <c r="V16" s="67"/>
      <c r="W16" s="67"/>
      <c r="X16" s="67"/>
      <c r="Y16" s="67"/>
      <c r="Z16" s="659" t="s">
        <v>153</v>
      </c>
      <c r="AA16" s="573"/>
      <c r="AB16" s="659" t="s">
        <v>154</v>
      </c>
      <c r="AC16" s="573"/>
      <c r="AD16" s="659" t="s">
        <v>34</v>
      </c>
      <c r="AE16" s="574"/>
      <c r="AF16" s="574"/>
      <c r="AG16" s="574"/>
      <c r="AH16" s="574"/>
      <c r="AI16" s="574"/>
      <c r="AJ16" s="574"/>
      <c r="AK16" s="574"/>
      <c r="AL16" s="573"/>
      <c r="AM16" s="68"/>
      <c r="AN16" s="68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124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</row>
    <row r="17" spans="2:71" ht="34.5" customHeight="1" x14ac:dyDescent="0.25">
      <c r="B17" s="626"/>
      <c r="D17" s="66"/>
      <c r="E17" s="66"/>
      <c r="F17" s="67"/>
      <c r="G17" s="66"/>
      <c r="H17" s="65"/>
      <c r="I17" s="67"/>
      <c r="J17" s="65"/>
      <c r="K17" s="65"/>
      <c r="L17" s="65"/>
      <c r="M17" s="65"/>
      <c r="N17" s="66"/>
      <c r="O17" s="66"/>
      <c r="P17" s="66"/>
      <c r="Q17" s="66"/>
      <c r="R17" s="66"/>
      <c r="S17" s="66"/>
      <c r="T17" s="67"/>
      <c r="U17" s="67"/>
      <c r="V17" s="67"/>
      <c r="W17" s="66"/>
      <c r="X17" s="67"/>
      <c r="Y17" s="67"/>
      <c r="Z17" s="82"/>
      <c r="AA17" s="35"/>
      <c r="AB17" s="82"/>
      <c r="AC17" s="35"/>
      <c r="AD17" s="82"/>
      <c r="AE17" s="35"/>
      <c r="AF17" s="82"/>
      <c r="AG17" s="82"/>
      <c r="AH17" s="82"/>
      <c r="AI17" s="35"/>
      <c r="AJ17" s="35"/>
      <c r="AK17" s="35"/>
      <c r="AL17" s="82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124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</row>
    <row r="18" spans="2:71" ht="34.5" customHeight="1" x14ac:dyDescent="0.25">
      <c r="B18" s="626"/>
      <c r="D18" s="66"/>
      <c r="E18" s="66"/>
      <c r="F18" s="67"/>
      <c r="G18" s="66"/>
      <c r="H18" s="65"/>
      <c r="I18" s="67"/>
      <c r="J18" s="65"/>
      <c r="K18" s="65"/>
      <c r="L18" s="65"/>
      <c r="M18" s="65"/>
      <c r="N18" s="66"/>
      <c r="O18" s="66"/>
      <c r="P18" s="66"/>
      <c r="Q18" s="66"/>
      <c r="R18" s="66"/>
      <c r="S18" s="66"/>
      <c r="T18" s="67"/>
      <c r="U18" s="67"/>
      <c r="V18" s="67"/>
      <c r="W18" s="66"/>
      <c r="X18" s="67"/>
      <c r="Y18" s="67"/>
      <c r="Z18" s="82"/>
      <c r="AA18" s="35"/>
      <c r="AB18" s="82"/>
      <c r="AC18" s="35"/>
      <c r="AD18" s="82"/>
      <c r="AE18" s="35"/>
      <c r="AF18" s="82"/>
      <c r="AG18" s="82"/>
      <c r="AH18" s="82"/>
      <c r="AI18" s="35"/>
      <c r="AJ18" s="68"/>
      <c r="AK18" s="35"/>
      <c r="AL18" s="659" t="s">
        <v>155</v>
      </c>
      <c r="AM18" s="574"/>
      <c r="AN18" s="574"/>
      <c r="AO18" s="573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124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</row>
    <row r="19" spans="2:71" ht="34.5" customHeight="1" x14ac:dyDescent="0.25">
      <c r="B19" s="626"/>
      <c r="D19" s="66"/>
      <c r="E19" s="66"/>
      <c r="F19" s="67"/>
      <c r="G19" s="66"/>
      <c r="H19" s="65"/>
      <c r="I19" s="67"/>
      <c r="J19" s="67"/>
      <c r="K19" s="67"/>
      <c r="L19" s="67"/>
      <c r="M19" s="67"/>
      <c r="N19" s="66"/>
      <c r="O19" s="66"/>
      <c r="P19" s="66"/>
      <c r="Q19" s="66"/>
      <c r="R19" s="67"/>
      <c r="S19" s="67"/>
      <c r="T19" s="67"/>
      <c r="U19" s="67"/>
      <c r="V19" s="67"/>
      <c r="W19" s="67"/>
      <c r="X19" s="67"/>
      <c r="Y19" s="67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124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</row>
    <row r="20" spans="2:71" ht="34.5" customHeight="1" x14ac:dyDescent="0.25">
      <c r="B20" s="626"/>
      <c r="D20" s="66"/>
      <c r="E20" s="66"/>
      <c r="F20" s="67"/>
      <c r="G20" s="66"/>
      <c r="H20" s="65"/>
      <c r="I20" s="67"/>
      <c r="J20" s="67"/>
      <c r="K20" s="67"/>
      <c r="L20" s="67"/>
      <c r="M20" s="67"/>
      <c r="N20" s="66"/>
      <c r="O20" s="66"/>
      <c r="P20" s="66"/>
      <c r="Q20" s="66"/>
      <c r="R20" s="67"/>
      <c r="S20" s="67"/>
      <c r="T20" s="67"/>
      <c r="U20" s="67"/>
      <c r="V20" s="91" t="s">
        <v>117</v>
      </c>
      <c r="W20" s="67"/>
      <c r="X20" s="635" t="s">
        <v>118</v>
      </c>
      <c r="Y20" s="672"/>
      <c r="Z20" s="35"/>
      <c r="AA20" s="634"/>
      <c r="AB20" s="610"/>
      <c r="AC20" s="135" t="s">
        <v>156</v>
      </c>
      <c r="AD20" s="637" t="s">
        <v>123</v>
      </c>
      <c r="AE20" s="574"/>
      <c r="AF20" s="574"/>
      <c r="AG20" s="573"/>
      <c r="AH20" s="107"/>
      <c r="AI20" s="107"/>
      <c r="AJ20" s="35"/>
      <c r="AK20" s="123" t="s">
        <v>144</v>
      </c>
      <c r="AL20" s="35"/>
      <c r="AM20" s="35"/>
      <c r="AN20" s="35"/>
      <c r="AO20" s="35"/>
      <c r="AP20" s="637" t="s">
        <v>145</v>
      </c>
      <c r="AQ20" s="574"/>
      <c r="AR20" s="573"/>
      <c r="AS20" s="35"/>
      <c r="AT20" s="35"/>
      <c r="AU20" s="35"/>
      <c r="AV20" s="35"/>
      <c r="AW20" s="35"/>
      <c r="AX20" s="35"/>
      <c r="AY20" s="35"/>
      <c r="AZ20" s="35"/>
      <c r="BA20" s="35"/>
      <c r="BB20" s="124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</row>
    <row r="21" spans="2:71" ht="34.5" customHeight="1" x14ac:dyDescent="0.25">
      <c r="B21" s="626"/>
      <c r="D21" s="66"/>
      <c r="E21" s="66"/>
      <c r="F21" s="67"/>
      <c r="G21" s="66"/>
      <c r="H21" s="65"/>
      <c r="I21" s="67"/>
      <c r="J21" s="67"/>
      <c r="K21" s="67"/>
      <c r="L21" s="67"/>
      <c r="M21" s="67"/>
      <c r="N21" s="66"/>
      <c r="O21" s="66"/>
      <c r="P21" s="66"/>
      <c r="Q21" s="66"/>
      <c r="R21" s="67"/>
      <c r="S21" s="67"/>
      <c r="T21" s="67"/>
      <c r="U21" s="67"/>
      <c r="V21" s="67"/>
      <c r="W21" s="67"/>
      <c r="X21" s="67"/>
      <c r="Y21" s="67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124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</row>
    <row r="22" spans="2:71" ht="34.5" customHeight="1" x14ac:dyDescent="0.25">
      <c r="B22" s="626"/>
      <c r="D22" s="66"/>
      <c r="E22" s="66"/>
      <c r="F22" s="67"/>
      <c r="G22" s="66"/>
      <c r="H22" s="65"/>
      <c r="I22" s="67"/>
      <c r="J22" s="67"/>
      <c r="K22" s="67"/>
      <c r="L22" s="67"/>
      <c r="M22" s="67"/>
      <c r="N22" s="66"/>
      <c r="O22" s="66"/>
      <c r="P22" s="66"/>
      <c r="Q22" s="66"/>
      <c r="R22" s="67"/>
      <c r="S22" s="67"/>
      <c r="T22" s="67"/>
      <c r="U22" s="67"/>
      <c r="V22" s="136" t="s">
        <v>157</v>
      </c>
      <c r="W22" s="67"/>
      <c r="X22" s="67"/>
      <c r="Y22" s="137" t="s">
        <v>158</v>
      </c>
      <c r="Z22" s="35"/>
      <c r="AA22" s="35"/>
      <c r="AB22" s="101" t="s">
        <v>159</v>
      </c>
      <c r="AC22" s="35"/>
      <c r="AD22" s="101" t="s">
        <v>122</v>
      </c>
      <c r="AE22" s="35"/>
      <c r="AF22" s="101" t="s">
        <v>122</v>
      </c>
      <c r="AG22" s="35"/>
      <c r="AH22" s="35"/>
      <c r="AI22" s="35"/>
      <c r="AJ22" s="660" t="s">
        <v>146</v>
      </c>
      <c r="AK22" s="573"/>
      <c r="AL22" s="68"/>
      <c r="AM22" s="35"/>
      <c r="AN22" s="35"/>
      <c r="AO22" s="35"/>
      <c r="AP22" s="660" t="s">
        <v>147</v>
      </c>
      <c r="AQ22" s="573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124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</row>
    <row r="23" spans="2:71" ht="34.5" customHeight="1" x14ac:dyDescent="0.25">
      <c r="B23" s="626"/>
      <c r="D23" s="66"/>
      <c r="E23" s="66"/>
      <c r="F23" s="67"/>
      <c r="G23" s="66"/>
      <c r="H23" s="65"/>
      <c r="I23" s="67"/>
      <c r="J23" s="67"/>
      <c r="K23" s="67"/>
      <c r="L23" s="67"/>
      <c r="M23" s="67"/>
      <c r="N23" s="66"/>
      <c r="O23" s="66"/>
      <c r="P23" s="66"/>
      <c r="Q23" s="66"/>
      <c r="R23" s="67"/>
      <c r="S23" s="67"/>
      <c r="T23" s="67"/>
      <c r="U23" s="67"/>
      <c r="V23" s="67"/>
      <c r="W23" s="67"/>
      <c r="X23" s="67"/>
      <c r="Y23" s="67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124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</row>
    <row r="24" spans="2:71" ht="34.5" customHeight="1" x14ac:dyDescent="0.25">
      <c r="B24" s="626"/>
      <c r="D24" s="66"/>
      <c r="E24" s="66"/>
      <c r="F24" s="67"/>
      <c r="G24" s="66"/>
      <c r="H24" s="65"/>
      <c r="I24" s="67"/>
      <c r="J24" s="67"/>
      <c r="K24" s="67"/>
      <c r="L24" s="67"/>
      <c r="M24" s="67"/>
      <c r="N24" s="66"/>
      <c r="O24" s="66"/>
      <c r="P24" s="66"/>
      <c r="Q24" s="66"/>
      <c r="R24" s="67"/>
      <c r="S24" s="67"/>
      <c r="T24" s="67"/>
      <c r="U24" s="67"/>
      <c r="V24" s="67"/>
      <c r="W24" s="67"/>
      <c r="X24" s="67"/>
      <c r="Y24" s="67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M24" s="35"/>
      <c r="AN24" s="35"/>
      <c r="AO24" s="82"/>
      <c r="AP24" s="661" t="s">
        <v>109</v>
      </c>
      <c r="AQ24" s="574"/>
      <c r="AR24" s="574"/>
      <c r="AS24" s="574"/>
      <c r="AT24" s="574"/>
      <c r="AU24" s="574"/>
      <c r="AV24" s="574"/>
      <c r="AW24" s="573"/>
      <c r="AX24" s="35"/>
      <c r="AY24" s="35"/>
      <c r="AZ24" s="35"/>
      <c r="BA24" s="35"/>
      <c r="BB24" s="124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</row>
    <row r="25" spans="2:71" ht="34.5" customHeight="1" x14ac:dyDescent="0.25">
      <c r="B25" s="626"/>
      <c r="D25" s="66"/>
      <c r="E25" s="66"/>
      <c r="F25" s="67"/>
      <c r="G25" s="66"/>
      <c r="H25" s="65"/>
      <c r="I25" s="67"/>
      <c r="J25" s="67"/>
      <c r="K25" s="67"/>
      <c r="L25" s="67"/>
      <c r="M25" s="67"/>
      <c r="N25" s="66"/>
      <c r="O25" s="66"/>
      <c r="P25" s="66"/>
      <c r="Q25" s="66"/>
      <c r="R25" s="67"/>
      <c r="S25" s="67"/>
      <c r="T25" s="67"/>
      <c r="U25" s="67"/>
      <c r="V25" s="67"/>
      <c r="W25" s="67"/>
      <c r="X25" s="67"/>
      <c r="Y25" s="67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124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</row>
    <row r="26" spans="2:71" ht="34.5" customHeight="1" x14ac:dyDescent="0.25">
      <c r="B26" s="626"/>
      <c r="D26" s="66"/>
      <c r="E26" s="66"/>
      <c r="F26" s="67"/>
      <c r="G26" s="66"/>
      <c r="H26" s="65"/>
      <c r="I26" s="67"/>
      <c r="J26" s="67"/>
      <c r="K26" s="67"/>
      <c r="L26" s="67"/>
      <c r="M26" s="67"/>
      <c r="N26" s="66"/>
      <c r="O26" s="66"/>
      <c r="P26" s="66"/>
      <c r="Q26" s="66"/>
      <c r="R26" s="67"/>
      <c r="S26" s="67"/>
      <c r="T26" s="67"/>
      <c r="U26" s="67"/>
      <c r="V26" s="67"/>
      <c r="W26" s="67"/>
      <c r="X26" s="67"/>
      <c r="Y26" s="67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O26" s="126"/>
      <c r="AP26" s="660" t="s">
        <v>110</v>
      </c>
      <c r="AQ26" s="574"/>
      <c r="AR26" s="574"/>
      <c r="AS26" s="574"/>
      <c r="AT26" s="574"/>
      <c r="AU26" s="573"/>
      <c r="AY26" s="35"/>
      <c r="AZ26" s="35"/>
      <c r="BA26" s="35"/>
      <c r="BB26" s="124"/>
      <c r="BC26" s="674"/>
      <c r="BD26" s="610"/>
      <c r="BE26" s="610"/>
      <c r="BF26" s="610"/>
      <c r="BG26" s="610"/>
      <c r="BH26" s="610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</row>
    <row r="27" spans="2:71" ht="34.5" customHeight="1" x14ac:dyDescent="0.25">
      <c r="B27" s="626"/>
      <c r="N27" s="13"/>
      <c r="O27" s="13"/>
      <c r="P27" s="13"/>
      <c r="Q27" s="13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124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</row>
    <row r="28" spans="2:71" ht="34.5" customHeight="1" x14ac:dyDescent="0.25">
      <c r="B28" s="626"/>
      <c r="D28" s="66"/>
      <c r="E28" s="66"/>
      <c r="F28" s="67"/>
      <c r="G28" s="66"/>
      <c r="H28" s="65"/>
      <c r="I28" s="67"/>
      <c r="J28" s="67"/>
      <c r="K28" s="67"/>
      <c r="L28" s="67"/>
      <c r="M28" s="67"/>
      <c r="N28" s="66"/>
      <c r="O28" s="66"/>
      <c r="P28" s="66"/>
      <c r="Q28" s="66"/>
      <c r="R28" s="67"/>
      <c r="S28" s="67"/>
      <c r="T28" s="67"/>
      <c r="U28" s="67"/>
      <c r="V28" s="67"/>
      <c r="W28" s="67"/>
      <c r="X28" s="67"/>
      <c r="Y28" s="67"/>
      <c r="Z28" s="35"/>
      <c r="AA28" s="35"/>
      <c r="AB28" s="35"/>
      <c r="AC28" s="35"/>
      <c r="AD28" s="35"/>
      <c r="AE28" s="35"/>
      <c r="AF28" s="35"/>
      <c r="AG28" s="35"/>
      <c r="AH28" s="88"/>
      <c r="AI28" s="88"/>
      <c r="AJ28" s="88"/>
      <c r="AK28" s="88"/>
      <c r="AL28" s="88"/>
      <c r="AM28" s="35"/>
      <c r="AN28" s="68"/>
      <c r="AO28" s="35"/>
      <c r="AP28" s="35"/>
      <c r="AS28" s="126"/>
      <c r="AT28" s="88"/>
      <c r="AU28" s="637" t="s">
        <v>111</v>
      </c>
      <c r="AV28" s="574"/>
      <c r="AW28" s="574"/>
      <c r="AX28" s="574"/>
      <c r="AY28" s="574"/>
      <c r="AZ28" s="574"/>
      <c r="BA28" s="574"/>
      <c r="BB28" s="651"/>
      <c r="BC28" s="88"/>
      <c r="BD28" s="88"/>
      <c r="BE28" s="88"/>
      <c r="BF28" s="88"/>
      <c r="BG28" s="88"/>
      <c r="BH28" s="88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</row>
    <row r="29" spans="2:71" ht="34.5" customHeight="1" x14ac:dyDescent="0.25">
      <c r="B29" s="626"/>
      <c r="D29" s="66"/>
      <c r="E29" s="66"/>
      <c r="F29" s="67"/>
      <c r="G29" s="66"/>
      <c r="H29" s="65"/>
      <c r="I29" s="67"/>
      <c r="J29" s="67"/>
      <c r="K29" s="67"/>
      <c r="L29" s="67"/>
      <c r="M29" s="67"/>
      <c r="N29" s="66"/>
      <c r="O29" s="66"/>
      <c r="P29" s="66"/>
      <c r="Q29" s="66"/>
      <c r="R29" s="67"/>
      <c r="S29" s="67"/>
      <c r="T29" s="67"/>
      <c r="U29" s="67"/>
      <c r="V29" s="67"/>
      <c r="W29" s="67"/>
      <c r="X29" s="67"/>
      <c r="Y29" s="67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124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</row>
    <row r="30" spans="2:71" ht="34.5" customHeight="1" x14ac:dyDescent="0.25">
      <c r="B30" s="626"/>
      <c r="D30" s="66"/>
      <c r="E30" s="66"/>
      <c r="F30" s="67"/>
      <c r="G30" s="66"/>
      <c r="H30" s="65"/>
      <c r="I30" s="67"/>
      <c r="J30" s="67"/>
      <c r="K30" s="67"/>
      <c r="L30" s="67"/>
      <c r="M30" s="67"/>
      <c r="N30" s="66"/>
      <c r="O30" s="66"/>
      <c r="P30" s="66"/>
      <c r="Q30" s="66"/>
      <c r="R30" s="67"/>
      <c r="S30" s="67"/>
      <c r="T30" s="67"/>
      <c r="U30" s="67"/>
      <c r="V30" s="67"/>
      <c r="W30" s="67"/>
      <c r="X30" s="67"/>
      <c r="Y30" s="67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124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</row>
    <row r="31" spans="2:71" ht="34.5" customHeight="1" x14ac:dyDescent="0.25">
      <c r="B31" s="626"/>
      <c r="D31" s="66"/>
      <c r="E31" s="66"/>
      <c r="F31" s="67"/>
      <c r="G31" s="66"/>
      <c r="H31" s="65"/>
      <c r="I31" s="67"/>
      <c r="J31" s="67"/>
      <c r="K31" s="67"/>
      <c r="L31" s="67"/>
      <c r="M31" s="67"/>
      <c r="N31" s="66"/>
      <c r="O31" s="66"/>
      <c r="P31" s="66"/>
      <c r="Q31" s="66"/>
      <c r="R31" s="67"/>
      <c r="S31" s="67"/>
      <c r="T31" s="67"/>
      <c r="U31" s="67"/>
      <c r="V31" s="67"/>
      <c r="W31" s="67"/>
      <c r="X31" s="67"/>
      <c r="Y31" s="67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138" t="s">
        <v>160</v>
      </c>
      <c r="AP31" s="35"/>
      <c r="AQ31" s="35"/>
      <c r="AR31" s="35"/>
      <c r="AS31" s="35"/>
      <c r="AT31" s="35"/>
      <c r="AU31" s="35"/>
      <c r="AV31" s="35"/>
      <c r="AW31" s="35"/>
      <c r="AX31" s="139" t="s">
        <v>161</v>
      </c>
      <c r="AY31" s="138" t="s">
        <v>162</v>
      </c>
      <c r="AZ31" s="35"/>
      <c r="BA31" s="35"/>
      <c r="BB31" s="124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</row>
    <row r="32" spans="2:71" ht="34.5" customHeight="1" x14ac:dyDescent="0.25">
      <c r="B32" s="626"/>
      <c r="D32" s="66"/>
      <c r="E32" s="66"/>
      <c r="F32" s="67"/>
      <c r="G32" s="66"/>
      <c r="H32" s="65"/>
      <c r="I32" s="67"/>
      <c r="J32" s="67"/>
      <c r="K32" s="67"/>
      <c r="L32" s="67"/>
      <c r="M32" s="67"/>
      <c r="N32" s="66"/>
      <c r="O32" s="66"/>
      <c r="P32" s="66"/>
      <c r="Q32" s="66"/>
      <c r="R32" s="67"/>
      <c r="S32" s="67"/>
      <c r="T32" s="67"/>
      <c r="U32" s="67"/>
      <c r="V32" s="67"/>
      <c r="W32" s="67"/>
      <c r="X32" s="67"/>
      <c r="Y32" s="67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124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</row>
    <row r="33" spans="2:71" ht="34.5" customHeight="1" x14ac:dyDescent="0.25">
      <c r="B33" s="627"/>
      <c r="C33" s="24"/>
      <c r="D33" s="140"/>
      <c r="E33" s="140"/>
      <c r="F33" s="141"/>
      <c r="G33" s="140"/>
      <c r="H33" s="142"/>
      <c r="I33" s="141"/>
      <c r="J33" s="141"/>
      <c r="K33" s="141"/>
      <c r="L33" s="141"/>
      <c r="M33" s="141"/>
      <c r="N33" s="140"/>
      <c r="O33" s="140"/>
      <c r="P33" s="140"/>
      <c r="Q33" s="140"/>
      <c r="R33" s="141"/>
      <c r="S33" s="141"/>
      <c r="T33" s="141"/>
      <c r="U33" s="141"/>
      <c r="V33" s="141"/>
      <c r="W33" s="141"/>
      <c r="X33" s="141"/>
      <c r="Y33" s="141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4"/>
      <c r="AM33" s="93"/>
      <c r="AN33" s="94"/>
      <c r="AO33" s="93"/>
      <c r="AP33" s="93"/>
      <c r="AQ33" s="93"/>
      <c r="AR33" s="93"/>
      <c r="AS33" s="93"/>
      <c r="AT33" s="93"/>
      <c r="AU33" s="93"/>
      <c r="AV33" s="93"/>
      <c r="AW33" s="24"/>
      <c r="AX33" s="93"/>
      <c r="AY33" s="93"/>
      <c r="AZ33" s="143" t="s">
        <v>163</v>
      </c>
      <c r="BA33" s="93"/>
      <c r="BB33" s="144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</row>
    <row r="34" spans="2:71" ht="27.75" customHeight="1" x14ac:dyDescent="0.25">
      <c r="B34" s="14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</row>
    <row r="35" spans="2:71" ht="31.5" customHeight="1" x14ac:dyDescent="0.25">
      <c r="D35" s="66"/>
      <c r="E35" s="66"/>
      <c r="F35" s="67"/>
      <c r="G35" s="66"/>
      <c r="H35" s="66"/>
      <c r="I35" s="67"/>
      <c r="J35" s="67"/>
      <c r="K35" s="67"/>
      <c r="L35" s="67"/>
      <c r="M35" s="67"/>
      <c r="N35" s="96"/>
      <c r="O35" s="96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</row>
    <row r="36" spans="2:71" ht="34.5" customHeight="1" x14ac:dyDescent="0.25">
      <c r="B36" s="625" t="s">
        <v>164</v>
      </c>
      <c r="C36" s="63"/>
      <c r="D36" s="128"/>
      <c r="E36" s="128"/>
      <c r="F36" s="129"/>
      <c r="G36" s="128"/>
      <c r="H36" s="128"/>
      <c r="I36" s="129"/>
      <c r="J36" s="129"/>
      <c r="K36" s="129"/>
      <c r="L36" s="129"/>
      <c r="M36" s="129"/>
      <c r="N36" s="146"/>
      <c r="O36" s="146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47" t="s">
        <v>165</v>
      </c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2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</row>
    <row r="37" spans="2:71" ht="34.5" customHeight="1" x14ac:dyDescent="0.25">
      <c r="B37" s="626"/>
      <c r="D37" s="66"/>
      <c r="E37" s="66"/>
      <c r="F37" s="67"/>
      <c r="G37" s="66"/>
      <c r="H37" s="66"/>
      <c r="I37" s="67"/>
      <c r="J37" s="67"/>
      <c r="K37" s="67"/>
      <c r="L37" s="67"/>
      <c r="M37" s="67"/>
      <c r="N37" s="96"/>
      <c r="O37" s="96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82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124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</row>
    <row r="38" spans="2:71" ht="34.5" customHeight="1" x14ac:dyDescent="0.25">
      <c r="B38" s="626"/>
      <c r="D38" s="66"/>
      <c r="E38" s="66"/>
      <c r="F38" s="67"/>
      <c r="G38" s="66"/>
      <c r="H38" s="66"/>
      <c r="I38" s="67"/>
      <c r="J38" s="67"/>
      <c r="K38" s="67"/>
      <c r="L38" s="67"/>
      <c r="M38" s="67"/>
      <c r="N38" s="96"/>
      <c r="O38" s="96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35"/>
      <c r="AA38" s="35"/>
      <c r="AB38" s="35"/>
      <c r="AC38" s="35"/>
      <c r="AD38" s="669" t="s">
        <v>152</v>
      </c>
      <c r="AE38" s="574"/>
      <c r="AF38" s="574"/>
      <c r="AG38" s="574"/>
      <c r="AH38" s="574"/>
      <c r="AI38" s="574"/>
      <c r="AJ38" s="574"/>
      <c r="AK38" s="574"/>
      <c r="AL38" s="574"/>
      <c r="AM38" s="574"/>
      <c r="AN38" s="574"/>
      <c r="AO38" s="574"/>
      <c r="AP38" s="574"/>
      <c r="AQ38" s="574"/>
      <c r="AR38" s="574"/>
      <c r="AS38" s="573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124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</row>
    <row r="39" spans="2:71" ht="34.5" customHeight="1" x14ac:dyDescent="0.25">
      <c r="B39" s="626"/>
      <c r="D39" s="66"/>
      <c r="E39" s="66"/>
      <c r="F39" s="67"/>
      <c r="G39" s="66"/>
      <c r="H39" s="66"/>
      <c r="I39" s="67"/>
      <c r="J39" s="67"/>
      <c r="K39" s="67"/>
      <c r="L39" s="67"/>
      <c r="M39" s="67"/>
      <c r="N39" s="96"/>
      <c r="O39" s="96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124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</row>
    <row r="40" spans="2:71" ht="34.5" customHeight="1" x14ac:dyDescent="0.25">
      <c r="B40" s="626"/>
      <c r="D40" s="66"/>
      <c r="E40" s="66"/>
      <c r="F40" s="67"/>
      <c r="G40" s="66"/>
      <c r="H40" s="66"/>
      <c r="I40" s="67"/>
      <c r="J40" s="67"/>
      <c r="K40" s="67"/>
      <c r="L40" s="67"/>
      <c r="M40" s="67"/>
      <c r="N40" s="96"/>
      <c r="O40" s="96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35"/>
      <c r="AA40" s="673" t="s">
        <v>166</v>
      </c>
      <c r="AB40" s="573"/>
      <c r="AC40" s="673" t="s">
        <v>34</v>
      </c>
      <c r="AD40" s="574"/>
      <c r="AE40" s="574"/>
      <c r="AF40" s="574"/>
      <c r="AG40" s="574"/>
      <c r="AH40" s="574"/>
      <c r="AI40" s="574"/>
      <c r="AJ40" s="574"/>
      <c r="AK40" s="574"/>
      <c r="AL40" s="574"/>
      <c r="AM40" s="574"/>
      <c r="AN40" s="574"/>
      <c r="AO40" s="574"/>
      <c r="AP40" s="574"/>
      <c r="AQ40" s="573"/>
      <c r="AR40" s="148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124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</row>
    <row r="41" spans="2:71" ht="34.5" customHeight="1" x14ac:dyDescent="0.25">
      <c r="B41" s="626"/>
      <c r="D41" s="66"/>
      <c r="E41" s="66"/>
      <c r="F41" s="67"/>
      <c r="G41" s="66"/>
      <c r="H41" s="66"/>
      <c r="I41" s="67"/>
      <c r="J41" s="67"/>
      <c r="K41" s="67"/>
      <c r="L41" s="67"/>
      <c r="M41" s="67"/>
      <c r="N41" s="96"/>
      <c r="O41" s="96"/>
      <c r="P41" s="96"/>
      <c r="Q41" s="96"/>
      <c r="R41" s="67"/>
      <c r="S41" s="67"/>
      <c r="T41" s="67"/>
      <c r="U41" s="67"/>
      <c r="V41" s="67"/>
      <c r="W41" s="67"/>
      <c r="X41" s="67"/>
      <c r="Y41" s="67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124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</row>
    <row r="42" spans="2:71" ht="34.5" customHeight="1" x14ac:dyDescent="0.25">
      <c r="B42" s="626"/>
      <c r="D42" s="66"/>
      <c r="E42" s="66"/>
      <c r="F42" s="67"/>
      <c r="G42" s="66"/>
      <c r="H42" s="66"/>
      <c r="I42" s="67"/>
      <c r="J42" s="67"/>
      <c r="K42" s="67"/>
      <c r="L42" s="67"/>
      <c r="M42" s="67"/>
      <c r="N42" s="96"/>
      <c r="O42" s="96"/>
      <c r="P42" s="96"/>
      <c r="Q42" s="96"/>
      <c r="R42" s="67"/>
      <c r="S42" s="67"/>
      <c r="T42" s="67"/>
      <c r="U42" s="67"/>
      <c r="V42" s="67"/>
      <c r="W42" s="67"/>
      <c r="X42" s="67"/>
      <c r="Y42" s="67"/>
      <c r="Z42" s="35"/>
      <c r="AA42" s="35"/>
      <c r="AB42" s="35"/>
      <c r="AC42" s="35"/>
      <c r="AD42" s="35"/>
      <c r="AE42" s="35"/>
      <c r="AF42" s="35"/>
      <c r="AG42" s="35"/>
      <c r="AH42" s="35"/>
      <c r="AI42" s="82"/>
      <c r="AJ42" s="35"/>
      <c r="AK42" s="82"/>
      <c r="AL42" s="82"/>
      <c r="AM42" s="82"/>
      <c r="AN42" s="35"/>
      <c r="AO42" s="68"/>
      <c r="AP42" s="35"/>
      <c r="AQ42" s="659" t="s">
        <v>155</v>
      </c>
      <c r="AR42" s="574"/>
      <c r="AS42" s="574"/>
      <c r="AT42" s="573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124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</row>
    <row r="43" spans="2:71" ht="34.5" customHeight="1" x14ac:dyDescent="0.25">
      <c r="B43" s="626"/>
      <c r="D43" s="66"/>
      <c r="E43" s="66"/>
      <c r="F43" s="67"/>
      <c r="G43" s="66"/>
      <c r="H43" s="66"/>
      <c r="I43" s="67"/>
      <c r="J43" s="67"/>
      <c r="K43" s="67"/>
      <c r="L43" s="67"/>
      <c r="M43" s="67"/>
      <c r="N43" s="96"/>
      <c r="O43" s="96"/>
      <c r="P43" s="96"/>
      <c r="Q43" s="96"/>
      <c r="R43" s="67"/>
      <c r="S43" s="67"/>
      <c r="T43" s="67"/>
      <c r="U43" s="67"/>
      <c r="V43" s="67"/>
      <c r="W43" s="67"/>
      <c r="X43" s="67"/>
      <c r="Y43" s="67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124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</row>
    <row r="44" spans="2:71" ht="34.5" customHeight="1" x14ac:dyDescent="0.25">
      <c r="B44" s="626"/>
      <c r="D44" s="66"/>
      <c r="E44" s="66"/>
      <c r="F44" s="67"/>
      <c r="G44" s="66"/>
      <c r="H44" s="66"/>
      <c r="I44" s="67"/>
      <c r="J44" s="67"/>
      <c r="K44" s="67"/>
      <c r="L44" s="67"/>
      <c r="M44" s="67"/>
      <c r="N44" s="96"/>
      <c r="O44" s="96"/>
      <c r="P44" s="96"/>
      <c r="Q44" s="96"/>
      <c r="R44" s="67"/>
      <c r="S44" s="67"/>
      <c r="T44" s="67"/>
      <c r="U44" s="67"/>
      <c r="V44" s="67"/>
      <c r="W44" s="67"/>
      <c r="X44" s="67"/>
      <c r="Y44" s="67"/>
      <c r="Z44" s="35"/>
      <c r="AA44" s="35"/>
      <c r="AB44" s="35"/>
      <c r="AC44" s="35"/>
      <c r="AD44" s="35"/>
      <c r="AE44" s="35"/>
      <c r="AF44" s="35"/>
      <c r="AG44" s="35"/>
      <c r="AH44" s="35"/>
      <c r="AI44" s="637" t="s">
        <v>123</v>
      </c>
      <c r="AJ44" s="574"/>
      <c r="AK44" s="574"/>
      <c r="AL44" s="573"/>
      <c r="AM44" s="107"/>
      <c r="AN44" s="107"/>
      <c r="AO44" s="35"/>
      <c r="AP44" s="123" t="s">
        <v>144</v>
      </c>
      <c r="AQ44" s="35"/>
      <c r="AR44" s="35"/>
      <c r="AS44" s="35"/>
      <c r="AT44" s="35"/>
      <c r="AU44" s="637" t="s">
        <v>145</v>
      </c>
      <c r="AV44" s="574"/>
      <c r="AW44" s="573"/>
      <c r="AX44" s="35"/>
      <c r="AY44" s="35"/>
      <c r="AZ44" s="35"/>
      <c r="BA44" s="35"/>
      <c r="BB44" s="35"/>
      <c r="BC44" s="35"/>
      <c r="BD44" s="35"/>
      <c r="BE44" s="35"/>
      <c r="BF44" s="35"/>
      <c r="BG44" s="124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</row>
    <row r="45" spans="2:71" ht="34.5" customHeight="1" x14ac:dyDescent="0.25">
      <c r="B45" s="626"/>
      <c r="D45" s="49"/>
      <c r="E45" s="49"/>
      <c r="G45" s="49"/>
      <c r="H45" s="49"/>
      <c r="N45" s="13"/>
      <c r="O45" s="13"/>
      <c r="P45" s="13"/>
      <c r="Q45" s="13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124"/>
    </row>
    <row r="46" spans="2:71" ht="34.5" customHeight="1" x14ac:dyDescent="0.25">
      <c r="B46" s="626"/>
      <c r="D46" s="49"/>
      <c r="E46" s="49"/>
      <c r="G46" s="49"/>
      <c r="H46" s="49"/>
      <c r="N46" s="13"/>
      <c r="O46" s="13"/>
      <c r="P46" s="13"/>
      <c r="Q46" s="13"/>
      <c r="AI46" s="101" t="s">
        <v>122</v>
      </c>
      <c r="AJ46" s="35"/>
      <c r="AK46" s="101" t="s">
        <v>122</v>
      </c>
      <c r="AL46" s="35"/>
      <c r="AM46" s="35"/>
      <c r="AN46" s="35"/>
      <c r="AO46" s="660" t="s">
        <v>146</v>
      </c>
      <c r="AP46" s="573"/>
      <c r="AQ46" s="68"/>
      <c r="AR46" s="35"/>
      <c r="AS46" s="35"/>
      <c r="AT46" s="35"/>
      <c r="AU46" s="660" t="s">
        <v>147</v>
      </c>
      <c r="AV46" s="573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124"/>
    </row>
    <row r="47" spans="2:71" ht="34.5" customHeight="1" x14ac:dyDescent="0.25">
      <c r="B47" s="626"/>
      <c r="D47" s="49"/>
      <c r="E47" s="49"/>
      <c r="G47" s="49"/>
      <c r="H47" s="49"/>
      <c r="N47" s="13"/>
      <c r="O47" s="13"/>
      <c r="P47" s="13"/>
      <c r="Q47" s="13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124"/>
    </row>
    <row r="48" spans="2:71" ht="34.5" customHeight="1" x14ac:dyDescent="0.25">
      <c r="B48" s="626"/>
      <c r="D48" s="49"/>
      <c r="E48" s="49"/>
      <c r="G48" s="49"/>
      <c r="H48" s="49"/>
      <c r="N48" s="13"/>
      <c r="O48" s="13"/>
      <c r="P48" s="13"/>
      <c r="Q48" s="13"/>
      <c r="AI48" s="35"/>
      <c r="AJ48" s="35"/>
      <c r="AK48" s="35"/>
      <c r="AL48" s="35"/>
      <c r="AM48" s="35"/>
      <c r="AN48" s="35"/>
      <c r="AO48" s="35"/>
      <c r="AP48" s="35"/>
      <c r="AR48" s="35"/>
      <c r="AS48" s="35"/>
      <c r="AT48" s="82"/>
      <c r="AU48" s="661" t="s">
        <v>109</v>
      </c>
      <c r="AV48" s="574"/>
      <c r="AW48" s="574"/>
      <c r="AX48" s="574"/>
      <c r="AY48" s="574"/>
      <c r="AZ48" s="574"/>
      <c r="BA48" s="574"/>
      <c r="BB48" s="573"/>
      <c r="BC48" s="35"/>
      <c r="BD48" s="35"/>
      <c r="BE48" s="35"/>
      <c r="BF48" s="35"/>
      <c r="BG48" s="124"/>
    </row>
    <row r="49" spans="2:80" ht="34.5" customHeight="1" x14ac:dyDescent="0.25">
      <c r="B49" s="626"/>
      <c r="D49" s="49"/>
      <c r="E49" s="49"/>
      <c r="G49" s="49"/>
      <c r="H49" s="49"/>
      <c r="N49" s="13"/>
      <c r="O49" s="13"/>
      <c r="P49" s="13"/>
      <c r="Q49" s="13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124"/>
    </row>
    <row r="50" spans="2:80" ht="34.5" customHeight="1" x14ac:dyDescent="0.25">
      <c r="B50" s="626"/>
      <c r="D50" s="49"/>
      <c r="E50" s="49"/>
      <c r="G50" s="49"/>
      <c r="H50" s="49"/>
      <c r="N50" s="13"/>
      <c r="O50" s="13"/>
      <c r="P50" s="13"/>
      <c r="Q50" s="13"/>
      <c r="AI50" s="35"/>
      <c r="AJ50" s="35"/>
      <c r="AK50" s="35"/>
      <c r="AL50" s="35"/>
      <c r="AM50" s="35"/>
      <c r="AN50" s="35"/>
      <c r="AO50" s="35"/>
      <c r="AP50" s="35"/>
      <c r="AT50" s="126"/>
      <c r="AU50" s="660" t="s">
        <v>110</v>
      </c>
      <c r="AV50" s="574"/>
      <c r="AW50" s="574"/>
      <c r="AX50" s="574"/>
      <c r="AY50" s="574"/>
      <c r="AZ50" s="573"/>
      <c r="BD50" s="35"/>
      <c r="BE50" s="35"/>
      <c r="BF50" s="35"/>
      <c r="BG50" s="124"/>
    </row>
    <row r="51" spans="2:80" ht="34.5" customHeight="1" x14ac:dyDescent="0.25">
      <c r="B51" s="626"/>
      <c r="D51" s="49"/>
      <c r="E51" s="49"/>
      <c r="G51" s="49"/>
      <c r="H51" s="49"/>
      <c r="N51" s="13"/>
      <c r="O51" s="13"/>
      <c r="P51" s="13"/>
      <c r="Q51" s="13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124"/>
    </row>
    <row r="52" spans="2:80" ht="34.5" customHeight="1" x14ac:dyDescent="0.25">
      <c r="B52" s="626"/>
      <c r="D52" s="49"/>
      <c r="E52" s="49"/>
      <c r="G52" s="49"/>
      <c r="H52" s="49"/>
      <c r="N52" s="13"/>
      <c r="O52" s="13"/>
      <c r="P52" s="13"/>
      <c r="Q52" s="13"/>
      <c r="AI52" s="35"/>
      <c r="AJ52" s="35"/>
      <c r="AK52" s="35"/>
      <c r="AL52" s="35"/>
      <c r="AM52" s="88"/>
      <c r="AN52" s="88"/>
      <c r="AO52" s="88"/>
      <c r="AP52" s="88"/>
      <c r="AQ52" s="88"/>
      <c r="AR52" s="35"/>
      <c r="AS52" s="68"/>
      <c r="AT52" s="35"/>
      <c r="AU52" s="35"/>
      <c r="AX52" s="126"/>
      <c r="AY52" s="88"/>
      <c r="AZ52" s="637" t="s">
        <v>111</v>
      </c>
      <c r="BA52" s="574"/>
      <c r="BB52" s="574"/>
      <c r="BC52" s="574"/>
      <c r="BD52" s="574"/>
      <c r="BE52" s="574"/>
      <c r="BF52" s="574"/>
      <c r="BG52" s="651"/>
    </row>
    <row r="53" spans="2:80" ht="34.5" customHeight="1" x14ac:dyDescent="0.25">
      <c r="B53" s="626"/>
      <c r="D53" s="49"/>
      <c r="E53" s="49"/>
      <c r="G53" s="49"/>
      <c r="H53" s="49"/>
      <c r="N53" s="13"/>
      <c r="O53" s="13"/>
      <c r="P53" s="13"/>
      <c r="Q53" s="13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124"/>
    </row>
    <row r="54" spans="2:80" ht="34.5" customHeight="1" x14ac:dyDescent="0.25">
      <c r="B54" s="626"/>
      <c r="D54" s="49"/>
      <c r="E54" s="49"/>
      <c r="G54" s="49"/>
      <c r="H54" s="49"/>
      <c r="N54" s="13"/>
      <c r="O54" s="13"/>
      <c r="P54" s="13"/>
      <c r="Q54" s="13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124"/>
    </row>
    <row r="55" spans="2:80" ht="34.5" customHeight="1" x14ac:dyDescent="0.25">
      <c r="B55" s="626"/>
      <c r="D55" s="49"/>
      <c r="E55" s="49"/>
      <c r="G55" s="49"/>
      <c r="H55" s="49"/>
      <c r="N55" s="13"/>
      <c r="O55" s="13"/>
      <c r="P55" s="13"/>
      <c r="Q55" s="13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138" t="s">
        <v>160</v>
      </c>
      <c r="AU55" s="35"/>
      <c r="AV55" s="35"/>
      <c r="AW55" s="35"/>
      <c r="AX55" s="35"/>
      <c r="AY55" s="35"/>
      <c r="AZ55" s="35"/>
      <c r="BA55" s="35"/>
      <c r="BB55" s="35"/>
      <c r="BC55" s="139" t="s">
        <v>161</v>
      </c>
      <c r="BD55" s="138" t="s">
        <v>162</v>
      </c>
      <c r="BE55" s="35"/>
      <c r="BF55" s="35"/>
      <c r="BG55" s="124"/>
    </row>
    <row r="56" spans="2:80" ht="34.5" customHeight="1" x14ac:dyDescent="0.25">
      <c r="B56" s="626"/>
      <c r="D56" s="49"/>
      <c r="E56" s="49"/>
      <c r="G56" s="49"/>
      <c r="H56" s="49"/>
      <c r="N56" s="13"/>
      <c r="O56" s="13"/>
      <c r="P56" s="13"/>
      <c r="Q56" s="13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124"/>
    </row>
    <row r="57" spans="2:80" ht="34.5" customHeight="1" x14ac:dyDescent="0.25">
      <c r="B57" s="627"/>
      <c r="C57" s="24"/>
      <c r="D57" s="109"/>
      <c r="E57" s="109"/>
      <c r="F57" s="24"/>
      <c r="G57" s="109"/>
      <c r="H57" s="109"/>
      <c r="I57" s="24"/>
      <c r="J57" s="24"/>
      <c r="K57" s="24"/>
      <c r="L57" s="24"/>
      <c r="M57" s="24"/>
      <c r="N57" s="110"/>
      <c r="O57" s="110"/>
      <c r="P57" s="110"/>
      <c r="Q57" s="110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93"/>
      <c r="AJ57" s="93"/>
      <c r="AK57" s="93"/>
      <c r="AL57" s="93"/>
      <c r="AM57" s="93"/>
      <c r="AN57" s="93"/>
      <c r="AO57" s="93"/>
      <c r="AP57" s="93"/>
      <c r="AQ57" s="94"/>
      <c r="AR57" s="93"/>
      <c r="AS57" s="94"/>
      <c r="AT57" s="93"/>
      <c r="AU57" s="93"/>
      <c r="AV57" s="93"/>
      <c r="AW57" s="93"/>
      <c r="AX57" s="93"/>
      <c r="AY57" s="93"/>
      <c r="AZ57" s="93"/>
      <c r="BA57" s="93"/>
      <c r="BB57" s="24"/>
      <c r="BC57" s="93"/>
      <c r="BD57" s="93"/>
      <c r="BE57" s="143" t="s">
        <v>163</v>
      </c>
      <c r="BF57" s="93"/>
      <c r="BG57" s="144"/>
    </row>
    <row r="58" spans="2:80" ht="14.25" customHeight="1" x14ac:dyDescent="0.25">
      <c r="D58" s="49"/>
      <c r="E58" s="49"/>
      <c r="G58" s="49"/>
      <c r="H58" s="49"/>
      <c r="N58" s="13"/>
      <c r="O58" s="13"/>
      <c r="P58" s="13"/>
      <c r="Q58" s="13"/>
    </row>
    <row r="59" spans="2:80" ht="34.5" customHeight="1" x14ac:dyDescent="0.25">
      <c r="B59" s="625" t="s">
        <v>164</v>
      </c>
      <c r="D59" s="49"/>
      <c r="E59" s="49"/>
      <c r="G59" s="49"/>
      <c r="H59" s="49"/>
      <c r="N59" s="13"/>
      <c r="O59" s="13"/>
      <c r="P59" s="13"/>
      <c r="Q59" s="13"/>
    </row>
    <row r="60" spans="2:80" ht="34.5" customHeight="1" x14ac:dyDescent="0.25">
      <c r="B60" s="626"/>
      <c r="D60" s="49"/>
      <c r="E60" s="49"/>
      <c r="G60" s="49"/>
      <c r="H60" s="49"/>
      <c r="N60" s="13"/>
      <c r="O60" s="13"/>
      <c r="P60" s="13"/>
      <c r="Q60" s="13"/>
    </row>
    <row r="61" spans="2:80" ht="34.5" customHeight="1" x14ac:dyDescent="0.25">
      <c r="B61" s="626"/>
      <c r="D61" s="49"/>
      <c r="E61" s="49"/>
      <c r="G61" s="49"/>
      <c r="H61" s="49"/>
      <c r="N61" s="13"/>
      <c r="O61" s="13"/>
      <c r="P61" s="13"/>
      <c r="Q61" s="13"/>
    </row>
    <row r="62" spans="2:80" ht="34.5" customHeight="1" x14ac:dyDescent="0.25">
      <c r="B62" s="626"/>
      <c r="D62" s="49"/>
      <c r="E62" s="49"/>
      <c r="G62" s="49"/>
      <c r="H62" s="49"/>
      <c r="N62" s="13"/>
      <c r="O62" s="13"/>
      <c r="P62" s="13"/>
      <c r="Q62" s="13"/>
    </row>
    <row r="63" spans="2:80" ht="34.5" customHeight="1" x14ac:dyDescent="0.25">
      <c r="B63" s="626"/>
      <c r="D63" s="49"/>
      <c r="E63" s="49"/>
      <c r="G63" s="49"/>
      <c r="H63" s="49"/>
      <c r="N63" s="13"/>
      <c r="O63" s="13"/>
      <c r="P63" s="13"/>
      <c r="Q63" s="13"/>
      <c r="AD63" s="35"/>
      <c r="AE63" s="35"/>
      <c r="AF63" s="35"/>
      <c r="AG63" s="35"/>
      <c r="AH63" s="82"/>
      <c r="AI63" s="670" t="s">
        <v>167</v>
      </c>
      <c r="AJ63" s="649"/>
      <c r="AK63" s="649"/>
      <c r="AL63" s="649"/>
      <c r="AM63" s="649"/>
      <c r="AN63" s="649"/>
      <c r="AO63" s="649"/>
      <c r="AP63" s="649"/>
      <c r="AQ63" s="649"/>
      <c r="AR63" s="649"/>
      <c r="AS63" s="649"/>
      <c r="AT63" s="649"/>
      <c r="AU63" s="649"/>
      <c r="AV63" s="649"/>
      <c r="AW63" s="649"/>
      <c r="AX63" s="649"/>
      <c r="AY63" s="649"/>
      <c r="AZ63" s="649"/>
      <c r="BA63" s="649"/>
      <c r="BB63" s="649"/>
      <c r="BC63" s="649"/>
      <c r="BD63" s="649"/>
      <c r="BE63" s="649"/>
      <c r="BF63" s="649"/>
      <c r="BG63" s="649"/>
      <c r="BH63" s="649"/>
      <c r="BI63" s="649"/>
      <c r="BJ63" s="649"/>
      <c r="BK63" s="649"/>
      <c r="BL63" s="671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122"/>
    </row>
    <row r="64" spans="2:80" ht="34.5" customHeight="1" x14ac:dyDescent="0.25">
      <c r="B64" s="626"/>
      <c r="D64" s="49"/>
      <c r="E64" s="49"/>
      <c r="G64" s="49"/>
      <c r="H64" s="49"/>
      <c r="N64" s="13"/>
      <c r="O64" s="13"/>
      <c r="P64" s="13"/>
      <c r="Q64" s="13"/>
      <c r="AI64" s="20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124"/>
    </row>
    <row r="65" spans="2:80" ht="34.5" customHeight="1" x14ac:dyDescent="0.25">
      <c r="B65" s="626"/>
      <c r="D65" s="49"/>
      <c r="E65" s="49"/>
      <c r="G65" s="49"/>
      <c r="H65" s="49"/>
      <c r="N65" s="13"/>
      <c r="O65" s="13"/>
      <c r="P65" s="13"/>
      <c r="Q65" s="13"/>
      <c r="AI65" s="20"/>
      <c r="BD65" s="82"/>
      <c r="BE65" s="35"/>
      <c r="BF65" s="82"/>
      <c r="BG65" s="82"/>
      <c r="BH65" s="82"/>
      <c r="BI65" s="35"/>
      <c r="BJ65" s="68"/>
      <c r="BK65" s="35"/>
      <c r="BL65" s="659" t="s">
        <v>155</v>
      </c>
      <c r="BM65" s="574"/>
      <c r="BN65" s="574"/>
      <c r="BO65" s="573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124"/>
    </row>
    <row r="66" spans="2:80" ht="34.5" customHeight="1" x14ac:dyDescent="0.25">
      <c r="B66" s="626"/>
      <c r="D66" s="49"/>
      <c r="E66" s="49"/>
      <c r="G66" s="49"/>
      <c r="H66" s="49"/>
      <c r="N66" s="13"/>
      <c r="O66" s="13"/>
      <c r="P66" s="13"/>
      <c r="Q66" s="13"/>
      <c r="AI66" s="20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124"/>
    </row>
    <row r="67" spans="2:80" ht="34.5" customHeight="1" x14ac:dyDescent="0.25">
      <c r="B67" s="626"/>
      <c r="D67" s="49"/>
      <c r="E67" s="49"/>
      <c r="G67" s="49"/>
      <c r="H67" s="49"/>
      <c r="N67" s="13"/>
      <c r="O67" s="13"/>
      <c r="P67" s="13"/>
      <c r="Q67" s="13"/>
      <c r="AI67" s="20"/>
      <c r="BD67" s="637" t="s">
        <v>123</v>
      </c>
      <c r="BE67" s="574"/>
      <c r="BF67" s="574"/>
      <c r="BG67" s="573"/>
      <c r="BH67" s="107"/>
      <c r="BI67" s="107"/>
      <c r="BJ67" s="35"/>
      <c r="BK67" s="123" t="s">
        <v>144</v>
      </c>
      <c r="BL67" s="35"/>
      <c r="BM67" s="35"/>
      <c r="BN67" s="35"/>
      <c r="BO67" s="35"/>
      <c r="BQ67" s="637" t="s">
        <v>145</v>
      </c>
      <c r="BR67" s="574"/>
      <c r="BS67" s="573"/>
      <c r="BT67" s="35"/>
      <c r="BU67" s="35"/>
      <c r="BV67" s="35"/>
      <c r="BW67" s="35"/>
      <c r="BX67" s="35"/>
      <c r="BY67" s="35"/>
      <c r="BZ67" s="35"/>
      <c r="CA67" s="35"/>
      <c r="CB67" s="124"/>
    </row>
    <row r="68" spans="2:80" ht="34.5" customHeight="1" x14ac:dyDescent="0.25">
      <c r="B68" s="626"/>
      <c r="D68" s="49"/>
      <c r="E68" s="49"/>
      <c r="G68" s="49"/>
      <c r="H68" s="49"/>
      <c r="N68" s="13"/>
      <c r="O68" s="13"/>
      <c r="P68" s="13"/>
      <c r="Q68" s="13"/>
      <c r="AI68" s="20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124"/>
    </row>
    <row r="69" spans="2:80" ht="34.5" customHeight="1" x14ac:dyDescent="0.25">
      <c r="B69" s="626"/>
      <c r="D69" s="49"/>
      <c r="E69" s="49"/>
      <c r="G69" s="49"/>
      <c r="H69" s="49"/>
      <c r="N69" s="13"/>
      <c r="O69" s="13"/>
      <c r="P69" s="13"/>
      <c r="Q69" s="13"/>
      <c r="AI69" s="20"/>
      <c r="BD69" s="101" t="s">
        <v>122</v>
      </c>
      <c r="BE69" s="35"/>
      <c r="BF69" s="101" t="s">
        <v>122</v>
      </c>
      <c r="BG69" s="35"/>
      <c r="BH69" s="35"/>
      <c r="BI69" s="35"/>
      <c r="BJ69" s="660" t="s">
        <v>146</v>
      </c>
      <c r="BK69" s="573"/>
      <c r="BL69" s="68"/>
      <c r="BM69" s="35"/>
      <c r="BN69" s="35"/>
      <c r="BO69" s="35"/>
      <c r="BQ69" s="660" t="s">
        <v>147</v>
      </c>
      <c r="BR69" s="573"/>
      <c r="BS69" s="35"/>
      <c r="BT69" s="35"/>
      <c r="BU69" s="35"/>
      <c r="BV69" s="35"/>
      <c r="BW69" s="35"/>
      <c r="BX69" s="35"/>
      <c r="BY69" s="35"/>
      <c r="BZ69" s="35"/>
      <c r="CA69" s="35"/>
      <c r="CB69" s="124"/>
    </row>
    <row r="70" spans="2:80" ht="34.5" customHeight="1" x14ac:dyDescent="0.25">
      <c r="B70" s="626"/>
      <c r="D70" s="49"/>
      <c r="E70" s="49"/>
      <c r="G70" s="49"/>
      <c r="H70" s="49"/>
      <c r="N70" s="13"/>
      <c r="O70" s="13"/>
      <c r="P70" s="13"/>
      <c r="Q70" s="13"/>
      <c r="AI70" s="20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124"/>
    </row>
    <row r="71" spans="2:80" ht="34.5" customHeight="1" x14ac:dyDescent="0.25">
      <c r="B71" s="626"/>
      <c r="D71" s="49"/>
      <c r="E71" s="49"/>
      <c r="G71" s="49"/>
      <c r="H71" s="49"/>
      <c r="N71" s="13"/>
      <c r="O71" s="13"/>
      <c r="P71" s="13"/>
      <c r="Q71" s="13"/>
      <c r="AI71" s="20"/>
      <c r="BD71" s="35"/>
      <c r="BE71" s="35"/>
      <c r="BF71" s="35"/>
      <c r="BG71" s="35"/>
      <c r="BH71" s="35"/>
      <c r="BI71" s="35"/>
      <c r="BJ71" s="35"/>
      <c r="BK71" s="35"/>
      <c r="BM71" s="35"/>
      <c r="BN71" s="35"/>
      <c r="BO71" s="82"/>
      <c r="BP71" s="661" t="s">
        <v>109</v>
      </c>
      <c r="BQ71" s="574"/>
      <c r="BR71" s="574"/>
      <c r="BS71" s="574"/>
      <c r="BT71" s="574"/>
      <c r="BU71" s="574"/>
      <c r="BV71" s="574"/>
      <c r="BW71" s="573"/>
      <c r="BX71" s="35"/>
      <c r="BY71" s="35"/>
      <c r="BZ71" s="35"/>
      <c r="CA71" s="35"/>
      <c r="CB71" s="124"/>
    </row>
    <row r="72" spans="2:80" ht="34.5" customHeight="1" x14ac:dyDescent="0.25">
      <c r="B72" s="626"/>
      <c r="D72" s="49"/>
      <c r="E72" s="49"/>
      <c r="G72" s="49"/>
      <c r="H72" s="49"/>
      <c r="N72" s="13"/>
      <c r="O72" s="13"/>
      <c r="P72" s="13"/>
      <c r="Q72" s="13"/>
      <c r="AI72" s="20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124"/>
    </row>
    <row r="73" spans="2:80" ht="34.5" customHeight="1" x14ac:dyDescent="0.25">
      <c r="B73" s="626"/>
      <c r="D73" s="49"/>
      <c r="E73" s="49"/>
      <c r="G73" s="49"/>
      <c r="H73" s="49"/>
      <c r="N73" s="13"/>
      <c r="O73" s="13"/>
      <c r="P73" s="13"/>
      <c r="Q73" s="13"/>
      <c r="AI73" s="20"/>
      <c r="BD73" s="35"/>
      <c r="BE73" s="35"/>
      <c r="BF73" s="35"/>
      <c r="BG73" s="35"/>
      <c r="BH73" s="35"/>
      <c r="BI73" s="35"/>
      <c r="BJ73" s="35"/>
      <c r="BK73" s="35"/>
      <c r="BO73" s="126"/>
      <c r="BP73" s="660" t="s">
        <v>110</v>
      </c>
      <c r="BQ73" s="574"/>
      <c r="BR73" s="574"/>
      <c r="BS73" s="574"/>
      <c r="BT73" s="574"/>
      <c r="BU73" s="573"/>
      <c r="BY73" s="35"/>
      <c r="BZ73" s="35"/>
      <c r="CA73" s="35"/>
      <c r="CB73" s="124"/>
    </row>
    <row r="74" spans="2:80" ht="34.5" customHeight="1" x14ac:dyDescent="0.25">
      <c r="B74" s="626"/>
      <c r="D74" s="49"/>
      <c r="E74" s="49"/>
      <c r="G74" s="49"/>
      <c r="H74" s="49"/>
      <c r="N74" s="13"/>
      <c r="O74" s="13"/>
      <c r="P74" s="13"/>
      <c r="Q74" s="13"/>
      <c r="AI74" s="20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124"/>
    </row>
    <row r="75" spans="2:80" ht="34.5" customHeight="1" x14ac:dyDescent="0.25">
      <c r="B75" s="626"/>
      <c r="D75" s="49"/>
      <c r="E75" s="49"/>
      <c r="G75" s="49"/>
      <c r="H75" s="49"/>
      <c r="N75" s="13"/>
      <c r="O75" s="13"/>
      <c r="P75" s="13"/>
      <c r="Q75" s="13"/>
      <c r="AI75" s="20"/>
      <c r="BD75" s="35"/>
      <c r="BE75" s="35"/>
      <c r="BF75" s="35"/>
      <c r="BG75" s="35"/>
      <c r="BH75" s="88"/>
      <c r="BI75" s="88"/>
      <c r="BJ75" s="88"/>
      <c r="BK75" s="88"/>
      <c r="BL75" s="88"/>
      <c r="BM75" s="35"/>
      <c r="BN75" s="68"/>
      <c r="BO75" s="35"/>
      <c r="BP75" s="35"/>
      <c r="BS75" s="126"/>
      <c r="BT75" s="88"/>
      <c r="BU75" s="637" t="s">
        <v>111</v>
      </c>
      <c r="BV75" s="574"/>
      <c r="BW75" s="574"/>
      <c r="BX75" s="574"/>
      <c r="BY75" s="574"/>
      <c r="BZ75" s="574"/>
      <c r="CA75" s="574"/>
      <c r="CB75" s="651"/>
    </row>
    <row r="76" spans="2:80" ht="34.5" customHeight="1" x14ac:dyDescent="0.25">
      <c r="B76" s="626"/>
      <c r="D76" s="49"/>
      <c r="E76" s="49"/>
      <c r="G76" s="49"/>
      <c r="H76" s="49"/>
      <c r="N76" s="13"/>
      <c r="O76" s="13"/>
      <c r="P76" s="13"/>
      <c r="Q76" s="13"/>
      <c r="AI76" s="20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124"/>
    </row>
    <row r="77" spans="2:80" ht="34.5" customHeight="1" x14ac:dyDescent="0.25">
      <c r="B77" s="626"/>
      <c r="D77" s="49"/>
      <c r="E77" s="49"/>
      <c r="G77" s="49"/>
      <c r="H77" s="49"/>
      <c r="N77" s="13"/>
      <c r="O77" s="13"/>
      <c r="P77" s="13"/>
      <c r="Q77" s="13"/>
      <c r="AI77" s="20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124"/>
    </row>
    <row r="78" spans="2:80" ht="34.5" customHeight="1" x14ac:dyDescent="0.25">
      <c r="B78" s="626"/>
      <c r="D78" s="49"/>
      <c r="E78" s="49"/>
      <c r="G78" s="49"/>
      <c r="H78" s="49"/>
      <c r="N78" s="13"/>
      <c r="O78" s="13"/>
      <c r="P78" s="13"/>
      <c r="Q78" s="13"/>
      <c r="AI78" s="20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138" t="s">
        <v>160</v>
      </c>
      <c r="BP78" s="35"/>
      <c r="BQ78" s="35"/>
      <c r="BR78" s="35"/>
      <c r="BS78" s="35"/>
      <c r="BT78" s="35"/>
      <c r="BU78" s="35"/>
      <c r="BV78" s="35"/>
      <c r="BW78" s="35"/>
      <c r="BX78" s="139" t="s">
        <v>161</v>
      </c>
      <c r="BY78" s="138" t="s">
        <v>162</v>
      </c>
      <c r="BZ78" s="35"/>
      <c r="CA78" s="35"/>
      <c r="CB78" s="124"/>
    </row>
    <row r="79" spans="2:80" ht="34.5" customHeight="1" x14ac:dyDescent="0.25">
      <c r="B79" s="626"/>
      <c r="D79" s="49"/>
      <c r="E79" s="49"/>
      <c r="G79" s="49"/>
      <c r="H79" s="49"/>
      <c r="N79" s="13"/>
      <c r="O79" s="13"/>
      <c r="P79" s="13"/>
      <c r="Q79" s="13"/>
      <c r="AI79" s="20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124"/>
    </row>
    <row r="80" spans="2:80" ht="34.5" customHeight="1" x14ac:dyDescent="0.25">
      <c r="B80" s="627"/>
      <c r="D80" s="49"/>
      <c r="E80" s="49"/>
      <c r="G80" s="49"/>
      <c r="H80" s="49"/>
      <c r="N80" s="13"/>
      <c r="O80" s="13"/>
      <c r="P80" s="13"/>
      <c r="Q80" s="13"/>
      <c r="AI80" s="23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93"/>
      <c r="BE80" s="93"/>
      <c r="BF80" s="93"/>
      <c r="BG80" s="93"/>
      <c r="BH80" s="93"/>
      <c r="BI80" s="93"/>
      <c r="BJ80" s="93"/>
      <c r="BK80" s="93"/>
      <c r="BL80" s="94"/>
      <c r="BM80" s="93"/>
      <c r="BN80" s="94"/>
      <c r="BO80" s="93"/>
      <c r="BP80" s="93"/>
      <c r="BQ80" s="93"/>
      <c r="BR80" s="93"/>
      <c r="BS80" s="93"/>
      <c r="BT80" s="93"/>
      <c r="BU80" s="93"/>
      <c r="BV80" s="93"/>
      <c r="BW80" s="24"/>
      <c r="BX80" s="93"/>
      <c r="BY80" s="93"/>
      <c r="BZ80" s="143" t="s">
        <v>163</v>
      </c>
      <c r="CA80" s="93"/>
      <c r="CB80" s="144"/>
    </row>
    <row r="81" spans="4:17" ht="14.25" customHeight="1" x14ac:dyDescent="0.25">
      <c r="D81" s="49"/>
      <c r="E81" s="49"/>
      <c r="G81" s="49"/>
      <c r="H81" s="49"/>
      <c r="N81" s="13"/>
      <c r="O81" s="13"/>
      <c r="P81" s="13"/>
      <c r="Q81" s="13"/>
    </row>
    <row r="82" spans="4:17" ht="14.25" customHeight="1" x14ac:dyDescent="0.25">
      <c r="D82" s="49"/>
      <c r="E82" s="49"/>
      <c r="G82" s="49"/>
      <c r="H82" s="49"/>
      <c r="N82" s="13"/>
      <c r="O82" s="13"/>
      <c r="P82" s="13"/>
      <c r="Q82" s="13"/>
    </row>
    <row r="83" spans="4:17" ht="14.25" customHeight="1" x14ac:dyDescent="0.25">
      <c r="D83" s="49"/>
      <c r="E83" s="49"/>
      <c r="G83" s="49"/>
      <c r="H83" s="49"/>
      <c r="N83" s="13"/>
      <c r="O83" s="13"/>
      <c r="P83" s="13"/>
      <c r="Q83" s="13"/>
    </row>
    <row r="84" spans="4:17" ht="14.25" customHeight="1" x14ac:dyDescent="0.25">
      <c r="D84" s="49"/>
      <c r="E84" s="49"/>
      <c r="G84" s="49"/>
      <c r="H84" s="49"/>
      <c r="N84" s="13"/>
      <c r="O84" s="13"/>
      <c r="P84" s="13"/>
      <c r="Q84" s="13"/>
    </row>
    <row r="85" spans="4:17" ht="14.25" customHeight="1" x14ac:dyDescent="0.25">
      <c r="D85" s="49"/>
      <c r="E85" s="49"/>
      <c r="G85" s="49"/>
      <c r="H85" s="49"/>
      <c r="N85" s="13"/>
      <c r="O85" s="13"/>
      <c r="P85" s="13"/>
      <c r="Q85" s="13"/>
    </row>
    <row r="86" spans="4:17" ht="14.25" customHeight="1" x14ac:dyDescent="0.25">
      <c r="D86" s="49"/>
      <c r="E86" s="49"/>
      <c r="G86" s="49"/>
      <c r="H86" s="49"/>
      <c r="N86" s="13"/>
      <c r="O86" s="13"/>
      <c r="P86" s="13"/>
      <c r="Q86" s="13"/>
    </row>
    <row r="87" spans="4:17" ht="14.25" customHeight="1" x14ac:dyDescent="0.25">
      <c r="D87" s="49"/>
      <c r="E87" s="49"/>
      <c r="G87" s="49"/>
      <c r="H87" s="49"/>
      <c r="N87" s="13"/>
      <c r="O87" s="13"/>
      <c r="P87" s="13"/>
      <c r="Q87" s="13"/>
    </row>
    <row r="88" spans="4:17" ht="14.25" customHeight="1" x14ac:dyDescent="0.25">
      <c r="D88" s="49"/>
      <c r="E88" s="49"/>
      <c r="G88" s="49"/>
      <c r="H88" s="49"/>
      <c r="N88" s="13"/>
      <c r="O88" s="13"/>
      <c r="P88" s="13"/>
      <c r="Q88" s="13"/>
    </row>
    <row r="89" spans="4:17" ht="14.25" customHeight="1" x14ac:dyDescent="0.25">
      <c r="D89" s="49"/>
      <c r="E89" s="49"/>
      <c r="G89" s="49"/>
      <c r="H89" s="49"/>
      <c r="N89" s="13"/>
      <c r="O89" s="13"/>
      <c r="P89" s="13"/>
      <c r="Q89" s="13"/>
    </row>
    <row r="90" spans="4:17" ht="14.25" customHeight="1" x14ac:dyDescent="0.25">
      <c r="D90" s="49"/>
      <c r="E90" s="49"/>
      <c r="G90" s="49"/>
      <c r="H90" s="49"/>
      <c r="N90" s="13"/>
      <c r="O90" s="13"/>
      <c r="P90" s="13"/>
      <c r="Q90" s="13"/>
    </row>
    <row r="91" spans="4:17" ht="14.25" customHeight="1" x14ac:dyDescent="0.25">
      <c r="D91" s="49"/>
      <c r="E91" s="49"/>
      <c r="G91" s="49"/>
      <c r="H91" s="49"/>
      <c r="N91" s="13"/>
      <c r="O91" s="13"/>
      <c r="P91" s="13"/>
      <c r="Q91" s="13"/>
    </row>
    <row r="92" spans="4:17" ht="14.25" customHeight="1" x14ac:dyDescent="0.25">
      <c r="D92" s="49"/>
      <c r="E92" s="49"/>
      <c r="G92" s="49"/>
      <c r="H92" s="49"/>
      <c r="N92" s="13"/>
      <c r="O92" s="13"/>
      <c r="P92" s="13"/>
      <c r="Q92" s="13"/>
    </row>
    <row r="93" spans="4:17" ht="14.25" customHeight="1" x14ac:dyDescent="0.25">
      <c r="D93" s="49"/>
      <c r="E93" s="49"/>
      <c r="G93" s="49"/>
      <c r="H93" s="49"/>
      <c r="N93" s="13"/>
      <c r="O93" s="13"/>
      <c r="P93" s="13"/>
      <c r="Q93" s="13"/>
    </row>
    <row r="94" spans="4:17" ht="14.25" customHeight="1" x14ac:dyDescent="0.25">
      <c r="D94" s="49"/>
      <c r="E94" s="49"/>
      <c r="G94" s="49"/>
      <c r="H94" s="49"/>
      <c r="N94" s="13"/>
      <c r="O94" s="13"/>
      <c r="P94" s="13"/>
      <c r="Q94" s="13"/>
    </row>
    <row r="95" spans="4:17" ht="14.25" customHeight="1" x14ac:dyDescent="0.25">
      <c r="D95" s="49"/>
      <c r="E95" s="49"/>
      <c r="G95" s="49"/>
      <c r="H95" s="49"/>
      <c r="N95" s="13"/>
      <c r="O95" s="13"/>
      <c r="P95" s="13"/>
      <c r="Q95" s="13"/>
    </row>
    <row r="96" spans="4:17" ht="14.25" customHeight="1" x14ac:dyDescent="0.25">
      <c r="D96" s="49"/>
      <c r="E96" s="49"/>
      <c r="G96" s="49"/>
      <c r="H96" s="49"/>
      <c r="N96" s="13"/>
      <c r="O96" s="13"/>
      <c r="P96" s="13"/>
      <c r="Q96" s="13"/>
    </row>
    <row r="97" spans="4:17" ht="14.25" customHeight="1" x14ac:dyDescent="0.25">
      <c r="D97" s="49"/>
      <c r="E97" s="49"/>
      <c r="G97" s="49"/>
      <c r="H97" s="49"/>
      <c r="N97" s="13"/>
      <c r="O97" s="13"/>
      <c r="P97" s="13"/>
      <c r="Q97" s="13"/>
    </row>
    <row r="98" spans="4:17" ht="14.25" customHeight="1" x14ac:dyDescent="0.25">
      <c r="D98" s="49"/>
      <c r="E98" s="49"/>
      <c r="G98" s="49"/>
      <c r="H98" s="49"/>
      <c r="N98" s="13"/>
      <c r="O98" s="13"/>
      <c r="P98" s="13"/>
      <c r="Q98" s="13"/>
    </row>
    <row r="99" spans="4:17" ht="14.25" customHeight="1" x14ac:dyDescent="0.25">
      <c r="D99" s="49"/>
      <c r="E99" s="49"/>
      <c r="G99" s="49"/>
      <c r="H99" s="49"/>
      <c r="N99" s="13"/>
      <c r="O99" s="13"/>
      <c r="P99" s="13"/>
      <c r="Q99" s="13"/>
    </row>
    <row r="100" spans="4:17" ht="14.25" customHeight="1" x14ac:dyDescent="0.25">
      <c r="D100" s="49"/>
      <c r="E100" s="49"/>
      <c r="G100" s="49"/>
      <c r="H100" s="49"/>
      <c r="N100" s="13"/>
      <c r="O100" s="13"/>
      <c r="P100" s="13"/>
      <c r="Q100" s="13"/>
    </row>
    <row r="101" spans="4:17" ht="14.25" customHeight="1" x14ac:dyDescent="0.25">
      <c r="D101" s="49"/>
      <c r="E101" s="49"/>
      <c r="G101" s="49"/>
      <c r="H101" s="49"/>
      <c r="N101" s="13"/>
      <c r="O101" s="13"/>
      <c r="P101" s="13"/>
      <c r="Q101" s="13"/>
    </row>
    <row r="102" spans="4:17" ht="14.25" customHeight="1" x14ac:dyDescent="0.25">
      <c r="D102" s="49"/>
      <c r="E102" s="49"/>
      <c r="G102" s="49"/>
      <c r="H102" s="49"/>
      <c r="N102" s="13"/>
      <c r="O102" s="13"/>
      <c r="P102" s="13"/>
      <c r="Q102" s="13"/>
    </row>
    <row r="103" spans="4:17" ht="14.25" customHeight="1" x14ac:dyDescent="0.25">
      <c r="D103" s="49"/>
      <c r="E103" s="49"/>
      <c r="G103" s="49"/>
      <c r="H103" s="49"/>
      <c r="N103" s="13"/>
      <c r="O103" s="13"/>
      <c r="P103" s="13"/>
      <c r="Q103" s="13"/>
    </row>
    <row r="104" spans="4:17" ht="14.25" customHeight="1" x14ac:dyDescent="0.25">
      <c r="D104" s="49"/>
      <c r="E104" s="49"/>
      <c r="G104" s="49"/>
      <c r="H104" s="49"/>
      <c r="N104" s="13"/>
      <c r="O104" s="13"/>
      <c r="P104" s="13"/>
      <c r="Q104" s="13"/>
    </row>
    <row r="105" spans="4:17" ht="14.25" customHeight="1" x14ac:dyDescent="0.25">
      <c r="D105" s="49"/>
      <c r="E105" s="49"/>
      <c r="G105" s="49"/>
      <c r="H105" s="49"/>
      <c r="N105" s="13"/>
      <c r="O105" s="13"/>
      <c r="P105" s="13"/>
      <c r="Q105" s="13"/>
    </row>
    <row r="106" spans="4:17" ht="14.25" customHeight="1" x14ac:dyDescent="0.25">
      <c r="D106" s="49"/>
      <c r="E106" s="49"/>
      <c r="G106" s="49"/>
      <c r="H106" s="49"/>
      <c r="N106" s="13"/>
      <c r="O106" s="13"/>
      <c r="P106" s="13"/>
      <c r="Q106" s="13"/>
    </row>
    <row r="107" spans="4:17" ht="14.25" customHeight="1" x14ac:dyDescent="0.25">
      <c r="D107" s="49"/>
      <c r="E107" s="49"/>
      <c r="G107" s="49"/>
      <c r="H107" s="49"/>
      <c r="N107" s="13"/>
      <c r="O107" s="13"/>
      <c r="P107" s="13"/>
      <c r="Q107" s="13"/>
    </row>
    <row r="108" spans="4:17" ht="14.25" customHeight="1" x14ac:dyDescent="0.25">
      <c r="D108" s="49"/>
      <c r="E108" s="49"/>
      <c r="G108" s="49"/>
      <c r="H108" s="49"/>
      <c r="N108" s="13"/>
      <c r="O108" s="13"/>
      <c r="P108" s="13"/>
      <c r="Q108" s="13"/>
    </row>
    <row r="109" spans="4:17" ht="14.25" customHeight="1" x14ac:dyDescent="0.25">
      <c r="D109" s="49"/>
      <c r="E109" s="49"/>
      <c r="G109" s="49"/>
      <c r="H109" s="49"/>
      <c r="N109" s="13"/>
      <c r="O109" s="13"/>
      <c r="P109" s="13"/>
      <c r="Q109" s="13"/>
    </row>
    <row r="110" spans="4:17" ht="14.25" customHeight="1" x14ac:dyDescent="0.25">
      <c r="D110" s="49"/>
      <c r="E110" s="49"/>
      <c r="G110" s="49"/>
      <c r="H110" s="49"/>
      <c r="N110" s="13"/>
      <c r="O110" s="13"/>
      <c r="P110" s="13"/>
      <c r="Q110" s="13"/>
    </row>
    <row r="111" spans="4:17" ht="14.25" customHeight="1" x14ac:dyDescent="0.25">
      <c r="D111" s="49"/>
      <c r="E111" s="49"/>
      <c r="G111" s="49"/>
      <c r="H111" s="49"/>
      <c r="N111" s="13"/>
      <c r="O111" s="13"/>
      <c r="P111" s="13"/>
      <c r="Q111" s="13"/>
    </row>
    <row r="112" spans="4:17" ht="14.25" customHeight="1" x14ac:dyDescent="0.25">
      <c r="D112" s="49"/>
      <c r="E112" s="49"/>
      <c r="G112" s="49"/>
      <c r="H112" s="49"/>
      <c r="N112" s="13"/>
      <c r="O112" s="13"/>
      <c r="P112" s="13"/>
      <c r="Q112" s="13"/>
    </row>
    <row r="113" spans="4:17" ht="14.25" customHeight="1" x14ac:dyDescent="0.25">
      <c r="D113" s="49"/>
      <c r="E113" s="49"/>
      <c r="G113" s="49"/>
      <c r="H113" s="49"/>
      <c r="N113" s="13"/>
      <c r="O113" s="13"/>
      <c r="P113" s="13"/>
      <c r="Q113" s="13"/>
    </row>
    <row r="114" spans="4:17" ht="14.25" customHeight="1" x14ac:dyDescent="0.25">
      <c r="D114" s="49"/>
      <c r="E114" s="49"/>
      <c r="G114" s="49"/>
      <c r="H114" s="49"/>
      <c r="N114" s="13"/>
      <c r="O114" s="13"/>
      <c r="P114" s="13"/>
      <c r="Q114" s="13"/>
    </row>
    <row r="115" spans="4:17" ht="14.25" customHeight="1" x14ac:dyDescent="0.25">
      <c r="D115" s="49"/>
      <c r="E115" s="49"/>
      <c r="G115" s="49"/>
      <c r="H115" s="49"/>
      <c r="N115" s="13"/>
      <c r="O115" s="13"/>
      <c r="P115" s="13"/>
      <c r="Q115" s="13"/>
    </row>
    <row r="116" spans="4:17" ht="14.25" customHeight="1" x14ac:dyDescent="0.25">
      <c r="D116" s="49"/>
      <c r="E116" s="49"/>
      <c r="G116" s="49"/>
      <c r="H116" s="49"/>
      <c r="N116" s="13"/>
      <c r="O116" s="13"/>
      <c r="P116" s="13"/>
      <c r="Q116" s="13"/>
    </row>
    <row r="117" spans="4:17" ht="14.25" customHeight="1" x14ac:dyDescent="0.25">
      <c r="D117" s="49"/>
      <c r="E117" s="49"/>
      <c r="G117" s="49"/>
      <c r="H117" s="49"/>
      <c r="N117" s="13"/>
      <c r="O117" s="13"/>
      <c r="P117" s="13"/>
      <c r="Q117" s="13"/>
    </row>
    <row r="118" spans="4:17" ht="14.25" customHeight="1" x14ac:dyDescent="0.25">
      <c r="D118" s="49"/>
      <c r="E118" s="49"/>
      <c r="G118" s="49"/>
      <c r="H118" s="49"/>
      <c r="N118" s="13"/>
      <c r="O118" s="13"/>
      <c r="P118" s="13"/>
      <c r="Q118" s="13"/>
    </row>
    <row r="119" spans="4:17" ht="14.25" customHeight="1" x14ac:dyDescent="0.25">
      <c r="D119" s="49"/>
      <c r="E119" s="49"/>
      <c r="G119" s="49"/>
      <c r="H119" s="49"/>
      <c r="N119" s="13"/>
      <c r="O119" s="13"/>
      <c r="P119" s="13"/>
      <c r="Q119" s="13"/>
    </row>
    <row r="120" spans="4:17" ht="14.25" customHeight="1" x14ac:dyDescent="0.25">
      <c r="D120" s="49"/>
      <c r="E120" s="49"/>
      <c r="G120" s="49"/>
      <c r="H120" s="49"/>
      <c r="N120" s="13"/>
      <c r="O120" s="13"/>
      <c r="P120" s="13"/>
      <c r="Q120" s="13"/>
    </row>
    <row r="121" spans="4:17" ht="14.25" customHeight="1" x14ac:dyDescent="0.25">
      <c r="D121" s="49"/>
      <c r="E121" s="49"/>
      <c r="G121" s="49"/>
      <c r="H121" s="49"/>
      <c r="N121" s="13"/>
      <c r="O121" s="13"/>
      <c r="P121" s="13"/>
      <c r="Q121" s="13"/>
    </row>
    <row r="122" spans="4:17" ht="14.25" customHeight="1" x14ac:dyDescent="0.25">
      <c r="D122" s="49"/>
      <c r="E122" s="49"/>
      <c r="G122" s="49"/>
      <c r="H122" s="49"/>
      <c r="N122" s="13"/>
      <c r="O122" s="13"/>
      <c r="P122" s="13"/>
      <c r="Q122" s="13"/>
    </row>
    <row r="123" spans="4:17" ht="14.25" customHeight="1" x14ac:dyDescent="0.25">
      <c r="D123" s="49"/>
      <c r="E123" s="49"/>
      <c r="G123" s="49"/>
      <c r="H123" s="49"/>
      <c r="N123" s="13"/>
      <c r="O123" s="13"/>
      <c r="P123" s="13"/>
      <c r="Q123" s="13"/>
    </row>
    <row r="124" spans="4:17" ht="14.25" customHeight="1" x14ac:dyDescent="0.25">
      <c r="D124" s="49"/>
      <c r="E124" s="49"/>
      <c r="G124" s="49"/>
      <c r="H124" s="49"/>
      <c r="N124" s="13"/>
      <c r="O124" s="13"/>
      <c r="P124" s="13"/>
      <c r="Q124" s="13"/>
    </row>
    <row r="125" spans="4:17" ht="14.25" customHeight="1" x14ac:dyDescent="0.25">
      <c r="D125" s="49"/>
      <c r="E125" s="49"/>
      <c r="G125" s="49"/>
      <c r="H125" s="49"/>
      <c r="N125" s="13"/>
      <c r="O125" s="13"/>
      <c r="P125" s="13"/>
      <c r="Q125" s="13"/>
    </row>
    <row r="126" spans="4:17" ht="14.25" customHeight="1" x14ac:dyDescent="0.25">
      <c r="D126" s="49"/>
      <c r="E126" s="49"/>
      <c r="G126" s="49"/>
      <c r="H126" s="49"/>
      <c r="N126" s="13"/>
      <c r="O126" s="13"/>
      <c r="P126" s="13"/>
      <c r="Q126" s="13"/>
    </row>
    <row r="127" spans="4:17" ht="14.25" customHeight="1" x14ac:dyDescent="0.25">
      <c r="D127" s="49"/>
      <c r="E127" s="49"/>
      <c r="G127" s="49"/>
      <c r="H127" s="49"/>
      <c r="N127" s="13"/>
      <c r="O127" s="13"/>
      <c r="P127" s="13"/>
      <c r="Q127" s="13"/>
    </row>
    <row r="128" spans="4:17" ht="14.25" customHeight="1" x14ac:dyDescent="0.25">
      <c r="D128" s="49"/>
      <c r="E128" s="49"/>
      <c r="G128" s="49"/>
      <c r="H128" s="49"/>
      <c r="N128" s="13"/>
      <c r="O128" s="13"/>
      <c r="P128" s="13"/>
      <c r="Q128" s="13"/>
    </row>
    <row r="129" spans="4:17" ht="14.25" customHeight="1" x14ac:dyDescent="0.25">
      <c r="D129" s="49"/>
      <c r="E129" s="49"/>
      <c r="G129" s="49"/>
      <c r="H129" s="49"/>
      <c r="N129" s="13"/>
      <c r="O129" s="13"/>
      <c r="P129" s="13"/>
      <c r="Q129" s="13"/>
    </row>
    <row r="130" spans="4:17" ht="14.25" customHeight="1" x14ac:dyDescent="0.25">
      <c r="D130" s="49"/>
      <c r="E130" s="49"/>
      <c r="G130" s="49"/>
      <c r="H130" s="49"/>
      <c r="N130" s="13"/>
      <c r="O130" s="13"/>
      <c r="P130" s="13"/>
      <c r="Q130" s="13"/>
    </row>
    <row r="131" spans="4:17" ht="14.25" customHeight="1" x14ac:dyDescent="0.25">
      <c r="D131" s="49"/>
      <c r="E131" s="49"/>
      <c r="G131" s="49"/>
      <c r="H131" s="49"/>
      <c r="N131" s="13"/>
      <c r="O131" s="13"/>
      <c r="P131" s="13"/>
      <c r="Q131" s="13"/>
    </row>
    <row r="132" spans="4:17" ht="14.25" customHeight="1" x14ac:dyDescent="0.25">
      <c r="D132" s="49"/>
      <c r="E132" s="49"/>
      <c r="G132" s="49"/>
      <c r="H132" s="49"/>
      <c r="N132" s="13"/>
      <c r="O132" s="13"/>
      <c r="P132" s="13"/>
      <c r="Q132" s="13"/>
    </row>
    <row r="133" spans="4:17" ht="14.25" customHeight="1" x14ac:dyDescent="0.25">
      <c r="D133" s="49"/>
      <c r="E133" s="49"/>
      <c r="G133" s="49"/>
      <c r="H133" s="49"/>
      <c r="N133" s="13"/>
      <c r="O133" s="13"/>
      <c r="P133" s="13"/>
      <c r="Q133" s="13"/>
    </row>
    <row r="134" spans="4:17" ht="14.25" customHeight="1" x14ac:dyDescent="0.25">
      <c r="D134" s="49"/>
      <c r="E134" s="49"/>
      <c r="G134" s="49"/>
      <c r="H134" s="49"/>
      <c r="N134" s="13"/>
      <c r="O134" s="13"/>
      <c r="P134" s="13"/>
      <c r="Q134" s="13"/>
    </row>
    <row r="135" spans="4:17" ht="14.25" customHeight="1" x14ac:dyDescent="0.25">
      <c r="D135" s="49"/>
      <c r="E135" s="49"/>
      <c r="G135" s="49"/>
      <c r="H135" s="49"/>
      <c r="N135" s="13"/>
      <c r="O135" s="13"/>
      <c r="P135" s="13"/>
      <c r="Q135" s="13"/>
    </row>
    <row r="136" spans="4:17" ht="14.25" customHeight="1" x14ac:dyDescent="0.25">
      <c r="D136" s="49"/>
      <c r="E136" s="49"/>
      <c r="G136" s="49"/>
      <c r="H136" s="49"/>
      <c r="N136" s="13"/>
      <c r="O136" s="13"/>
      <c r="P136" s="13"/>
      <c r="Q136" s="13"/>
    </row>
    <row r="137" spans="4:17" ht="14.25" customHeight="1" x14ac:dyDescent="0.25">
      <c r="D137" s="49"/>
      <c r="E137" s="49"/>
      <c r="G137" s="49"/>
      <c r="H137" s="49"/>
      <c r="N137" s="13"/>
      <c r="O137" s="13"/>
      <c r="P137" s="13"/>
      <c r="Q137" s="13"/>
    </row>
    <row r="138" spans="4:17" ht="14.25" customHeight="1" x14ac:dyDescent="0.25">
      <c r="D138" s="49"/>
      <c r="E138" s="49"/>
      <c r="G138" s="49"/>
      <c r="H138" s="49"/>
      <c r="N138" s="13"/>
      <c r="O138" s="13"/>
      <c r="P138" s="13"/>
      <c r="Q138" s="13"/>
    </row>
    <row r="139" spans="4:17" ht="14.25" customHeight="1" x14ac:dyDescent="0.25">
      <c r="D139" s="49"/>
      <c r="E139" s="49"/>
      <c r="G139" s="49"/>
      <c r="H139" s="49"/>
      <c r="N139" s="13"/>
      <c r="O139" s="13"/>
      <c r="P139" s="13"/>
      <c r="Q139" s="13"/>
    </row>
    <row r="140" spans="4:17" ht="14.25" customHeight="1" x14ac:dyDescent="0.25">
      <c r="D140" s="49"/>
      <c r="E140" s="49"/>
      <c r="G140" s="49"/>
      <c r="H140" s="49"/>
      <c r="N140" s="13"/>
      <c r="O140" s="13"/>
      <c r="P140" s="13"/>
      <c r="Q140" s="13"/>
    </row>
    <row r="141" spans="4:17" ht="14.25" customHeight="1" x14ac:dyDescent="0.25">
      <c r="D141" s="49"/>
      <c r="E141" s="49"/>
      <c r="G141" s="49"/>
      <c r="H141" s="49"/>
      <c r="N141" s="13"/>
      <c r="O141" s="13"/>
      <c r="P141" s="13"/>
      <c r="Q141" s="13"/>
    </row>
    <row r="142" spans="4:17" ht="14.25" customHeight="1" x14ac:dyDescent="0.25">
      <c r="D142" s="49"/>
      <c r="E142" s="49"/>
      <c r="G142" s="49"/>
      <c r="H142" s="49"/>
      <c r="N142" s="13"/>
      <c r="O142" s="13"/>
      <c r="P142" s="13"/>
      <c r="Q142" s="13"/>
    </row>
    <row r="143" spans="4:17" ht="14.25" customHeight="1" x14ac:dyDescent="0.25">
      <c r="D143" s="49"/>
      <c r="E143" s="49"/>
      <c r="G143" s="49"/>
      <c r="H143" s="49"/>
      <c r="N143" s="13"/>
      <c r="O143" s="13"/>
      <c r="P143" s="13"/>
      <c r="Q143" s="13"/>
    </row>
    <row r="144" spans="4:17" ht="14.25" customHeight="1" x14ac:dyDescent="0.25">
      <c r="D144" s="49"/>
      <c r="E144" s="49"/>
      <c r="G144" s="49"/>
      <c r="H144" s="49"/>
      <c r="N144" s="13"/>
      <c r="O144" s="13"/>
      <c r="P144" s="13"/>
      <c r="Q144" s="13"/>
    </row>
    <row r="145" spans="4:17" ht="14.25" customHeight="1" x14ac:dyDescent="0.25">
      <c r="D145" s="49"/>
      <c r="E145" s="49"/>
      <c r="G145" s="49"/>
      <c r="H145" s="49"/>
      <c r="N145" s="13"/>
      <c r="O145" s="13"/>
      <c r="P145" s="13"/>
      <c r="Q145" s="13"/>
    </row>
    <row r="146" spans="4:17" ht="14.25" customHeight="1" x14ac:dyDescent="0.25">
      <c r="D146" s="49"/>
      <c r="E146" s="49"/>
      <c r="G146" s="49"/>
      <c r="H146" s="49"/>
      <c r="N146" s="13"/>
      <c r="O146" s="13"/>
      <c r="P146" s="13"/>
      <c r="Q146" s="13"/>
    </row>
    <row r="147" spans="4:17" ht="14.25" customHeight="1" x14ac:dyDescent="0.25">
      <c r="D147" s="49"/>
      <c r="E147" s="49"/>
      <c r="G147" s="49"/>
      <c r="H147" s="49"/>
      <c r="N147" s="13"/>
      <c r="O147" s="13"/>
      <c r="P147" s="13"/>
      <c r="Q147" s="13"/>
    </row>
    <row r="148" spans="4:17" ht="14.25" customHeight="1" x14ac:dyDescent="0.25">
      <c r="D148" s="49"/>
      <c r="E148" s="49"/>
      <c r="G148" s="49"/>
      <c r="H148" s="49"/>
      <c r="N148" s="13"/>
      <c r="O148" s="13"/>
      <c r="P148" s="13"/>
      <c r="Q148" s="13"/>
    </row>
    <row r="149" spans="4:17" ht="14.25" customHeight="1" x14ac:dyDescent="0.25">
      <c r="D149" s="49"/>
      <c r="E149" s="49"/>
      <c r="G149" s="49"/>
      <c r="H149" s="49"/>
      <c r="N149" s="13"/>
      <c r="O149" s="13"/>
      <c r="P149" s="13"/>
      <c r="Q149" s="13"/>
    </row>
    <row r="150" spans="4:17" ht="14.25" customHeight="1" x14ac:dyDescent="0.25">
      <c r="D150" s="49"/>
      <c r="E150" s="49"/>
      <c r="G150" s="49"/>
      <c r="H150" s="49"/>
      <c r="N150" s="13"/>
      <c r="O150" s="13"/>
      <c r="P150" s="13"/>
      <c r="Q150" s="13"/>
    </row>
    <row r="151" spans="4:17" ht="14.25" customHeight="1" x14ac:dyDescent="0.25">
      <c r="D151" s="49"/>
      <c r="E151" s="49"/>
      <c r="G151" s="49"/>
      <c r="H151" s="49"/>
      <c r="N151" s="13"/>
      <c r="O151" s="13"/>
      <c r="P151" s="13"/>
      <c r="Q151" s="13"/>
    </row>
    <row r="152" spans="4:17" ht="14.25" customHeight="1" x14ac:dyDescent="0.25">
      <c r="D152" s="49"/>
      <c r="E152" s="49"/>
      <c r="G152" s="49"/>
      <c r="H152" s="49"/>
      <c r="N152" s="13"/>
      <c r="O152" s="13"/>
      <c r="P152" s="13"/>
      <c r="Q152" s="13"/>
    </row>
    <row r="153" spans="4:17" ht="14.25" customHeight="1" x14ac:dyDescent="0.25">
      <c r="D153" s="49"/>
      <c r="E153" s="49"/>
      <c r="G153" s="49"/>
      <c r="H153" s="49"/>
      <c r="N153" s="13"/>
      <c r="O153" s="13"/>
      <c r="P153" s="13"/>
      <c r="Q153" s="13"/>
    </row>
    <row r="154" spans="4:17" ht="14.25" customHeight="1" x14ac:dyDescent="0.25">
      <c r="D154" s="49"/>
      <c r="E154" s="49"/>
      <c r="G154" s="49"/>
      <c r="H154" s="49"/>
      <c r="N154" s="13"/>
      <c r="O154" s="13"/>
      <c r="P154" s="13"/>
      <c r="Q154" s="13"/>
    </row>
    <row r="155" spans="4:17" ht="14.25" customHeight="1" x14ac:dyDescent="0.25">
      <c r="D155" s="49"/>
      <c r="E155" s="49"/>
      <c r="G155" s="49"/>
      <c r="H155" s="49"/>
      <c r="N155" s="13"/>
      <c r="O155" s="13"/>
      <c r="P155" s="13"/>
      <c r="Q155" s="13"/>
    </row>
    <row r="156" spans="4:17" ht="14.25" customHeight="1" x14ac:dyDescent="0.25">
      <c r="D156" s="49"/>
      <c r="E156" s="49"/>
      <c r="G156" s="49"/>
      <c r="H156" s="49"/>
      <c r="N156" s="13"/>
      <c r="O156" s="13"/>
      <c r="P156" s="13"/>
      <c r="Q156" s="13"/>
    </row>
    <row r="157" spans="4:17" ht="14.25" customHeight="1" x14ac:dyDescent="0.25">
      <c r="D157" s="49"/>
      <c r="E157" s="49"/>
      <c r="G157" s="49"/>
      <c r="H157" s="49"/>
      <c r="N157" s="13"/>
      <c r="O157" s="13"/>
      <c r="P157" s="13"/>
      <c r="Q157" s="13"/>
    </row>
    <row r="158" spans="4:17" ht="14.25" customHeight="1" x14ac:dyDescent="0.25">
      <c r="D158" s="49"/>
      <c r="E158" s="49"/>
      <c r="G158" s="49"/>
      <c r="H158" s="49"/>
      <c r="N158" s="13"/>
      <c r="O158" s="13"/>
      <c r="P158" s="13"/>
      <c r="Q158" s="13"/>
    </row>
    <row r="159" spans="4:17" ht="14.25" customHeight="1" x14ac:dyDescent="0.25">
      <c r="D159" s="49"/>
      <c r="E159" s="49"/>
      <c r="G159" s="49"/>
      <c r="H159" s="49"/>
      <c r="N159" s="13"/>
      <c r="O159" s="13"/>
      <c r="P159" s="13"/>
      <c r="Q159" s="13"/>
    </row>
    <row r="160" spans="4:17" ht="14.25" customHeight="1" x14ac:dyDescent="0.25">
      <c r="D160" s="49"/>
      <c r="E160" s="49"/>
      <c r="G160" s="49"/>
      <c r="H160" s="49"/>
      <c r="N160" s="13"/>
      <c r="O160" s="13"/>
      <c r="P160" s="13"/>
      <c r="Q160" s="13"/>
    </row>
    <row r="161" spans="4:17" ht="14.25" customHeight="1" x14ac:dyDescent="0.25">
      <c r="D161" s="49"/>
      <c r="E161" s="49"/>
      <c r="G161" s="49"/>
      <c r="H161" s="49"/>
      <c r="N161" s="13"/>
      <c r="O161" s="13"/>
      <c r="P161" s="13"/>
      <c r="Q161" s="13"/>
    </row>
    <row r="162" spans="4:17" ht="14.25" customHeight="1" x14ac:dyDescent="0.25">
      <c r="D162" s="49"/>
      <c r="E162" s="49"/>
      <c r="G162" s="49"/>
      <c r="H162" s="49"/>
      <c r="N162" s="13"/>
      <c r="O162" s="13"/>
      <c r="P162" s="13"/>
      <c r="Q162" s="13"/>
    </row>
    <row r="163" spans="4:17" ht="14.25" customHeight="1" x14ac:dyDescent="0.25">
      <c r="D163" s="49"/>
      <c r="E163" s="49"/>
      <c r="G163" s="49"/>
      <c r="H163" s="49"/>
      <c r="N163" s="13"/>
      <c r="O163" s="13"/>
      <c r="P163" s="13"/>
      <c r="Q163" s="13"/>
    </row>
    <row r="164" spans="4:17" ht="14.25" customHeight="1" x14ac:dyDescent="0.25">
      <c r="D164" s="49"/>
      <c r="E164" s="49"/>
      <c r="G164" s="49"/>
      <c r="H164" s="49"/>
      <c r="N164" s="13"/>
      <c r="O164" s="13"/>
      <c r="P164" s="13"/>
      <c r="Q164" s="13"/>
    </row>
    <row r="165" spans="4:17" ht="14.25" customHeight="1" x14ac:dyDescent="0.25">
      <c r="D165" s="49"/>
      <c r="E165" s="49"/>
      <c r="G165" s="49"/>
      <c r="H165" s="49"/>
      <c r="N165" s="13"/>
      <c r="O165" s="13"/>
      <c r="P165" s="13"/>
      <c r="Q165" s="13"/>
    </row>
    <row r="166" spans="4:17" ht="14.25" customHeight="1" x14ac:dyDescent="0.25">
      <c r="D166" s="49"/>
      <c r="E166" s="49"/>
      <c r="G166" s="49"/>
      <c r="H166" s="49"/>
      <c r="N166" s="13"/>
      <c r="O166" s="13"/>
      <c r="P166" s="13"/>
      <c r="Q166" s="13"/>
    </row>
    <row r="167" spans="4:17" ht="14.25" customHeight="1" x14ac:dyDescent="0.25">
      <c r="D167" s="49"/>
      <c r="E167" s="49"/>
      <c r="G167" s="49"/>
      <c r="H167" s="49"/>
      <c r="N167" s="13"/>
      <c r="O167" s="13"/>
      <c r="P167" s="13"/>
      <c r="Q167" s="13"/>
    </row>
    <row r="168" spans="4:17" ht="14.25" customHeight="1" x14ac:dyDescent="0.25">
      <c r="D168" s="49"/>
      <c r="E168" s="49"/>
      <c r="G168" s="49"/>
      <c r="H168" s="49"/>
      <c r="N168" s="13"/>
      <c r="O168" s="13"/>
      <c r="P168" s="13"/>
      <c r="Q168" s="13"/>
    </row>
    <row r="169" spans="4:17" ht="14.25" customHeight="1" x14ac:dyDescent="0.25">
      <c r="D169" s="49"/>
      <c r="E169" s="49"/>
      <c r="G169" s="49"/>
      <c r="H169" s="49"/>
      <c r="N169" s="13"/>
      <c r="O169" s="13"/>
      <c r="P169" s="13"/>
      <c r="Q169" s="13"/>
    </row>
    <row r="170" spans="4:17" ht="14.25" customHeight="1" x14ac:dyDescent="0.25">
      <c r="D170" s="49"/>
      <c r="E170" s="49"/>
      <c r="G170" s="49"/>
      <c r="H170" s="49"/>
      <c r="N170" s="13"/>
      <c r="O170" s="13"/>
      <c r="P170" s="13"/>
      <c r="Q170" s="13"/>
    </row>
    <row r="171" spans="4:17" ht="14.25" customHeight="1" x14ac:dyDescent="0.25">
      <c r="D171" s="49"/>
      <c r="E171" s="49"/>
      <c r="G171" s="49"/>
      <c r="H171" s="49"/>
      <c r="N171" s="13"/>
      <c r="O171" s="13"/>
      <c r="P171" s="13"/>
      <c r="Q171" s="13"/>
    </row>
    <row r="172" spans="4:17" ht="14.25" customHeight="1" x14ac:dyDescent="0.25">
      <c r="D172" s="49"/>
      <c r="E172" s="49"/>
      <c r="G172" s="49"/>
      <c r="H172" s="49"/>
      <c r="N172" s="13"/>
      <c r="O172" s="13"/>
      <c r="P172" s="13"/>
      <c r="Q172" s="13"/>
    </row>
    <row r="173" spans="4:17" ht="14.25" customHeight="1" x14ac:dyDescent="0.25">
      <c r="D173" s="49"/>
      <c r="E173" s="49"/>
      <c r="G173" s="49"/>
      <c r="H173" s="49"/>
      <c r="N173" s="13"/>
      <c r="O173" s="13"/>
      <c r="P173" s="13"/>
      <c r="Q173" s="13"/>
    </row>
    <row r="174" spans="4:17" ht="14.25" customHeight="1" x14ac:dyDescent="0.25">
      <c r="D174" s="49"/>
      <c r="E174" s="49"/>
      <c r="G174" s="49"/>
      <c r="H174" s="49"/>
      <c r="N174" s="13"/>
      <c r="O174" s="13"/>
      <c r="P174" s="13"/>
      <c r="Q174" s="13"/>
    </row>
    <row r="175" spans="4:17" ht="14.25" customHeight="1" x14ac:dyDescent="0.25">
      <c r="D175" s="49"/>
      <c r="E175" s="49"/>
      <c r="G175" s="49"/>
      <c r="H175" s="49"/>
      <c r="N175" s="13"/>
      <c r="O175" s="13"/>
      <c r="P175" s="13"/>
      <c r="Q175" s="13"/>
    </row>
    <row r="176" spans="4:17" ht="14.25" customHeight="1" x14ac:dyDescent="0.25">
      <c r="D176" s="49"/>
      <c r="E176" s="49"/>
      <c r="G176" s="49"/>
      <c r="H176" s="49"/>
      <c r="N176" s="13"/>
      <c r="O176" s="13"/>
      <c r="P176" s="13"/>
      <c r="Q176" s="13"/>
    </row>
    <row r="177" spans="4:17" ht="14.25" customHeight="1" x14ac:dyDescent="0.25">
      <c r="D177" s="49"/>
      <c r="E177" s="49"/>
      <c r="G177" s="49"/>
      <c r="H177" s="49"/>
      <c r="N177" s="13"/>
      <c r="O177" s="13"/>
      <c r="P177" s="13"/>
      <c r="Q177" s="13"/>
    </row>
    <row r="178" spans="4:17" ht="14.25" customHeight="1" x14ac:dyDescent="0.25">
      <c r="D178" s="49"/>
      <c r="E178" s="49"/>
      <c r="G178" s="49"/>
      <c r="H178" s="49"/>
      <c r="N178" s="13"/>
      <c r="O178" s="13"/>
      <c r="P178" s="13"/>
      <c r="Q178" s="13"/>
    </row>
    <row r="179" spans="4:17" ht="14.25" customHeight="1" x14ac:dyDescent="0.25">
      <c r="D179" s="49"/>
      <c r="E179" s="49"/>
      <c r="G179" s="49"/>
      <c r="H179" s="49"/>
      <c r="N179" s="13"/>
      <c r="O179" s="13"/>
      <c r="P179" s="13"/>
      <c r="Q179" s="13"/>
    </row>
    <row r="180" spans="4:17" ht="14.25" customHeight="1" x14ac:dyDescent="0.25">
      <c r="D180" s="49"/>
      <c r="E180" s="49"/>
      <c r="G180" s="49"/>
      <c r="H180" s="49"/>
      <c r="N180" s="13"/>
      <c r="O180" s="13"/>
      <c r="P180" s="13"/>
      <c r="Q180" s="13"/>
    </row>
    <row r="181" spans="4:17" ht="14.25" customHeight="1" x14ac:dyDescent="0.25">
      <c r="D181" s="49"/>
      <c r="E181" s="49"/>
      <c r="G181" s="49"/>
      <c r="H181" s="49"/>
      <c r="N181" s="13"/>
      <c r="O181" s="13"/>
      <c r="P181" s="13"/>
      <c r="Q181" s="13"/>
    </row>
    <row r="182" spans="4:17" ht="14.25" customHeight="1" x14ac:dyDescent="0.25">
      <c r="D182" s="49"/>
      <c r="E182" s="49"/>
      <c r="G182" s="49"/>
      <c r="H182" s="49"/>
      <c r="N182" s="13"/>
      <c r="O182" s="13"/>
      <c r="P182" s="13"/>
      <c r="Q182" s="13"/>
    </row>
    <row r="183" spans="4:17" ht="14.25" customHeight="1" x14ac:dyDescent="0.25">
      <c r="D183" s="49"/>
      <c r="E183" s="49"/>
      <c r="G183" s="49"/>
      <c r="H183" s="49"/>
      <c r="N183" s="13"/>
      <c r="O183" s="13"/>
      <c r="P183" s="13"/>
      <c r="Q183" s="13"/>
    </row>
    <row r="184" spans="4:17" ht="14.25" customHeight="1" x14ac:dyDescent="0.25">
      <c r="D184" s="49"/>
      <c r="E184" s="49"/>
      <c r="G184" s="49"/>
      <c r="H184" s="49"/>
      <c r="N184" s="13"/>
      <c r="O184" s="13"/>
      <c r="P184" s="13"/>
      <c r="Q184" s="13"/>
    </row>
    <row r="185" spans="4:17" ht="14.25" customHeight="1" x14ac:dyDescent="0.25">
      <c r="D185" s="49"/>
      <c r="E185" s="49"/>
      <c r="G185" s="49"/>
      <c r="H185" s="49"/>
      <c r="N185" s="13"/>
      <c r="O185" s="13"/>
      <c r="P185" s="13"/>
      <c r="Q185" s="13"/>
    </row>
    <row r="186" spans="4:17" ht="14.25" customHeight="1" x14ac:dyDescent="0.25">
      <c r="D186" s="49"/>
      <c r="E186" s="49"/>
      <c r="G186" s="49"/>
      <c r="H186" s="49"/>
      <c r="N186" s="13"/>
      <c r="O186" s="13"/>
      <c r="P186" s="13"/>
      <c r="Q186" s="13"/>
    </row>
    <row r="187" spans="4:17" ht="14.25" customHeight="1" x14ac:dyDescent="0.25">
      <c r="D187" s="49"/>
      <c r="E187" s="49"/>
      <c r="G187" s="49"/>
      <c r="H187" s="49"/>
      <c r="N187" s="13"/>
      <c r="O187" s="13"/>
      <c r="P187" s="13"/>
      <c r="Q187" s="13"/>
    </row>
    <row r="188" spans="4:17" ht="14.25" customHeight="1" x14ac:dyDescent="0.25">
      <c r="D188" s="49"/>
      <c r="E188" s="49"/>
      <c r="G188" s="49"/>
      <c r="H188" s="49"/>
      <c r="N188" s="13"/>
      <c r="O188" s="13"/>
      <c r="P188" s="13"/>
      <c r="Q188" s="13"/>
    </row>
    <row r="189" spans="4:17" ht="14.25" customHeight="1" x14ac:dyDescent="0.25">
      <c r="D189" s="49"/>
      <c r="E189" s="49"/>
      <c r="G189" s="49"/>
      <c r="H189" s="49"/>
      <c r="N189" s="13"/>
      <c r="O189" s="13"/>
      <c r="P189" s="13"/>
      <c r="Q189" s="13"/>
    </row>
    <row r="190" spans="4:17" ht="14.25" customHeight="1" x14ac:dyDescent="0.25">
      <c r="D190" s="49"/>
      <c r="E190" s="49"/>
      <c r="G190" s="49"/>
      <c r="H190" s="49"/>
      <c r="N190" s="13"/>
      <c r="O190" s="13"/>
      <c r="P190" s="13"/>
      <c r="Q190" s="13"/>
    </row>
    <row r="191" spans="4:17" ht="14.25" customHeight="1" x14ac:dyDescent="0.25">
      <c r="D191" s="49"/>
      <c r="E191" s="49"/>
      <c r="G191" s="49"/>
      <c r="H191" s="49"/>
      <c r="N191" s="13"/>
      <c r="O191" s="13"/>
      <c r="P191" s="13"/>
      <c r="Q191" s="13"/>
    </row>
    <row r="192" spans="4:17" ht="14.25" customHeight="1" x14ac:dyDescent="0.25">
      <c r="D192" s="49"/>
      <c r="E192" s="49"/>
      <c r="G192" s="49"/>
      <c r="H192" s="49"/>
      <c r="N192" s="13"/>
      <c r="O192" s="13"/>
      <c r="P192" s="13"/>
      <c r="Q192" s="13"/>
    </row>
    <row r="193" spans="4:17" ht="14.25" customHeight="1" x14ac:dyDescent="0.25">
      <c r="D193" s="49"/>
      <c r="E193" s="49"/>
      <c r="G193" s="49"/>
      <c r="H193" s="49"/>
      <c r="N193" s="13"/>
      <c r="O193" s="13"/>
      <c r="P193" s="13"/>
      <c r="Q193" s="13"/>
    </row>
    <row r="194" spans="4:17" ht="14.25" customHeight="1" x14ac:dyDescent="0.25">
      <c r="D194" s="49"/>
      <c r="E194" s="49"/>
      <c r="G194" s="49"/>
      <c r="H194" s="49"/>
      <c r="N194" s="13"/>
      <c r="O194" s="13"/>
      <c r="P194" s="13"/>
      <c r="Q194" s="13"/>
    </row>
    <row r="195" spans="4:17" ht="14.25" customHeight="1" x14ac:dyDescent="0.25">
      <c r="D195" s="49"/>
      <c r="E195" s="49"/>
      <c r="G195" s="49"/>
      <c r="H195" s="49"/>
      <c r="N195" s="13"/>
      <c r="O195" s="13"/>
      <c r="P195" s="13"/>
      <c r="Q195" s="13"/>
    </row>
    <row r="196" spans="4:17" ht="14.25" customHeight="1" x14ac:dyDescent="0.25">
      <c r="D196" s="49"/>
      <c r="E196" s="49"/>
      <c r="G196" s="49"/>
      <c r="H196" s="49"/>
      <c r="N196" s="13"/>
      <c r="O196" s="13"/>
      <c r="P196" s="13"/>
      <c r="Q196" s="13"/>
    </row>
    <row r="197" spans="4:17" ht="14.25" customHeight="1" x14ac:dyDescent="0.25">
      <c r="D197" s="49"/>
      <c r="E197" s="49"/>
      <c r="G197" s="49"/>
      <c r="H197" s="49"/>
      <c r="N197" s="13"/>
      <c r="O197" s="13"/>
      <c r="P197" s="13"/>
      <c r="Q197" s="13"/>
    </row>
    <row r="198" spans="4:17" ht="14.25" customHeight="1" x14ac:dyDescent="0.25">
      <c r="D198" s="49"/>
      <c r="E198" s="49"/>
      <c r="G198" s="49"/>
      <c r="H198" s="49"/>
      <c r="N198" s="13"/>
      <c r="O198" s="13"/>
      <c r="P198" s="13"/>
      <c r="Q198" s="13"/>
    </row>
    <row r="199" spans="4:17" ht="14.25" customHeight="1" x14ac:dyDescent="0.25">
      <c r="D199" s="49"/>
      <c r="E199" s="49"/>
      <c r="G199" s="49"/>
      <c r="H199" s="49"/>
      <c r="N199" s="13"/>
      <c r="O199" s="13"/>
      <c r="P199" s="13"/>
      <c r="Q199" s="13"/>
    </row>
    <row r="200" spans="4:17" ht="14.25" customHeight="1" x14ac:dyDescent="0.25">
      <c r="D200" s="49"/>
      <c r="E200" s="49"/>
      <c r="G200" s="49"/>
      <c r="H200" s="49"/>
      <c r="N200" s="13"/>
      <c r="O200" s="13"/>
      <c r="P200" s="13"/>
      <c r="Q200" s="13"/>
    </row>
    <row r="201" spans="4:17" ht="14.25" customHeight="1" x14ac:dyDescent="0.25">
      <c r="D201" s="49"/>
      <c r="E201" s="49"/>
      <c r="G201" s="49"/>
      <c r="H201" s="49"/>
      <c r="N201" s="13"/>
      <c r="O201" s="13"/>
      <c r="P201" s="13"/>
      <c r="Q201" s="13"/>
    </row>
    <row r="202" spans="4:17" ht="14.25" customHeight="1" x14ac:dyDescent="0.25">
      <c r="D202" s="49"/>
      <c r="E202" s="49"/>
      <c r="G202" s="49"/>
      <c r="H202" s="49"/>
      <c r="N202" s="13"/>
      <c r="O202" s="13"/>
      <c r="P202" s="13"/>
      <c r="Q202" s="13"/>
    </row>
    <row r="203" spans="4:17" ht="14.25" customHeight="1" x14ac:dyDescent="0.25">
      <c r="D203" s="49"/>
      <c r="E203" s="49"/>
      <c r="G203" s="49"/>
      <c r="H203" s="49"/>
      <c r="N203" s="13"/>
      <c r="O203" s="13"/>
      <c r="P203" s="13"/>
      <c r="Q203" s="13"/>
    </row>
    <row r="204" spans="4:17" ht="14.25" customHeight="1" x14ac:dyDescent="0.25">
      <c r="D204" s="49"/>
      <c r="E204" s="49"/>
      <c r="G204" s="49"/>
      <c r="H204" s="49"/>
      <c r="N204" s="13"/>
      <c r="O204" s="13"/>
      <c r="P204" s="13"/>
      <c r="Q204" s="13"/>
    </row>
    <row r="205" spans="4:17" ht="14.25" customHeight="1" x14ac:dyDescent="0.25">
      <c r="D205" s="49"/>
      <c r="E205" s="49"/>
      <c r="G205" s="49"/>
      <c r="H205" s="49"/>
      <c r="N205" s="13"/>
      <c r="O205" s="13"/>
      <c r="P205" s="13"/>
      <c r="Q205" s="13"/>
    </row>
    <row r="206" spans="4:17" ht="14.25" customHeight="1" x14ac:dyDescent="0.25">
      <c r="D206" s="49"/>
      <c r="E206" s="49"/>
      <c r="G206" s="49"/>
      <c r="H206" s="49"/>
      <c r="N206" s="13"/>
      <c r="O206" s="13"/>
      <c r="P206" s="13"/>
      <c r="Q206" s="13"/>
    </row>
    <row r="207" spans="4:17" ht="14.25" customHeight="1" x14ac:dyDescent="0.25">
      <c r="D207" s="49"/>
      <c r="E207" s="49"/>
      <c r="G207" s="49"/>
      <c r="H207" s="49"/>
      <c r="N207" s="13"/>
      <c r="O207" s="13"/>
      <c r="P207" s="13"/>
      <c r="Q207" s="13"/>
    </row>
    <row r="208" spans="4:17" ht="14.25" customHeight="1" x14ac:dyDescent="0.25">
      <c r="D208" s="49"/>
      <c r="E208" s="49"/>
      <c r="G208" s="49"/>
      <c r="H208" s="49"/>
      <c r="N208" s="13"/>
      <c r="O208" s="13"/>
      <c r="P208" s="13"/>
      <c r="Q208" s="13"/>
    </row>
    <row r="209" spans="4:17" ht="14.25" customHeight="1" x14ac:dyDescent="0.25">
      <c r="D209" s="49"/>
      <c r="E209" s="49"/>
      <c r="G209" s="49"/>
      <c r="H209" s="49"/>
      <c r="N209" s="13"/>
      <c r="O209" s="13"/>
      <c r="P209" s="13"/>
      <c r="Q209" s="13"/>
    </row>
    <row r="210" spans="4:17" ht="14.25" customHeight="1" x14ac:dyDescent="0.25">
      <c r="D210" s="49"/>
      <c r="E210" s="49"/>
      <c r="G210" s="49"/>
      <c r="H210" s="49"/>
      <c r="N210" s="13"/>
      <c r="O210" s="13"/>
      <c r="P210" s="13"/>
      <c r="Q210" s="13"/>
    </row>
    <row r="211" spans="4:17" ht="14.25" customHeight="1" x14ac:dyDescent="0.25">
      <c r="D211" s="49"/>
      <c r="E211" s="49"/>
      <c r="G211" s="49"/>
      <c r="H211" s="49"/>
      <c r="N211" s="13"/>
      <c r="O211" s="13"/>
      <c r="P211" s="13"/>
      <c r="Q211" s="13"/>
    </row>
    <row r="212" spans="4:17" ht="14.25" customHeight="1" x14ac:dyDescent="0.25">
      <c r="D212" s="49"/>
      <c r="E212" s="49"/>
      <c r="G212" s="49"/>
      <c r="H212" s="49"/>
      <c r="N212" s="13"/>
      <c r="O212" s="13"/>
      <c r="P212" s="13"/>
      <c r="Q212" s="13"/>
    </row>
    <row r="213" spans="4:17" ht="14.25" customHeight="1" x14ac:dyDescent="0.25">
      <c r="D213" s="49"/>
      <c r="E213" s="49"/>
      <c r="G213" s="49"/>
      <c r="H213" s="49"/>
      <c r="N213" s="13"/>
      <c r="O213" s="13"/>
      <c r="P213" s="13"/>
      <c r="Q213" s="13"/>
    </row>
    <row r="214" spans="4:17" ht="14.25" customHeight="1" x14ac:dyDescent="0.25">
      <c r="D214" s="49"/>
      <c r="E214" s="49"/>
      <c r="G214" s="49"/>
      <c r="H214" s="49"/>
      <c r="N214" s="13"/>
      <c r="O214" s="13"/>
      <c r="P214" s="13"/>
      <c r="Q214" s="13"/>
    </row>
    <row r="215" spans="4:17" ht="14.25" customHeight="1" x14ac:dyDescent="0.25">
      <c r="D215" s="49"/>
      <c r="E215" s="49"/>
      <c r="G215" s="49"/>
      <c r="H215" s="49"/>
      <c r="N215" s="13"/>
      <c r="O215" s="13"/>
      <c r="P215" s="13"/>
      <c r="Q215" s="13"/>
    </row>
    <row r="216" spans="4:17" ht="14.25" customHeight="1" x14ac:dyDescent="0.25">
      <c r="D216" s="49"/>
      <c r="E216" s="49"/>
      <c r="G216" s="49"/>
      <c r="H216" s="49"/>
      <c r="N216" s="13"/>
      <c r="O216" s="13"/>
      <c r="P216" s="13"/>
      <c r="Q216" s="13"/>
    </row>
    <row r="217" spans="4:17" ht="14.25" customHeight="1" x14ac:dyDescent="0.25">
      <c r="D217" s="49"/>
      <c r="E217" s="49"/>
      <c r="G217" s="49"/>
      <c r="H217" s="49"/>
      <c r="N217" s="13"/>
      <c r="O217" s="13"/>
      <c r="P217" s="13"/>
      <c r="Q217" s="13"/>
    </row>
    <row r="218" spans="4:17" ht="14.25" customHeight="1" x14ac:dyDescent="0.25">
      <c r="D218" s="49"/>
      <c r="E218" s="49"/>
      <c r="G218" s="49"/>
      <c r="H218" s="49"/>
      <c r="N218" s="13"/>
      <c r="O218" s="13"/>
      <c r="P218" s="13"/>
      <c r="Q218" s="13"/>
    </row>
    <row r="219" spans="4:17" ht="14.25" customHeight="1" x14ac:dyDescent="0.25">
      <c r="D219" s="49"/>
      <c r="E219" s="49"/>
      <c r="G219" s="49"/>
      <c r="H219" s="49"/>
      <c r="N219" s="13"/>
      <c r="O219" s="13"/>
      <c r="P219" s="13"/>
      <c r="Q219" s="13"/>
    </row>
    <row r="220" spans="4:17" ht="14.25" customHeight="1" x14ac:dyDescent="0.25">
      <c r="D220" s="49"/>
      <c r="E220" s="49"/>
      <c r="G220" s="49"/>
      <c r="H220" s="49"/>
      <c r="N220" s="13"/>
      <c r="O220" s="13"/>
      <c r="P220" s="13"/>
      <c r="Q220" s="13"/>
    </row>
    <row r="221" spans="4:17" ht="14.25" customHeight="1" x14ac:dyDescent="0.25">
      <c r="D221" s="49"/>
      <c r="E221" s="49"/>
      <c r="G221" s="49"/>
      <c r="H221" s="49"/>
      <c r="N221" s="13"/>
      <c r="O221" s="13"/>
      <c r="P221" s="13"/>
      <c r="Q221" s="13"/>
    </row>
    <row r="222" spans="4:17" ht="14.25" customHeight="1" x14ac:dyDescent="0.25">
      <c r="D222" s="49"/>
      <c r="E222" s="49"/>
      <c r="G222" s="49"/>
      <c r="H222" s="49"/>
      <c r="N222" s="13"/>
      <c r="O222" s="13"/>
      <c r="P222" s="13"/>
      <c r="Q222" s="13"/>
    </row>
    <row r="223" spans="4:17" ht="14.25" customHeight="1" x14ac:dyDescent="0.25">
      <c r="D223" s="49"/>
      <c r="E223" s="49"/>
      <c r="G223" s="49"/>
      <c r="H223" s="49"/>
      <c r="N223" s="13"/>
      <c r="O223" s="13"/>
      <c r="P223" s="13"/>
      <c r="Q223" s="13"/>
    </row>
    <row r="224" spans="4:17" ht="14.25" customHeight="1" x14ac:dyDescent="0.25">
      <c r="D224" s="49"/>
      <c r="E224" s="49"/>
      <c r="G224" s="49"/>
      <c r="H224" s="49"/>
      <c r="N224" s="13"/>
      <c r="O224" s="13"/>
      <c r="P224" s="13"/>
      <c r="Q224" s="13"/>
    </row>
    <row r="225" spans="4:47" ht="14.25" customHeight="1" x14ac:dyDescent="0.25">
      <c r="D225" s="49"/>
      <c r="E225" s="49"/>
      <c r="G225" s="49"/>
      <c r="H225" s="49"/>
      <c r="N225" s="13"/>
      <c r="O225" s="13"/>
      <c r="P225" s="13"/>
      <c r="Q225" s="13"/>
    </row>
    <row r="226" spans="4:47" ht="14.25" customHeight="1" x14ac:dyDescent="0.25">
      <c r="D226" s="49"/>
      <c r="E226" s="49"/>
      <c r="G226" s="49"/>
      <c r="H226" s="49"/>
      <c r="N226" s="13"/>
      <c r="O226" s="13"/>
      <c r="P226" s="13"/>
      <c r="Q226" s="13"/>
      <c r="AI226" s="50"/>
      <c r="AU226" s="50"/>
    </row>
    <row r="227" spans="4:47" ht="14.25" customHeight="1" x14ac:dyDescent="0.25">
      <c r="D227" s="49"/>
      <c r="E227" s="49"/>
      <c r="G227" s="49"/>
      <c r="H227" s="49"/>
      <c r="N227" s="13"/>
      <c r="O227" s="13"/>
      <c r="P227" s="13"/>
      <c r="Q227" s="13"/>
      <c r="AI227" s="50"/>
      <c r="AU227" s="50"/>
    </row>
    <row r="228" spans="4:47" ht="14.25" customHeight="1" x14ac:dyDescent="0.25">
      <c r="D228" s="49"/>
      <c r="E228" s="49"/>
      <c r="G228" s="49"/>
      <c r="H228" s="49"/>
      <c r="N228" s="13"/>
      <c r="O228" s="13"/>
      <c r="P228" s="13"/>
      <c r="Q228" s="13"/>
      <c r="AI228" s="50"/>
      <c r="AU228" s="50"/>
    </row>
    <row r="229" spans="4:47" ht="14.25" customHeight="1" x14ac:dyDescent="0.25">
      <c r="D229" s="49"/>
      <c r="E229" s="49"/>
      <c r="G229" s="49"/>
      <c r="H229" s="49"/>
      <c r="N229" s="13"/>
      <c r="O229" s="13"/>
      <c r="P229" s="13"/>
      <c r="Q229" s="13"/>
      <c r="AI229" s="50"/>
      <c r="AU229" s="50"/>
    </row>
    <row r="230" spans="4:47" ht="14.25" customHeight="1" x14ac:dyDescent="0.25">
      <c r="D230" s="49"/>
      <c r="E230" s="49"/>
      <c r="G230" s="49"/>
      <c r="H230" s="49"/>
      <c r="N230" s="13"/>
      <c r="O230" s="13"/>
      <c r="P230" s="13"/>
      <c r="Q230" s="13"/>
      <c r="AI230" s="50"/>
      <c r="AU230" s="50"/>
    </row>
    <row r="231" spans="4:47" ht="14.25" customHeight="1" x14ac:dyDescent="0.25">
      <c r="D231" s="49"/>
      <c r="E231" s="49"/>
      <c r="G231" s="49"/>
      <c r="H231" s="49"/>
      <c r="N231" s="13"/>
      <c r="O231" s="13"/>
      <c r="P231" s="13"/>
      <c r="Q231" s="13"/>
      <c r="AI231" s="50"/>
      <c r="AU231" s="50"/>
    </row>
    <row r="232" spans="4:47" ht="14.25" customHeight="1" x14ac:dyDescent="0.25">
      <c r="D232" s="49"/>
      <c r="E232" s="49"/>
      <c r="G232" s="49"/>
      <c r="H232" s="49"/>
      <c r="N232" s="13"/>
      <c r="O232" s="13"/>
      <c r="P232" s="13"/>
      <c r="Q232" s="13"/>
      <c r="AI232" s="50"/>
      <c r="AU232" s="50"/>
    </row>
    <row r="233" spans="4:47" ht="14.25" customHeight="1" x14ac:dyDescent="0.25">
      <c r="D233" s="49"/>
      <c r="E233" s="49"/>
      <c r="G233" s="49"/>
      <c r="H233" s="49"/>
      <c r="N233" s="13"/>
      <c r="O233" s="13"/>
      <c r="P233" s="13"/>
      <c r="Q233" s="13"/>
      <c r="AI233" s="50"/>
      <c r="AU233" s="50"/>
    </row>
    <row r="234" spans="4:47" ht="14.25" customHeight="1" x14ac:dyDescent="0.25">
      <c r="D234" s="49"/>
      <c r="E234" s="49"/>
      <c r="G234" s="49"/>
      <c r="H234" s="49"/>
      <c r="N234" s="13"/>
      <c r="O234" s="13"/>
      <c r="P234" s="13"/>
      <c r="Q234" s="13"/>
      <c r="AI234" s="50"/>
      <c r="AU234" s="50"/>
    </row>
    <row r="235" spans="4:47" ht="14.25" customHeight="1" x14ac:dyDescent="0.25">
      <c r="D235" s="49"/>
      <c r="E235" s="49"/>
      <c r="G235" s="49"/>
      <c r="H235" s="49"/>
      <c r="N235" s="13"/>
      <c r="O235" s="13"/>
      <c r="P235" s="13"/>
      <c r="Q235" s="13"/>
      <c r="AI235" s="50"/>
      <c r="AU235" s="50"/>
    </row>
    <row r="236" spans="4:47" ht="14.25" customHeight="1" x14ac:dyDescent="0.25">
      <c r="D236" s="49"/>
      <c r="E236" s="49"/>
      <c r="G236" s="49"/>
      <c r="H236" s="49"/>
      <c r="N236" s="13"/>
      <c r="O236" s="13"/>
      <c r="P236" s="13"/>
      <c r="Q236" s="13"/>
      <c r="AI236" s="50"/>
      <c r="AU236" s="50"/>
    </row>
    <row r="237" spans="4:47" ht="14.25" customHeight="1" x14ac:dyDescent="0.25">
      <c r="D237" s="49"/>
      <c r="E237" s="49"/>
      <c r="G237" s="49"/>
      <c r="H237" s="49"/>
      <c r="N237" s="13"/>
      <c r="O237" s="13"/>
      <c r="P237" s="13"/>
      <c r="Q237" s="13"/>
      <c r="AI237" s="50"/>
      <c r="AU237" s="50"/>
    </row>
    <row r="238" spans="4:47" ht="14.25" customHeight="1" x14ac:dyDescent="0.25">
      <c r="D238" s="49"/>
      <c r="E238" s="49"/>
      <c r="G238" s="49"/>
      <c r="H238" s="49"/>
      <c r="N238" s="13"/>
      <c r="O238" s="13"/>
      <c r="P238" s="13"/>
      <c r="Q238" s="13"/>
      <c r="AI238" s="50"/>
      <c r="AU238" s="50"/>
    </row>
    <row r="239" spans="4:47" ht="14.25" customHeight="1" x14ac:dyDescent="0.25">
      <c r="D239" s="49"/>
      <c r="E239" s="49"/>
      <c r="G239" s="49"/>
      <c r="H239" s="49"/>
      <c r="N239" s="13"/>
      <c r="O239" s="13"/>
      <c r="P239" s="13"/>
      <c r="Q239" s="13"/>
      <c r="AI239" s="50"/>
      <c r="AU239" s="50"/>
    </row>
    <row r="240" spans="4:47" ht="14.25" customHeight="1" x14ac:dyDescent="0.25">
      <c r="D240" s="49"/>
      <c r="E240" s="49"/>
      <c r="G240" s="49"/>
      <c r="H240" s="49"/>
      <c r="N240" s="13"/>
      <c r="O240" s="13"/>
      <c r="P240" s="13"/>
      <c r="Q240" s="13"/>
      <c r="AI240" s="50"/>
      <c r="AU240" s="50"/>
    </row>
    <row r="241" spans="4:47" ht="14.25" customHeight="1" x14ac:dyDescent="0.25">
      <c r="D241" s="49"/>
      <c r="E241" s="49"/>
      <c r="G241" s="49"/>
      <c r="H241" s="49"/>
      <c r="N241" s="13"/>
      <c r="O241" s="13"/>
      <c r="P241" s="13"/>
      <c r="Q241" s="13"/>
      <c r="AI241" s="50"/>
      <c r="AU241" s="50"/>
    </row>
    <row r="242" spans="4:47" ht="14.25" customHeight="1" x14ac:dyDescent="0.25">
      <c r="D242" s="49"/>
      <c r="E242" s="49"/>
      <c r="G242" s="49"/>
      <c r="H242" s="49"/>
      <c r="N242" s="13"/>
      <c r="O242" s="13"/>
      <c r="P242" s="13"/>
      <c r="Q242" s="13"/>
      <c r="AI242" s="50"/>
      <c r="AU242" s="50"/>
    </row>
    <row r="243" spans="4:47" ht="14.25" customHeight="1" x14ac:dyDescent="0.25">
      <c r="D243" s="49"/>
      <c r="E243" s="49"/>
      <c r="G243" s="49"/>
      <c r="H243" s="49"/>
      <c r="N243" s="13"/>
      <c r="O243" s="13"/>
      <c r="P243" s="13"/>
      <c r="Q243" s="13"/>
      <c r="AI243" s="50"/>
      <c r="AU243" s="50"/>
    </row>
    <row r="244" spans="4:47" ht="14.25" customHeight="1" x14ac:dyDescent="0.25">
      <c r="D244" s="49"/>
      <c r="E244" s="49"/>
      <c r="G244" s="49"/>
      <c r="H244" s="49"/>
      <c r="N244" s="13"/>
      <c r="O244" s="13"/>
      <c r="P244" s="13"/>
      <c r="Q244" s="13"/>
      <c r="AI244" s="50"/>
      <c r="AU244" s="50"/>
    </row>
    <row r="245" spans="4:47" ht="14.25" customHeight="1" x14ac:dyDescent="0.25">
      <c r="D245" s="49"/>
      <c r="E245" s="49"/>
      <c r="G245" s="49"/>
      <c r="H245" s="49"/>
      <c r="N245" s="13"/>
      <c r="O245" s="13"/>
      <c r="P245" s="13"/>
      <c r="Q245" s="13"/>
      <c r="AI245" s="50"/>
      <c r="AU245" s="50"/>
    </row>
    <row r="246" spans="4:47" ht="14.25" customHeight="1" x14ac:dyDescent="0.25">
      <c r="D246" s="49"/>
      <c r="E246" s="49"/>
      <c r="G246" s="49"/>
      <c r="H246" s="49"/>
      <c r="N246" s="13"/>
      <c r="O246" s="13"/>
      <c r="P246" s="13"/>
      <c r="Q246" s="13"/>
      <c r="AI246" s="50"/>
      <c r="AU246" s="50"/>
    </row>
    <row r="247" spans="4:47" ht="14.25" customHeight="1" x14ac:dyDescent="0.25">
      <c r="D247" s="49"/>
      <c r="E247" s="49"/>
      <c r="G247" s="49"/>
      <c r="H247" s="49"/>
      <c r="N247" s="13"/>
      <c r="O247" s="13"/>
      <c r="P247" s="13"/>
      <c r="Q247" s="13"/>
      <c r="AI247" s="50"/>
      <c r="AU247" s="50"/>
    </row>
    <row r="248" spans="4:47" ht="14.25" customHeight="1" x14ac:dyDescent="0.25">
      <c r="D248" s="49"/>
      <c r="E248" s="49"/>
      <c r="G248" s="49"/>
      <c r="H248" s="49"/>
      <c r="N248" s="13"/>
      <c r="O248" s="13"/>
      <c r="P248" s="13"/>
      <c r="Q248" s="13"/>
      <c r="AI248" s="50"/>
      <c r="AU248" s="50"/>
    </row>
    <row r="249" spans="4:47" ht="14.25" customHeight="1" x14ac:dyDescent="0.25">
      <c r="D249" s="49"/>
      <c r="E249" s="49"/>
      <c r="G249" s="49"/>
      <c r="H249" s="49"/>
      <c r="N249" s="13"/>
      <c r="O249" s="13"/>
      <c r="P249" s="13"/>
      <c r="Q249" s="13"/>
      <c r="AI249" s="50"/>
      <c r="AU249" s="50"/>
    </row>
    <row r="250" spans="4:47" ht="14.25" customHeight="1" x14ac:dyDescent="0.25">
      <c r="D250" s="49"/>
      <c r="E250" s="49"/>
      <c r="G250" s="49"/>
      <c r="H250" s="49"/>
      <c r="N250" s="13"/>
      <c r="O250" s="13"/>
      <c r="P250" s="13"/>
      <c r="Q250" s="13"/>
      <c r="AI250" s="50"/>
      <c r="AU250" s="50"/>
    </row>
    <row r="251" spans="4:47" ht="14.25" customHeight="1" x14ac:dyDescent="0.25">
      <c r="D251" s="49"/>
      <c r="E251" s="49"/>
      <c r="G251" s="49"/>
      <c r="H251" s="49"/>
      <c r="N251" s="13"/>
      <c r="O251" s="13"/>
      <c r="P251" s="13"/>
      <c r="Q251" s="13"/>
      <c r="AI251" s="50"/>
      <c r="AU251" s="50"/>
    </row>
    <row r="252" spans="4:47" ht="14.25" customHeight="1" x14ac:dyDescent="0.25">
      <c r="D252" s="49"/>
      <c r="E252" s="49"/>
      <c r="G252" s="49"/>
      <c r="H252" s="49"/>
      <c r="N252" s="13"/>
      <c r="O252" s="13"/>
      <c r="P252" s="13"/>
      <c r="Q252" s="13"/>
      <c r="AI252" s="50"/>
      <c r="AU252" s="50"/>
    </row>
    <row r="253" spans="4:47" ht="14.25" customHeight="1" x14ac:dyDescent="0.25">
      <c r="D253" s="49"/>
      <c r="E253" s="49"/>
      <c r="G253" s="49"/>
      <c r="H253" s="49"/>
      <c r="N253" s="13"/>
      <c r="O253" s="13"/>
      <c r="P253" s="13"/>
      <c r="Q253" s="13"/>
      <c r="AI253" s="50"/>
      <c r="AU253" s="50"/>
    </row>
    <row r="254" spans="4:47" ht="14.25" customHeight="1" x14ac:dyDescent="0.25">
      <c r="D254" s="49"/>
      <c r="E254" s="49"/>
      <c r="G254" s="49"/>
      <c r="H254" s="49"/>
      <c r="N254" s="13"/>
      <c r="O254" s="13"/>
      <c r="P254" s="13"/>
      <c r="Q254" s="13"/>
      <c r="AI254" s="50"/>
      <c r="AU254" s="50"/>
    </row>
    <row r="255" spans="4:47" ht="14.25" customHeight="1" x14ac:dyDescent="0.25">
      <c r="D255" s="49"/>
      <c r="E255" s="49"/>
      <c r="G255" s="49"/>
      <c r="H255" s="49"/>
      <c r="N255" s="13"/>
      <c r="O255" s="13"/>
      <c r="P255" s="13"/>
      <c r="Q255" s="13"/>
      <c r="AI255" s="50"/>
      <c r="AU255" s="50"/>
    </row>
    <row r="256" spans="4:47" ht="14.25" customHeight="1" x14ac:dyDescent="0.25">
      <c r="D256" s="49"/>
      <c r="E256" s="49"/>
      <c r="G256" s="49"/>
      <c r="H256" s="49"/>
      <c r="N256" s="13"/>
      <c r="O256" s="13"/>
      <c r="P256" s="13"/>
      <c r="Q256" s="13"/>
      <c r="AI256" s="50"/>
      <c r="AU256" s="50"/>
    </row>
    <row r="257" spans="4:47" ht="14.25" customHeight="1" x14ac:dyDescent="0.25">
      <c r="D257" s="49"/>
      <c r="E257" s="49"/>
      <c r="G257" s="49"/>
      <c r="H257" s="49"/>
      <c r="N257" s="13"/>
      <c r="O257" s="13"/>
      <c r="P257" s="13"/>
      <c r="Q257" s="13"/>
      <c r="AI257" s="50"/>
      <c r="AU257" s="50"/>
    </row>
    <row r="258" spans="4:47" ht="14.25" customHeight="1" x14ac:dyDescent="0.25">
      <c r="D258" s="49"/>
      <c r="E258" s="49"/>
      <c r="G258" s="49"/>
      <c r="H258" s="49"/>
      <c r="N258" s="13"/>
      <c r="O258" s="13"/>
      <c r="P258" s="13"/>
      <c r="Q258" s="13"/>
      <c r="AI258" s="50"/>
      <c r="AU258" s="50"/>
    </row>
    <row r="259" spans="4:47" ht="14.25" customHeight="1" x14ac:dyDescent="0.25">
      <c r="D259" s="49"/>
      <c r="E259" s="49"/>
      <c r="G259" s="49"/>
      <c r="H259" s="49"/>
      <c r="N259" s="13"/>
      <c r="O259" s="13"/>
      <c r="P259" s="13"/>
      <c r="Q259" s="13"/>
      <c r="AI259" s="50"/>
      <c r="AU259" s="50"/>
    </row>
    <row r="260" spans="4:47" ht="14.25" customHeight="1" x14ac:dyDescent="0.25">
      <c r="D260" s="49"/>
      <c r="E260" s="49"/>
      <c r="G260" s="49"/>
      <c r="H260" s="49"/>
      <c r="N260" s="13"/>
      <c r="O260" s="13"/>
      <c r="P260" s="13"/>
      <c r="Q260" s="13"/>
      <c r="AI260" s="50"/>
      <c r="AU260" s="50"/>
    </row>
    <row r="261" spans="4:47" ht="14.25" customHeight="1" x14ac:dyDescent="0.25">
      <c r="D261" s="49"/>
      <c r="E261" s="49"/>
      <c r="G261" s="49"/>
      <c r="H261" s="49"/>
      <c r="N261" s="13"/>
      <c r="O261" s="13"/>
      <c r="P261" s="13"/>
      <c r="Q261" s="13"/>
      <c r="AI261" s="50"/>
      <c r="AU261" s="50"/>
    </row>
    <row r="262" spans="4:47" ht="14.25" customHeight="1" x14ac:dyDescent="0.25">
      <c r="D262" s="49"/>
      <c r="E262" s="49"/>
      <c r="G262" s="49"/>
      <c r="H262" s="49"/>
      <c r="N262" s="13"/>
      <c r="O262" s="13"/>
      <c r="P262" s="13"/>
      <c r="Q262" s="13"/>
      <c r="AI262" s="50"/>
      <c r="AU262" s="50"/>
    </row>
    <row r="263" spans="4:47" ht="14.25" customHeight="1" x14ac:dyDescent="0.25">
      <c r="D263" s="49"/>
      <c r="E263" s="49"/>
      <c r="G263" s="49"/>
      <c r="H263" s="49"/>
      <c r="N263" s="13"/>
      <c r="O263" s="13"/>
      <c r="P263" s="13"/>
      <c r="Q263" s="13"/>
      <c r="AI263" s="50"/>
      <c r="AU263" s="50"/>
    </row>
    <row r="264" spans="4:47" ht="14.25" customHeight="1" x14ac:dyDescent="0.25">
      <c r="D264" s="49"/>
      <c r="E264" s="49"/>
      <c r="G264" s="49"/>
      <c r="H264" s="49"/>
      <c r="N264" s="13"/>
      <c r="O264" s="13"/>
      <c r="P264" s="13"/>
      <c r="Q264" s="13"/>
      <c r="AI264" s="50"/>
      <c r="AU264" s="50"/>
    </row>
    <row r="265" spans="4:47" ht="14.25" customHeight="1" x14ac:dyDescent="0.25">
      <c r="D265" s="49"/>
      <c r="E265" s="49"/>
      <c r="G265" s="49"/>
      <c r="H265" s="49"/>
      <c r="N265" s="13"/>
      <c r="O265" s="13"/>
      <c r="P265" s="13"/>
      <c r="Q265" s="13"/>
      <c r="AI265" s="50"/>
      <c r="AU265" s="50"/>
    </row>
    <row r="266" spans="4:47" ht="14.25" customHeight="1" x14ac:dyDescent="0.25">
      <c r="D266" s="49"/>
      <c r="E266" s="49"/>
      <c r="G266" s="49"/>
      <c r="H266" s="49"/>
      <c r="N266" s="13"/>
      <c r="O266" s="13"/>
      <c r="P266" s="13"/>
      <c r="Q266" s="13"/>
      <c r="AI266" s="50"/>
      <c r="AU266" s="50"/>
    </row>
    <row r="267" spans="4:47" ht="14.25" customHeight="1" x14ac:dyDescent="0.25">
      <c r="D267" s="49"/>
      <c r="E267" s="49"/>
      <c r="G267" s="49"/>
      <c r="H267" s="49"/>
      <c r="N267" s="13"/>
      <c r="O267" s="13"/>
      <c r="P267" s="13"/>
      <c r="Q267" s="13"/>
      <c r="AI267" s="50"/>
      <c r="AU267" s="50"/>
    </row>
    <row r="268" spans="4:47" ht="14.25" customHeight="1" x14ac:dyDescent="0.25">
      <c r="D268" s="49"/>
      <c r="E268" s="49"/>
      <c r="G268" s="49"/>
      <c r="H268" s="49"/>
      <c r="N268" s="13"/>
      <c r="O268" s="13"/>
      <c r="P268" s="13"/>
      <c r="Q268" s="13"/>
      <c r="AI268" s="50"/>
      <c r="AU268" s="50"/>
    </row>
    <row r="269" spans="4:47" ht="14.25" customHeight="1" x14ac:dyDescent="0.25">
      <c r="D269" s="49"/>
      <c r="E269" s="49"/>
      <c r="G269" s="49"/>
      <c r="H269" s="49"/>
      <c r="N269" s="13"/>
      <c r="O269" s="13"/>
      <c r="P269" s="13"/>
      <c r="Q269" s="13"/>
      <c r="AI269" s="50"/>
      <c r="AU269" s="50"/>
    </row>
    <row r="270" spans="4:47" ht="14.25" customHeight="1" x14ac:dyDescent="0.25">
      <c r="D270" s="49"/>
      <c r="E270" s="49"/>
      <c r="G270" s="49"/>
      <c r="H270" s="49"/>
      <c r="N270" s="13"/>
      <c r="O270" s="13"/>
      <c r="P270" s="13"/>
      <c r="Q270" s="13"/>
      <c r="AI270" s="50"/>
      <c r="AU270" s="50"/>
    </row>
    <row r="271" spans="4:47" ht="14.25" customHeight="1" x14ac:dyDescent="0.25">
      <c r="D271" s="49"/>
      <c r="E271" s="49"/>
      <c r="G271" s="49"/>
      <c r="H271" s="49"/>
      <c r="N271" s="13"/>
      <c r="O271" s="13"/>
      <c r="P271" s="13"/>
      <c r="Q271" s="13"/>
      <c r="AI271" s="50"/>
      <c r="AU271" s="50"/>
    </row>
    <row r="272" spans="4:47" ht="14.25" customHeight="1" x14ac:dyDescent="0.25">
      <c r="D272" s="49"/>
      <c r="E272" s="49"/>
      <c r="G272" s="49"/>
      <c r="H272" s="49"/>
      <c r="N272" s="13"/>
      <c r="O272" s="13"/>
      <c r="P272" s="13"/>
      <c r="Q272" s="13"/>
      <c r="AI272" s="50"/>
      <c r="AU272" s="50"/>
    </row>
    <row r="273" spans="4:47" ht="14.25" customHeight="1" x14ac:dyDescent="0.25">
      <c r="D273" s="49"/>
      <c r="E273" s="49"/>
      <c r="G273" s="49"/>
      <c r="H273" s="49"/>
      <c r="N273" s="13"/>
      <c r="O273" s="13"/>
      <c r="P273" s="13"/>
      <c r="Q273" s="13"/>
      <c r="AI273" s="50"/>
      <c r="AU273" s="50"/>
    </row>
    <row r="274" spans="4:47" ht="14.25" customHeight="1" x14ac:dyDescent="0.25">
      <c r="D274" s="49"/>
      <c r="E274" s="49"/>
      <c r="G274" s="49"/>
      <c r="H274" s="49"/>
      <c r="N274" s="13"/>
      <c r="O274" s="13"/>
      <c r="P274" s="13"/>
      <c r="Q274" s="13"/>
      <c r="AI274" s="50"/>
      <c r="AU274" s="50"/>
    </row>
    <row r="275" spans="4:47" ht="14.25" customHeight="1" x14ac:dyDescent="0.25">
      <c r="D275" s="49"/>
      <c r="E275" s="49"/>
      <c r="G275" s="49"/>
      <c r="H275" s="49"/>
      <c r="N275" s="13"/>
      <c r="O275" s="13"/>
      <c r="P275" s="13"/>
      <c r="Q275" s="13"/>
      <c r="AI275" s="50"/>
      <c r="AU275" s="50"/>
    </row>
    <row r="276" spans="4:47" ht="14.25" customHeight="1" x14ac:dyDescent="0.25">
      <c r="D276" s="49"/>
      <c r="E276" s="49"/>
      <c r="G276" s="49"/>
      <c r="H276" s="49"/>
      <c r="N276" s="13"/>
      <c r="O276" s="13"/>
      <c r="P276" s="13"/>
      <c r="Q276" s="13"/>
      <c r="AI276" s="50"/>
      <c r="AU276" s="50"/>
    </row>
    <row r="277" spans="4:47" ht="14.25" customHeight="1" x14ac:dyDescent="0.25">
      <c r="D277" s="49"/>
      <c r="E277" s="49"/>
      <c r="G277" s="49"/>
      <c r="H277" s="49"/>
      <c r="N277" s="13"/>
      <c r="O277" s="13"/>
      <c r="P277" s="13"/>
      <c r="Q277" s="13"/>
      <c r="AI277" s="50"/>
      <c r="AU277" s="50"/>
    </row>
    <row r="278" spans="4:47" ht="14.25" customHeight="1" x14ac:dyDescent="0.25">
      <c r="D278" s="49"/>
      <c r="E278" s="49"/>
      <c r="G278" s="49"/>
      <c r="H278" s="49"/>
      <c r="N278" s="13"/>
      <c r="O278" s="13"/>
      <c r="P278" s="13"/>
      <c r="Q278" s="13"/>
      <c r="AI278" s="50"/>
      <c r="AU278" s="50"/>
    </row>
    <row r="279" spans="4:47" ht="14.25" customHeight="1" x14ac:dyDescent="0.25">
      <c r="D279" s="49"/>
      <c r="E279" s="49"/>
      <c r="G279" s="49"/>
      <c r="H279" s="49"/>
      <c r="N279" s="13"/>
      <c r="O279" s="13"/>
      <c r="P279" s="13"/>
      <c r="Q279" s="13"/>
      <c r="AI279" s="50"/>
      <c r="AU279" s="50"/>
    </row>
    <row r="280" spans="4:47" ht="14.25" customHeight="1" x14ac:dyDescent="0.25">
      <c r="D280" s="49"/>
      <c r="E280" s="49"/>
      <c r="G280" s="49"/>
      <c r="H280" s="49"/>
      <c r="N280" s="13"/>
      <c r="O280" s="13"/>
      <c r="P280" s="13"/>
      <c r="Q280" s="13"/>
      <c r="AI280" s="50"/>
      <c r="AU280" s="50"/>
    </row>
  </sheetData>
  <mergeCells count="67">
    <mergeCell ref="AZ52:BG52"/>
    <mergeCell ref="B11:B33"/>
    <mergeCell ref="B36:B57"/>
    <mergeCell ref="B59:B80"/>
    <mergeCell ref="V5:Y5"/>
    <mergeCell ref="Z5:AC5"/>
    <mergeCell ref="J8:M8"/>
    <mergeCell ref="O8:P8"/>
    <mergeCell ref="O10:P10"/>
    <mergeCell ref="AB16:AC16"/>
    <mergeCell ref="AA20:AB20"/>
    <mergeCell ref="AO46:AP46"/>
    <mergeCell ref="AU46:AV46"/>
    <mergeCell ref="AU48:BB48"/>
    <mergeCell ref="AU50:AZ50"/>
    <mergeCell ref="AC40:AQ40"/>
    <mergeCell ref="BV5:BY5"/>
    <mergeCell ref="Z16:AA16"/>
    <mergeCell ref="X20:Y20"/>
    <mergeCell ref="AA40:AB40"/>
    <mergeCell ref="AI44:AL44"/>
    <mergeCell ref="AT5:AW5"/>
    <mergeCell ref="AX5:BA5"/>
    <mergeCell ref="AU44:AW44"/>
    <mergeCell ref="BB5:BE5"/>
    <mergeCell ref="BF5:BI5"/>
    <mergeCell ref="BJ5:BM5"/>
    <mergeCell ref="BN5:BQ5"/>
    <mergeCell ref="BR5:BU5"/>
    <mergeCell ref="BC26:BH26"/>
    <mergeCell ref="AU28:BB28"/>
    <mergeCell ref="AD38:AS38"/>
    <mergeCell ref="BP73:BU73"/>
    <mergeCell ref="BU75:CB75"/>
    <mergeCell ref="AI63:BL63"/>
    <mergeCell ref="BL65:BO65"/>
    <mergeCell ref="BD67:BG67"/>
    <mergeCell ref="BQ67:BS67"/>
    <mergeCell ref="BJ69:BK69"/>
    <mergeCell ref="BQ69:BR69"/>
    <mergeCell ref="BP71:BW71"/>
    <mergeCell ref="AQ42:AT42"/>
    <mergeCell ref="AJ22:AK22"/>
    <mergeCell ref="AP22:AQ22"/>
    <mergeCell ref="AP24:AW24"/>
    <mergeCell ref="AP26:AU26"/>
    <mergeCell ref="AD14:AN14"/>
    <mergeCell ref="AD16:AL16"/>
    <mergeCell ref="AL18:AO18"/>
    <mergeCell ref="AD20:AG20"/>
    <mergeCell ref="AP20:AR20"/>
    <mergeCell ref="BZ5:CC5"/>
    <mergeCell ref="CD5:CG5"/>
    <mergeCell ref="CH5:CK5"/>
    <mergeCell ref="CL5:CO5"/>
    <mergeCell ref="D3:H3"/>
    <mergeCell ref="J3:BA3"/>
    <mergeCell ref="BB3:CS3"/>
    <mergeCell ref="D5:H5"/>
    <mergeCell ref="J5:M5"/>
    <mergeCell ref="N5:Q5"/>
    <mergeCell ref="R5:U5"/>
    <mergeCell ref="CP5:CS5"/>
    <mergeCell ref="AL5:AO5"/>
    <mergeCell ref="AP5:AS5"/>
    <mergeCell ref="AD5:AG5"/>
    <mergeCell ref="AH5:AK5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BA984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baseColWidth="10" defaultColWidth="14.42578125" defaultRowHeight="15" customHeight="1" x14ac:dyDescent="0.25"/>
  <cols>
    <col min="1" max="1" width="2.7109375" customWidth="1"/>
    <col min="2" max="2" width="15.42578125" customWidth="1"/>
    <col min="3" max="3" width="8" customWidth="1"/>
    <col min="4" max="4" width="33.42578125" customWidth="1"/>
    <col min="5" max="5" width="3.140625" customWidth="1"/>
    <col min="6" max="49" width="30.7109375" customWidth="1"/>
  </cols>
  <sheetData>
    <row r="1" spans="2:53" ht="14.25" customHeight="1" x14ac:dyDescent="0.25">
      <c r="D1" s="26"/>
    </row>
    <row r="2" spans="2:53" ht="14.25" customHeight="1" x14ac:dyDescent="0.25">
      <c r="D2" s="26"/>
    </row>
    <row r="3" spans="2:53" ht="49.5" customHeight="1" x14ac:dyDescent="0.25">
      <c r="D3" s="26"/>
      <c r="F3" s="149">
        <v>2026</v>
      </c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1"/>
    </row>
    <row r="4" spans="2:53" ht="9.75" customHeight="1" x14ac:dyDescent="0.25">
      <c r="D4" s="26"/>
      <c r="J4" s="13"/>
      <c r="K4" s="13"/>
      <c r="L4" s="13"/>
      <c r="M4" s="13"/>
    </row>
    <row r="5" spans="2:53" ht="57.75" customHeight="1" x14ac:dyDescent="0.25">
      <c r="D5" s="152" t="s">
        <v>28</v>
      </c>
      <c r="E5" s="52"/>
      <c r="F5" s="575" t="s">
        <v>56</v>
      </c>
      <c r="G5" s="568"/>
      <c r="H5" s="568"/>
      <c r="I5" s="569"/>
      <c r="J5" s="577" t="s">
        <v>57</v>
      </c>
      <c r="K5" s="568"/>
      <c r="L5" s="568"/>
      <c r="M5" s="569"/>
      <c r="N5" s="575" t="s">
        <v>58</v>
      </c>
      <c r="O5" s="568"/>
      <c r="P5" s="568"/>
      <c r="Q5" s="569"/>
      <c r="R5" s="575" t="s">
        <v>59</v>
      </c>
      <c r="S5" s="568"/>
      <c r="T5" s="568"/>
      <c r="U5" s="569"/>
      <c r="V5" s="575" t="s">
        <v>1</v>
      </c>
      <c r="W5" s="568"/>
      <c r="X5" s="568"/>
      <c r="Y5" s="569"/>
      <c r="Z5" s="575" t="s">
        <v>19</v>
      </c>
      <c r="AA5" s="568"/>
      <c r="AB5" s="568"/>
      <c r="AC5" s="569"/>
      <c r="AD5" s="575" t="s">
        <v>25</v>
      </c>
      <c r="AE5" s="568"/>
      <c r="AF5" s="568"/>
      <c r="AG5" s="569"/>
      <c r="AH5" s="575" t="s">
        <v>26</v>
      </c>
      <c r="AI5" s="568"/>
      <c r="AJ5" s="568"/>
      <c r="AK5" s="569"/>
      <c r="AL5" s="575" t="s">
        <v>27</v>
      </c>
      <c r="AM5" s="568"/>
      <c r="AN5" s="568"/>
      <c r="AO5" s="569"/>
      <c r="AP5" s="575" t="s">
        <v>54</v>
      </c>
      <c r="AQ5" s="568"/>
      <c r="AR5" s="568"/>
      <c r="AS5" s="569"/>
      <c r="AT5" s="575" t="s">
        <v>60</v>
      </c>
      <c r="AU5" s="568"/>
      <c r="AV5" s="568"/>
      <c r="AW5" s="569"/>
      <c r="AX5" s="575" t="s">
        <v>55</v>
      </c>
      <c r="AY5" s="568"/>
      <c r="AZ5" s="568"/>
      <c r="BA5" s="569"/>
    </row>
    <row r="6" spans="2:53" ht="9.75" customHeight="1" x14ac:dyDescent="0.25">
      <c r="D6" s="27"/>
      <c r="J6" s="13"/>
      <c r="K6" s="13"/>
      <c r="L6" s="13"/>
      <c r="M6" s="13"/>
    </row>
    <row r="7" spans="2:53" ht="42" customHeight="1" x14ac:dyDescent="0.25">
      <c r="D7" s="27"/>
      <c r="F7" s="12" t="s">
        <v>31</v>
      </c>
      <c r="G7" s="12" t="s">
        <v>32</v>
      </c>
      <c r="H7" s="12" t="s">
        <v>29</v>
      </c>
      <c r="I7" s="12" t="s">
        <v>30</v>
      </c>
      <c r="J7" s="12" t="s">
        <v>65</v>
      </c>
      <c r="K7" s="12" t="s">
        <v>168</v>
      </c>
      <c r="L7" s="12" t="s">
        <v>169</v>
      </c>
      <c r="M7" s="12" t="s">
        <v>170</v>
      </c>
      <c r="N7" s="4" t="s">
        <v>31</v>
      </c>
      <c r="O7" s="12" t="s">
        <v>32</v>
      </c>
      <c r="P7" s="12" t="s">
        <v>29</v>
      </c>
      <c r="Q7" s="12" t="s">
        <v>30</v>
      </c>
      <c r="R7" s="12" t="s">
        <v>31</v>
      </c>
      <c r="S7" s="12" t="s">
        <v>32</v>
      </c>
      <c r="T7" s="12" t="s">
        <v>29</v>
      </c>
      <c r="U7" s="12" t="s">
        <v>30</v>
      </c>
      <c r="V7" s="12" t="s">
        <v>31</v>
      </c>
      <c r="W7" s="12" t="s">
        <v>32</v>
      </c>
      <c r="X7" s="12" t="s">
        <v>29</v>
      </c>
      <c r="Y7" s="12" t="s">
        <v>30</v>
      </c>
      <c r="Z7" s="12" t="s">
        <v>31</v>
      </c>
      <c r="AA7" s="12" t="s">
        <v>32</v>
      </c>
      <c r="AB7" s="12" t="s">
        <v>29</v>
      </c>
      <c r="AC7" s="12" t="s">
        <v>30</v>
      </c>
      <c r="AD7" s="12" t="s">
        <v>31</v>
      </c>
      <c r="AE7" s="12" t="s">
        <v>32</v>
      </c>
      <c r="AF7" s="12" t="s">
        <v>29</v>
      </c>
      <c r="AG7" s="12" t="s">
        <v>30</v>
      </c>
      <c r="AH7" s="12" t="s">
        <v>31</v>
      </c>
      <c r="AI7" s="12" t="s">
        <v>32</v>
      </c>
      <c r="AJ7" s="12" t="s">
        <v>29</v>
      </c>
      <c r="AK7" s="12" t="s">
        <v>30</v>
      </c>
      <c r="AL7" s="12" t="s">
        <v>31</v>
      </c>
      <c r="AM7" s="12" t="s">
        <v>32</v>
      </c>
      <c r="AN7" s="12" t="s">
        <v>29</v>
      </c>
      <c r="AO7" s="12" t="s">
        <v>30</v>
      </c>
      <c r="AP7" s="12" t="s">
        <v>31</v>
      </c>
      <c r="AQ7" s="12" t="s">
        <v>32</v>
      </c>
      <c r="AR7" s="12" t="s">
        <v>29</v>
      </c>
      <c r="AS7" s="12" t="s">
        <v>30</v>
      </c>
      <c r="AT7" s="12" t="s">
        <v>31</v>
      </c>
      <c r="AU7" s="12" t="s">
        <v>32</v>
      </c>
      <c r="AV7" s="12" t="s">
        <v>29</v>
      </c>
      <c r="AW7" s="12" t="s">
        <v>30</v>
      </c>
      <c r="AX7" s="12" t="s">
        <v>31</v>
      </c>
      <c r="AY7" s="12" t="s">
        <v>32</v>
      </c>
      <c r="AZ7" s="12" t="s">
        <v>29</v>
      </c>
      <c r="BA7" s="12" t="s">
        <v>30</v>
      </c>
    </row>
    <row r="8" spans="2:53" ht="23.25" x14ac:dyDescent="0.25">
      <c r="D8" s="26"/>
    </row>
    <row r="9" spans="2:53" ht="90" customHeight="1" x14ac:dyDescent="0.25">
      <c r="B9" s="625" t="s">
        <v>171</v>
      </c>
      <c r="C9" s="153"/>
      <c r="D9" s="683" t="s">
        <v>172</v>
      </c>
      <c r="E9" s="63"/>
      <c r="F9" s="130"/>
      <c r="G9" s="63"/>
      <c r="H9" s="63"/>
      <c r="I9" s="63"/>
      <c r="J9" s="63"/>
      <c r="K9" s="130"/>
      <c r="L9" s="154" t="s">
        <v>105</v>
      </c>
      <c r="M9" s="154" t="s">
        <v>106</v>
      </c>
      <c r="N9" s="130"/>
      <c r="O9" s="130"/>
      <c r="P9" s="130"/>
      <c r="Q9" s="684" t="s">
        <v>173</v>
      </c>
      <c r="R9" s="685" t="s">
        <v>174</v>
      </c>
      <c r="S9" s="641"/>
      <c r="T9" s="155" t="s">
        <v>175</v>
      </c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122"/>
      <c r="AH9" s="19"/>
      <c r="AI9" s="19"/>
      <c r="AJ9" s="19"/>
      <c r="AK9" s="19"/>
      <c r="AL9" s="19"/>
      <c r="AM9" s="19"/>
    </row>
    <row r="10" spans="2:53" ht="90" customHeight="1" x14ac:dyDescent="0.25">
      <c r="B10" s="626"/>
      <c r="C10" s="156"/>
      <c r="D10" s="608"/>
      <c r="E10" s="19"/>
      <c r="F10" s="35"/>
      <c r="G10" s="19"/>
      <c r="H10" s="19"/>
      <c r="I10" s="19"/>
      <c r="J10" s="19"/>
      <c r="K10" s="35"/>
      <c r="L10" s="685" t="s">
        <v>132</v>
      </c>
      <c r="M10" s="641"/>
      <c r="N10" s="35"/>
      <c r="O10" s="35"/>
      <c r="P10" s="35"/>
      <c r="Q10" s="608"/>
      <c r="R10" s="686" t="s">
        <v>133</v>
      </c>
      <c r="S10" s="574"/>
      <c r="T10" s="573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21"/>
      <c r="AH10" s="19"/>
      <c r="AI10" s="19"/>
      <c r="AJ10" s="19"/>
      <c r="AK10" s="19"/>
      <c r="AL10" s="19"/>
      <c r="AM10" s="19"/>
    </row>
    <row r="11" spans="2:53" ht="30" customHeight="1" x14ac:dyDescent="0.25">
      <c r="B11" s="626"/>
      <c r="C11" s="19"/>
      <c r="D11" s="26"/>
      <c r="E11" s="19"/>
      <c r="F11" s="35"/>
      <c r="G11" s="19"/>
      <c r="H11" s="19"/>
      <c r="I11" s="19"/>
      <c r="J11" s="19"/>
      <c r="K11" s="35"/>
      <c r="L11" s="35"/>
      <c r="M11" s="35"/>
      <c r="N11" s="35"/>
      <c r="O11" s="35"/>
      <c r="P11" s="35"/>
      <c r="Q11" s="19"/>
      <c r="R11" s="35"/>
      <c r="S11" s="35"/>
      <c r="T11" s="35"/>
      <c r="U11" s="68"/>
      <c r="V11" s="68"/>
      <c r="W11" s="68"/>
      <c r="X11" s="68"/>
      <c r="Y11" s="35"/>
      <c r="Z11" s="35"/>
      <c r="AA11" s="19"/>
      <c r="AB11" s="19"/>
      <c r="AC11" s="19"/>
      <c r="AD11" s="19"/>
      <c r="AE11" s="19"/>
      <c r="AF11" s="19"/>
      <c r="AG11" s="21"/>
      <c r="AH11" s="35"/>
      <c r="AI11" s="35"/>
      <c r="AJ11" s="35"/>
      <c r="AK11" s="35"/>
      <c r="AL11" s="35"/>
      <c r="AM11" s="35"/>
    </row>
    <row r="12" spans="2:53" ht="90" customHeight="1" x14ac:dyDescent="0.25">
      <c r="B12" s="626"/>
      <c r="C12" s="19"/>
      <c r="D12" s="157" t="s">
        <v>46</v>
      </c>
      <c r="E12" s="19"/>
      <c r="F12" s="19"/>
      <c r="G12" s="19"/>
      <c r="H12" s="19"/>
      <c r="I12" s="19"/>
      <c r="J12" s="19"/>
      <c r="K12" s="35"/>
      <c r="L12" s="35"/>
      <c r="M12" s="35"/>
      <c r="N12" s="35"/>
      <c r="O12" s="158" t="s">
        <v>176</v>
      </c>
      <c r="P12" s="35"/>
      <c r="Q12" s="19"/>
      <c r="R12" s="35"/>
      <c r="S12" s="35"/>
      <c r="T12" s="35"/>
      <c r="U12" s="68"/>
      <c r="V12" s="68"/>
      <c r="W12" s="68"/>
      <c r="X12" s="68"/>
      <c r="Y12" s="35"/>
      <c r="Z12" s="35"/>
      <c r="AA12" s="19"/>
      <c r="AB12" s="19"/>
      <c r="AC12" s="19"/>
      <c r="AD12" s="19"/>
      <c r="AE12" s="19"/>
      <c r="AF12" s="19"/>
      <c r="AG12" s="21"/>
      <c r="AH12" s="35"/>
      <c r="AI12" s="35"/>
      <c r="AJ12" s="35"/>
      <c r="AK12" s="35"/>
      <c r="AL12" s="35"/>
      <c r="AM12" s="35"/>
    </row>
    <row r="13" spans="2:53" ht="30" customHeight="1" x14ac:dyDescent="0.25">
      <c r="B13" s="626"/>
      <c r="C13" s="19"/>
      <c r="D13" s="159"/>
      <c r="E13" s="19"/>
      <c r="F13" s="35"/>
      <c r="G13" s="19"/>
      <c r="H13" s="19"/>
      <c r="I13" s="19"/>
      <c r="J13" s="19"/>
      <c r="K13" s="35"/>
      <c r="L13" s="35"/>
      <c r="M13" s="35"/>
      <c r="N13" s="35"/>
      <c r="O13" s="35"/>
      <c r="P13" s="35"/>
      <c r="Q13" s="19"/>
      <c r="R13" s="35"/>
      <c r="S13" s="35"/>
      <c r="T13" s="35"/>
      <c r="U13" s="35"/>
      <c r="V13" s="35"/>
      <c r="W13" s="35"/>
      <c r="X13" s="35"/>
      <c r="Y13" s="35"/>
      <c r="Z13" s="35"/>
      <c r="AA13" s="19"/>
      <c r="AB13" s="19"/>
      <c r="AC13" s="19"/>
      <c r="AD13" s="19"/>
      <c r="AE13" s="19"/>
      <c r="AF13" s="19"/>
      <c r="AG13" s="124"/>
      <c r="AH13" s="35"/>
      <c r="AI13" s="35"/>
      <c r="AJ13" s="35"/>
      <c r="AK13" s="35"/>
      <c r="AL13" s="35"/>
      <c r="AM13" s="35"/>
    </row>
    <row r="14" spans="2:53" ht="90" customHeight="1" x14ac:dyDescent="0.25">
      <c r="B14" s="626"/>
      <c r="C14" s="19"/>
      <c r="D14" s="160" t="s">
        <v>47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681" t="s">
        <v>177</v>
      </c>
      <c r="P14" s="574"/>
      <c r="Q14" s="574"/>
      <c r="R14" s="573"/>
      <c r="S14" s="19"/>
      <c r="T14" s="19"/>
      <c r="U14" s="19"/>
      <c r="V14" s="19"/>
      <c r="W14" s="19"/>
      <c r="X14" s="19"/>
      <c r="Y14" s="19"/>
      <c r="Z14" s="19"/>
      <c r="AA14" s="19"/>
      <c r="AB14" s="35"/>
      <c r="AC14" s="19"/>
      <c r="AD14" s="35"/>
      <c r="AE14" s="35"/>
      <c r="AF14" s="82"/>
      <c r="AG14" s="21"/>
      <c r="AK14" s="35"/>
      <c r="AL14" s="35"/>
      <c r="AM14" s="35"/>
    </row>
    <row r="15" spans="2:53" ht="30" customHeight="1" x14ac:dyDescent="0.25">
      <c r="B15" s="626"/>
      <c r="C15" s="19"/>
      <c r="D15" s="159"/>
      <c r="E15" s="19"/>
      <c r="F15" s="35"/>
      <c r="G15" s="19"/>
      <c r="H15" s="19"/>
      <c r="I15" s="19"/>
      <c r="J15" s="19"/>
      <c r="K15" s="35"/>
      <c r="L15" s="35"/>
      <c r="M15" s="35"/>
      <c r="N15" s="35"/>
      <c r="O15" s="35"/>
      <c r="P15" s="35"/>
      <c r="Q15" s="19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124"/>
      <c r="AH15" s="35"/>
      <c r="AI15" s="35"/>
      <c r="AJ15" s="35"/>
      <c r="AK15" s="35"/>
      <c r="AL15" s="35"/>
      <c r="AM15" s="35"/>
    </row>
    <row r="16" spans="2:53" ht="90" customHeight="1" x14ac:dyDescent="0.25">
      <c r="B16" s="626"/>
      <c r="C16" s="19"/>
      <c r="D16" s="682" t="s">
        <v>178</v>
      </c>
      <c r="E16" s="19"/>
      <c r="F16" s="35"/>
      <c r="G16" s="19"/>
      <c r="H16" s="19"/>
      <c r="I16" s="19"/>
      <c r="J16" s="19"/>
      <c r="K16" s="35"/>
      <c r="L16" s="35"/>
      <c r="M16" s="35"/>
      <c r="N16" s="35"/>
      <c r="O16" s="35"/>
      <c r="P16" s="35"/>
      <c r="Q16" s="19"/>
      <c r="R16" s="35"/>
      <c r="S16" s="661" t="s">
        <v>109</v>
      </c>
      <c r="T16" s="574"/>
      <c r="U16" s="574"/>
      <c r="V16" s="574"/>
      <c r="W16" s="574"/>
      <c r="X16" s="574"/>
      <c r="Y16" s="574"/>
      <c r="Z16" s="573"/>
      <c r="AA16" s="19"/>
      <c r="AB16" s="35"/>
      <c r="AC16" s="19"/>
      <c r="AD16" s="19"/>
      <c r="AE16" s="19"/>
      <c r="AF16" s="161"/>
      <c r="AG16" s="162"/>
      <c r="AH16" s="161"/>
      <c r="AI16" s="161"/>
      <c r="AJ16" s="161"/>
      <c r="AK16" s="161"/>
      <c r="AL16" s="161"/>
      <c r="AM16" s="161"/>
    </row>
    <row r="17" spans="2:39" ht="51" hidden="1" customHeight="1" x14ac:dyDescent="0.25">
      <c r="B17" s="626"/>
      <c r="C17" s="19"/>
      <c r="D17" s="667"/>
      <c r="E17" s="19"/>
      <c r="F17" s="35"/>
      <c r="G17" s="19"/>
      <c r="H17" s="19"/>
      <c r="I17" s="19"/>
      <c r="J17" s="19"/>
      <c r="K17" s="35"/>
      <c r="L17" s="35"/>
      <c r="M17" s="35"/>
      <c r="N17" s="35"/>
      <c r="O17" s="35"/>
      <c r="P17" s="35"/>
      <c r="Q17" s="19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161"/>
      <c r="AG17" s="162"/>
      <c r="AH17" s="161"/>
      <c r="AI17" s="161"/>
      <c r="AJ17" s="161"/>
      <c r="AK17" s="161"/>
      <c r="AL17" s="161"/>
      <c r="AM17" s="161"/>
    </row>
    <row r="18" spans="2:39" ht="51" hidden="1" customHeight="1" x14ac:dyDescent="0.25">
      <c r="B18" s="626"/>
      <c r="C18" s="19"/>
      <c r="D18" s="676" t="s">
        <v>179</v>
      </c>
      <c r="E18" s="19"/>
      <c r="F18" s="35"/>
      <c r="G18" s="19"/>
      <c r="H18" s="19"/>
      <c r="I18" s="19"/>
      <c r="J18" s="19"/>
      <c r="K18" s="35"/>
      <c r="L18" s="35"/>
      <c r="M18" s="35"/>
      <c r="N18" s="35"/>
      <c r="O18" s="35"/>
      <c r="P18" s="35"/>
      <c r="Q18" s="19"/>
      <c r="R18" s="35"/>
      <c r="S18" s="35"/>
      <c r="T18" s="35"/>
      <c r="U18" s="35"/>
      <c r="V18" s="35"/>
      <c r="W18" s="35"/>
      <c r="X18" s="35"/>
      <c r="Y18" s="88"/>
      <c r="Z18" s="88"/>
      <c r="AA18" s="88"/>
      <c r="AB18" s="88"/>
      <c r="AC18" s="88"/>
      <c r="AD18" s="35"/>
      <c r="AE18" s="68"/>
      <c r="AF18" s="161"/>
      <c r="AG18" s="162"/>
      <c r="AH18" s="161"/>
      <c r="AI18" s="161"/>
      <c r="AJ18" s="161"/>
      <c r="AK18" s="161"/>
      <c r="AL18" s="161"/>
      <c r="AM18" s="161"/>
    </row>
    <row r="19" spans="2:39" ht="51" hidden="1" customHeight="1" x14ac:dyDescent="0.25">
      <c r="B19" s="626"/>
      <c r="C19" s="19"/>
      <c r="D19" s="667"/>
      <c r="E19" s="19"/>
      <c r="F19" s="35"/>
      <c r="G19" s="19"/>
      <c r="H19" s="19"/>
      <c r="I19" s="19"/>
      <c r="J19" s="19"/>
      <c r="K19" s="35"/>
      <c r="L19" s="35"/>
      <c r="M19" s="35"/>
      <c r="N19" s="35"/>
      <c r="O19" s="35"/>
      <c r="P19" s="35"/>
      <c r="Q19" s="19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161"/>
      <c r="AG19" s="162"/>
      <c r="AH19" s="161"/>
      <c r="AI19" s="161"/>
      <c r="AJ19" s="161"/>
      <c r="AK19" s="161"/>
      <c r="AL19" s="161"/>
      <c r="AM19" s="161"/>
    </row>
    <row r="20" spans="2:39" ht="87" hidden="1" customHeight="1" x14ac:dyDescent="0.25">
      <c r="B20" s="626"/>
      <c r="C20" s="19"/>
      <c r="D20" s="676" t="s">
        <v>180</v>
      </c>
      <c r="E20" s="19"/>
      <c r="F20" s="19"/>
      <c r="G20" s="19"/>
      <c r="H20" s="19"/>
      <c r="I20" s="19"/>
      <c r="J20" s="19"/>
      <c r="K20" s="35"/>
      <c r="L20" s="35"/>
      <c r="M20" s="35"/>
      <c r="N20" s="35"/>
      <c r="O20" s="35"/>
      <c r="P20" s="35"/>
      <c r="Q20" s="19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161"/>
      <c r="AG20" s="162"/>
      <c r="AH20" s="161"/>
      <c r="AI20" s="161"/>
      <c r="AJ20" s="161"/>
      <c r="AK20" s="161"/>
      <c r="AL20" s="161"/>
      <c r="AM20" s="161"/>
    </row>
    <row r="21" spans="2:39" ht="51" hidden="1" customHeight="1" x14ac:dyDescent="0.25">
      <c r="B21" s="626"/>
      <c r="C21" s="19"/>
      <c r="D21" s="593"/>
      <c r="E21" s="19"/>
      <c r="F21" s="19"/>
      <c r="G21" s="19"/>
      <c r="H21" s="19"/>
      <c r="I21" s="19"/>
      <c r="J21" s="19"/>
      <c r="K21" s="35"/>
      <c r="L21" s="35"/>
      <c r="M21" s="35"/>
      <c r="N21" s="35"/>
      <c r="O21" s="35"/>
      <c r="P21" s="35"/>
      <c r="Q21" s="19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161"/>
      <c r="AG21" s="162"/>
      <c r="AH21" s="161"/>
      <c r="AI21" s="161"/>
      <c r="AJ21" s="161"/>
      <c r="AK21" s="161"/>
      <c r="AL21" s="161"/>
      <c r="AM21" s="161"/>
    </row>
    <row r="22" spans="2:39" ht="30" customHeight="1" x14ac:dyDescent="0.25">
      <c r="B22" s="626"/>
      <c r="C22" s="19"/>
      <c r="D22" s="159"/>
      <c r="E22" s="19"/>
      <c r="F22" s="35"/>
      <c r="G22" s="19"/>
      <c r="H22" s="19"/>
      <c r="I22" s="19"/>
      <c r="J22" s="19"/>
      <c r="K22" s="35"/>
      <c r="L22" s="35"/>
      <c r="M22" s="35"/>
      <c r="N22" s="35"/>
      <c r="O22" s="35"/>
      <c r="P22" s="35"/>
      <c r="Q22" s="19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161"/>
      <c r="AG22" s="162"/>
      <c r="AH22" s="161"/>
      <c r="AI22" s="161"/>
      <c r="AJ22" s="161"/>
      <c r="AK22" s="161"/>
      <c r="AL22" s="161"/>
      <c r="AM22" s="161"/>
    </row>
    <row r="23" spans="2:39" ht="90" customHeight="1" x14ac:dyDescent="0.25">
      <c r="B23" s="626"/>
      <c r="C23" s="19"/>
      <c r="D23" s="677" t="s">
        <v>181</v>
      </c>
      <c r="E23" s="19"/>
      <c r="F23" s="19"/>
      <c r="G23" s="19"/>
      <c r="H23" s="19"/>
      <c r="I23" s="19"/>
      <c r="J23" s="19"/>
      <c r="K23" s="19"/>
      <c r="L23" s="35"/>
      <c r="M23" s="35"/>
      <c r="N23" s="35"/>
      <c r="O23" s="35"/>
      <c r="P23" s="35"/>
      <c r="Q23" s="19"/>
      <c r="R23" s="35"/>
      <c r="S23" s="35"/>
      <c r="T23" s="35"/>
      <c r="U23" s="35"/>
      <c r="V23" s="660" t="s">
        <v>110</v>
      </c>
      <c r="W23" s="574"/>
      <c r="X23" s="574"/>
      <c r="Y23" s="574"/>
      <c r="Z23" s="574"/>
      <c r="AA23" s="573"/>
      <c r="AB23" s="19"/>
      <c r="AC23" s="19"/>
      <c r="AD23" s="19"/>
      <c r="AE23" s="19"/>
      <c r="AF23" s="19"/>
      <c r="AG23" s="21"/>
    </row>
    <row r="24" spans="2:39" ht="51" hidden="1" customHeight="1" x14ac:dyDescent="0.25">
      <c r="B24" s="626"/>
      <c r="C24" s="19"/>
      <c r="D24" s="678"/>
      <c r="E24" s="19"/>
      <c r="F24" s="19"/>
      <c r="G24" s="19"/>
      <c r="H24" s="19"/>
      <c r="I24" s="19"/>
      <c r="J24" s="19"/>
      <c r="K24" s="19"/>
      <c r="L24" s="35"/>
      <c r="M24" s="35"/>
      <c r="N24" s="35"/>
      <c r="O24" s="35"/>
      <c r="P24" s="35"/>
      <c r="Q24" s="19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19"/>
      <c r="AC24" s="19"/>
      <c r="AD24" s="19"/>
      <c r="AE24" s="19"/>
      <c r="AF24" s="19"/>
      <c r="AG24" s="21"/>
    </row>
    <row r="25" spans="2:39" ht="51" hidden="1" customHeight="1" x14ac:dyDescent="0.25">
      <c r="B25" s="626"/>
      <c r="C25" s="19"/>
      <c r="D25" s="677" t="s">
        <v>182</v>
      </c>
      <c r="E25" s="19"/>
      <c r="F25" s="19"/>
      <c r="G25" s="19"/>
      <c r="H25" s="19"/>
      <c r="I25" s="19"/>
      <c r="J25" s="19"/>
      <c r="K25" s="19"/>
      <c r="L25" s="35"/>
      <c r="M25" s="35"/>
      <c r="N25" s="35"/>
      <c r="O25" s="35"/>
      <c r="P25" s="35"/>
      <c r="Q25" s="19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19"/>
      <c r="AC25" s="19"/>
      <c r="AD25" s="19"/>
      <c r="AE25" s="19"/>
      <c r="AF25" s="19"/>
      <c r="AG25" s="21"/>
    </row>
    <row r="26" spans="2:39" ht="51" hidden="1" customHeight="1" x14ac:dyDescent="0.25">
      <c r="B26" s="626"/>
      <c r="C26" s="19"/>
      <c r="D26" s="678"/>
      <c r="E26" s="19"/>
      <c r="F26" s="19"/>
      <c r="G26" s="19"/>
      <c r="H26" s="19"/>
      <c r="I26" s="19"/>
      <c r="J26" s="19"/>
      <c r="K26" s="19"/>
      <c r="L26" s="35"/>
      <c r="M26" s="35"/>
      <c r="N26" s="35"/>
      <c r="O26" s="35"/>
      <c r="P26" s="35"/>
      <c r="Q26" s="19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19"/>
      <c r="AC26" s="19"/>
      <c r="AD26" s="19"/>
      <c r="AE26" s="19"/>
      <c r="AF26" s="19"/>
      <c r="AG26" s="21"/>
    </row>
    <row r="27" spans="2:39" ht="54" hidden="1" customHeight="1" x14ac:dyDescent="0.25">
      <c r="B27" s="626"/>
      <c r="C27" s="19"/>
      <c r="D27" s="677" t="s">
        <v>183</v>
      </c>
      <c r="E27" s="19"/>
      <c r="F27" s="19"/>
      <c r="G27" s="19"/>
      <c r="H27" s="19"/>
      <c r="I27" s="19"/>
      <c r="J27" s="19"/>
      <c r="K27" s="35"/>
      <c r="L27" s="35"/>
      <c r="M27" s="35"/>
      <c r="N27" s="35"/>
      <c r="O27" s="35"/>
      <c r="P27" s="35"/>
      <c r="Q27" s="19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19"/>
      <c r="AC27" s="19"/>
      <c r="AD27" s="19"/>
      <c r="AE27" s="19"/>
      <c r="AF27" s="19"/>
      <c r="AG27" s="21"/>
    </row>
    <row r="28" spans="2:39" ht="51" hidden="1" customHeight="1" x14ac:dyDescent="0.25">
      <c r="B28" s="626"/>
      <c r="C28" s="19"/>
      <c r="D28" s="678"/>
      <c r="E28" s="19"/>
      <c r="F28" s="19"/>
      <c r="G28" s="19"/>
      <c r="H28" s="19"/>
      <c r="I28" s="19"/>
      <c r="J28" s="19"/>
      <c r="K28" s="35"/>
      <c r="L28" s="35"/>
      <c r="M28" s="35"/>
      <c r="N28" s="35"/>
      <c r="O28" s="35"/>
      <c r="P28" s="35"/>
      <c r="Q28" s="19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19"/>
      <c r="AC28" s="19"/>
      <c r="AD28" s="19"/>
      <c r="AE28" s="19"/>
      <c r="AF28" s="19"/>
      <c r="AG28" s="21"/>
    </row>
    <row r="29" spans="2:39" ht="30" customHeight="1" x14ac:dyDescent="0.25">
      <c r="B29" s="626"/>
      <c r="C29" s="19"/>
      <c r="D29" s="26"/>
      <c r="E29" s="19"/>
      <c r="F29" s="35"/>
      <c r="G29" s="19"/>
      <c r="H29" s="19"/>
      <c r="I29" s="19"/>
      <c r="J29" s="19"/>
      <c r="K29" s="35"/>
      <c r="L29" s="35"/>
      <c r="M29" s="35"/>
      <c r="N29" s="35"/>
      <c r="O29" s="35"/>
      <c r="P29" s="35"/>
      <c r="Q29" s="19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19"/>
      <c r="AC29" s="19"/>
      <c r="AD29" s="19"/>
      <c r="AE29" s="19"/>
      <c r="AF29" s="19"/>
      <c r="AG29" s="21"/>
    </row>
    <row r="30" spans="2:39" ht="90" customHeight="1" x14ac:dyDescent="0.25">
      <c r="B30" s="626"/>
      <c r="C30" s="19"/>
      <c r="D30" s="679" t="s">
        <v>184</v>
      </c>
      <c r="E30" s="19"/>
      <c r="F30" s="80"/>
      <c r="G30" s="19"/>
      <c r="H30" s="19"/>
      <c r="I30" s="19"/>
      <c r="J30" s="19"/>
      <c r="K30" s="19"/>
      <c r="L30" s="35"/>
      <c r="M30" s="35"/>
      <c r="N30" s="163"/>
      <c r="O30" s="163"/>
      <c r="P30" s="35"/>
      <c r="Q30" s="19"/>
      <c r="R30" s="35"/>
      <c r="S30" s="35"/>
      <c r="T30" s="35"/>
      <c r="U30" s="35"/>
      <c r="V30" s="35"/>
      <c r="W30" s="35"/>
      <c r="X30" s="35"/>
      <c r="Y30" s="35"/>
      <c r="Z30" s="637" t="s">
        <v>111</v>
      </c>
      <c r="AA30" s="574"/>
      <c r="AB30" s="574"/>
      <c r="AC30" s="574"/>
      <c r="AD30" s="574"/>
      <c r="AE30" s="574"/>
      <c r="AF30" s="574"/>
      <c r="AG30" s="651"/>
    </row>
    <row r="31" spans="2:39" ht="35.25" hidden="1" customHeight="1" x14ac:dyDescent="0.25">
      <c r="B31" s="626"/>
      <c r="C31" s="19"/>
      <c r="D31" s="608"/>
      <c r="E31" s="19"/>
      <c r="F31" s="68"/>
      <c r="G31" s="19"/>
      <c r="H31" s="19"/>
      <c r="I31" s="19"/>
      <c r="J31" s="19"/>
      <c r="K31" s="19"/>
      <c r="L31" s="35"/>
      <c r="M31" s="35"/>
      <c r="N31" s="82"/>
      <c r="O31" s="82"/>
      <c r="P31" s="35"/>
      <c r="Q31" s="19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19"/>
      <c r="AC31" s="19"/>
      <c r="AD31" s="19"/>
      <c r="AE31" s="19"/>
      <c r="AF31" s="19"/>
      <c r="AG31" s="21"/>
    </row>
    <row r="32" spans="2:39" ht="51.75" hidden="1" customHeight="1" x14ac:dyDescent="0.25">
      <c r="B32" s="626"/>
      <c r="C32" s="19"/>
      <c r="D32" s="679" t="s">
        <v>185</v>
      </c>
      <c r="E32" s="19"/>
      <c r="F32" s="35"/>
      <c r="G32" s="19"/>
      <c r="H32" s="19"/>
      <c r="I32" s="19"/>
      <c r="J32" s="19"/>
      <c r="K32" s="680"/>
      <c r="L32" s="610"/>
      <c r="M32" s="680"/>
      <c r="N32" s="610"/>
      <c r="O32" s="35"/>
      <c r="P32" s="35"/>
      <c r="Q32" s="19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19"/>
      <c r="AC32" s="19"/>
      <c r="AD32" s="19"/>
      <c r="AE32" s="19"/>
      <c r="AF32" s="19"/>
      <c r="AG32" s="21"/>
    </row>
    <row r="33" spans="2:33" ht="97.5" hidden="1" customHeight="1" x14ac:dyDescent="0.25">
      <c r="B33" s="626"/>
      <c r="C33" s="19"/>
      <c r="D33" s="608"/>
      <c r="E33" s="19"/>
      <c r="F33" s="35"/>
      <c r="G33" s="19"/>
      <c r="H33" s="19"/>
      <c r="I33" s="19"/>
      <c r="J33" s="19"/>
      <c r="K33" s="68"/>
      <c r="L33" s="19"/>
      <c r="M33" s="634"/>
      <c r="N33" s="610"/>
      <c r="O33" s="35"/>
      <c r="P33" s="35"/>
      <c r="Q33" s="19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19"/>
      <c r="AC33" s="19"/>
      <c r="AD33" s="19"/>
      <c r="AE33" s="19"/>
      <c r="AF33" s="19"/>
      <c r="AG33" s="21"/>
    </row>
    <row r="34" spans="2:33" ht="30" customHeight="1" x14ac:dyDescent="0.25">
      <c r="B34" s="626"/>
      <c r="C34" s="19"/>
      <c r="D34" s="159"/>
      <c r="E34" s="19"/>
      <c r="F34" s="35"/>
      <c r="G34" s="19"/>
      <c r="H34" s="19"/>
      <c r="I34" s="19"/>
      <c r="J34" s="19"/>
      <c r="K34" s="35"/>
      <c r="L34" s="35"/>
      <c r="M34" s="35"/>
      <c r="N34" s="35"/>
      <c r="O34" s="35"/>
      <c r="P34" s="35"/>
      <c r="Q34" s="19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19"/>
      <c r="AC34" s="19"/>
      <c r="AD34" s="19"/>
      <c r="AE34" s="19"/>
      <c r="AF34" s="19"/>
      <c r="AG34" s="21"/>
    </row>
    <row r="35" spans="2:33" ht="90" customHeight="1" x14ac:dyDescent="0.25">
      <c r="B35" s="626"/>
      <c r="C35" s="19"/>
      <c r="D35" s="160" t="s">
        <v>116</v>
      </c>
      <c r="E35" s="19"/>
      <c r="F35" s="35"/>
      <c r="G35" s="19"/>
      <c r="H35" s="19"/>
      <c r="I35" s="19"/>
      <c r="J35" s="19"/>
      <c r="K35" s="35"/>
      <c r="L35" s="35"/>
      <c r="M35" s="164" t="s">
        <v>186</v>
      </c>
      <c r="N35" s="35"/>
      <c r="O35" s="35"/>
      <c r="P35" s="35"/>
      <c r="Q35" s="19"/>
      <c r="R35" s="164" t="s">
        <v>187</v>
      </c>
      <c r="S35" s="35"/>
      <c r="T35" s="35"/>
      <c r="U35" s="35"/>
      <c r="V35" s="35"/>
      <c r="W35" s="35"/>
      <c r="X35" s="35"/>
      <c r="Y35" s="35"/>
      <c r="Z35" s="35"/>
      <c r="AA35" s="35"/>
      <c r="AB35" s="19"/>
      <c r="AC35" s="19"/>
      <c r="AD35" s="19"/>
      <c r="AE35" s="19"/>
      <c r="AF35" s="19"/>
      <c r="AG35" s="21"/>
    </row>
    <row r="36" spans="2:33" ht="30" customHeight="1" x14ac:dyDescent="0.25">
      <c r="B36" s="626"/>
      <c r="C36" s="19"/>
      <c r="D36" s="159"/>
      <c r="E36" s="19"/>
      <c r="F36" s="35"/>
      <c r="G36" s="19"/>
      <c r="H36" s="19"/>
      <c r="I36" s="19"/>
      <c r="J36" s="19"/>
      <c r="K36" s="35"/>
      <c r="L36" s="35"/>
      <c r="M36" s="35"/>
      <c r="N36" s="35"/>
      <c r="O36" s="35"/>
      <c r="P36" s="35"/>
      <c r="Q36" s="19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19"/>
      <c r="AC36" s="19"/>
      <c r="AD36" s="19"/>
      <c r="AE36" s="19"/>
      <c r="AF36" s="19"/>
      <c r="AG36" s="21"/>
    </row>
    <row r="37" spans="2:33" ht="2.25" customHeight="1" x14ac:dyDescent="0.25">
      <c r="B37" s="626"/>
      <c r="C37" s="19"/>
      <c r="D37" s="687" t="s">
        <v>48</v>
      </c>
      <c r="E37" s="19"/>
      <c r="F37" s="80"/>
      <c r="G37" s="19"/>
      <c r="H37" s="19"/>
      <c r="I37" s="19"/>
      <c r="J37" s="19"/>
      <c r="K37" s="35"/>
      <c r="L37" s="35"/>
      <c r="M37" s="35"/>
      <c r="N37" s="35"/>
      <c r="O37" s="35"/>
      <c r="P37" s="35"/>
      <c r="Q37" s="19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19"/>
      <c r="AC37" s="19"/>
      <c r="AD37" s="19"/>
      <c r="AE37" s="19"/>
      <c r="AF37" s="19"/>
      <c r="AG37" s="21"/>
    </row>
    <row r="38" spans="2:33" ht="90" customHeight="1" x14ac:dyDescent="0.25">
      <c r="B38" s="627"/>
      <c r="C38" s="24"/>
      <c r="D38" s="593"/>
      <c r="E38" s="24"/>
      <c r="F38" s="94"/>
      <c r="G38" s="24"/>
      <c r="H38" s="24"/>
      <c r="I38" s="24"/>
      <c r="J38" s="24"/>
      <c r="K38" s="93"/>
      <c r="L38" s="93"/>
      <c r="M38" s="93"/>
      <c r="N38" s="93"/>
      <c r="O38" s="93"/>
      <c r="P38" s="93"/>
      <c r="Q38" s="165" t="s">
        <v>188</v>
      </c>
      <c r="R38" s="24"/>
      <c r="S38" s="93"/>
      <c r="T38" s="93"/>
      <c r="U38" s="165" t="s">
        <v>189</v>
      </c>
      <c r="V38" s="93"/>
      <c r="W38" s="93"/>
      <c r="X38" s="165" t="s">
        <v>162</v>
      </c>
      <c r="Y38" s="93"/>
      <c r="Z38" s="93"/>
      <c r="AA38" s="93"/>
      <c r="AB38" s="24"/>
      <c r="AC38" s="24"/>
      <c r="AD38" s="24"/>
      <c r="AE38" s="24"/>
      <c r="AF38" s="24"/>
      <c r="AG38" s="25"/>
    </row>
    <row r="39" spans="2:33" ht="3" customHeight="1" x14ac:dyDescent="0.25">
      <c r="D39" s="26"/>
    </row>
    <row r="40" spans="2:33" ht="41.25" customHeight="1" x14ac:dyDescent="0.25">
      <c r="D40" s="26"/>
    </row>
    <row r="41" spans="2:33" ht="90" customHeight="1" x14ac:dyDescent="0.25">
      <c r="B41" s="675" t="s">
        <v>190</v>
      </c>
      <c r="C41" s="153"/>
      <c r="D41" s="683" t="s">
        <v>172</v>
      </c>
      <c r="E41" s="63"/>
      <c r="F41" s="130"/>
      <c r="G41" s="63"/>
      <c r="H41" s="63"/>
      <c r="I41" s="63"/>
      <c r="J41" s="63"/>
      <c r="K41" s="130"/>
      <c r="L41" s="154" t="s">
        <v>105</v>
      </c>
      <c r="M41" s="154" t="s">
        <v>106</v>
      </c>
      <c r="N41" s="130"/>
      <c r="O41" s="130"/>
      <c r="P41" s="130"/>
      <c r="Q41" s="684" t="s">
        <v>191</v>
      </c>
      <c r="R41" s="685" t="s">
        <v>192</v>
      </c>
      <c r="S41" s="641"/>
      <c r="T41" s="155" t="s">
        <v>193</v>
      </c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122"/>
    </row>
    <row r="42" spans="2:33" ht="90" customHeight="1" x14ac:dyDescent="0.25">
      <c r="B42" s="626"/>
      <c r="C42" s="156"/>
      <c r="D42" s="608"/>
      <c r="E42" s="19"/>
      <c r="F42" s="35"/>
      <c r="G42" s="19"/>
      <c r="H42" s="19"/>
      <c r="I42" s="19"/>
      <c r="J42" s="19"/>
      <c r="K42" s="35"/>
      <c r="L42" s="685" t="s">
        <v>132</v>
      </c>
      <c r="M42" s="641"/>
      <c r="N42" s="35"/>
      <c r="O42" s="35"/>
      <c r="P42" s="35"/>
      <c r="Q42" s="608"/>
      <c r="R42" s="686" t="s">
        <v>133</v>
      </c>
      <c r="S42" s="574"/>
      <c r="T42" s="573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21"/>
    </row>
    <row r="43" spans="2:33" ht="30" customHeight="1" x14ac:dyDescent="0.25">
      <c r="B43" s="626"/>
      <c r="C43" s="19"/>
      <c r="D43" s="26"/>
      <c r="E43" s="19"/>
      <c r="F43" s="35"/>
      <c r="G43" s="19"/>
      <c r="H43" s="19"/>
      <c r="I43" s="19"/>
      <c r="J43" s="19"/>
      <c r="K43" s="35"/>
      <c r="L43" s="35"/>
      <c r="M43" s="35"/>
      <c r="N43" s="35"/>
      <c r="O43" s="35"/>
      <c r="P43" s="35"/>
      <c r="Q43" s="19"/>
      <c r="R43" s="35"/>
      <c r="S43" s="35"/>
      <c r="T43" s="35"/>
      <c r="U43" s="68"/>
      <c r="V43" s="68"/>
      <c r="W43" s="68"/>
      <c r="X43" s="68"/>
      <c r="Y43" s="35"/>
      <c r="Z43" s="35"/>
      <c r="AA43" s="19"/>
      <c r="AB43" s="19"/>
      <c r="AC43" s="19"/>
      <c r="AD43" s="19"/>
      <c r="AE43" s="19"/>
      <c r="AF43" s="19"/>
      <c r="AG43" s="21"/>
    </row>
    <row r="44" spans="2:33" ht="90" customHeight="1" x14ac:dyDescent="0.25">
      <c r="B44" s="626"/>
      <c r="C44" s="19"/>
      <c r="D44" s="157" t="s">
        <v>46</v>
      </c>
      <c r="E44" s="19"/>
      <c r="F44" s="35"/>
      <c r="G44" s="19"/>
      <c r="H44" s="19"/>
      <c r="I44" s="19"/>
      <c r="J44" s="19"/>
      <c r="K44" s="35"/>
      <c r="L44" s="35"/>
      <c r="M44" s="35"/>
      <c r="N44" s="35"/>
      <c r="O44" s="158" t="s">
        <v>194</v>
      </c>
      <c r="P44" s="35"/>
      <c r="Q44" s="19"/>
      <c r="R44" s="35"/>
      <c r="S44" s="35"/>
      <c r="T44" s="35"/>
      <c r="U44" s="68"/>
      <c r="V44" s="68"/>
      <c r="W44" s="68"/>
      <c r="X44" s="68"/>
      <c r="Y44" s="35"/>
      <c r="Z44" s="35"/>
      <c r="AA44" s="19"/>
      <c r="AB44" s="19"/>
      <c r="AC44" s="19"/>
      <c r="AD44" s="19"/>
      <c r="AE44" s="19"/>
      <c r="AF44" s="19"/>
      <c r="AG44" s="21"/>
    </row>
    <row r="45" spans="2:33" ht="30" customHeight="1" x14ac:dyDescent="0.25">
      <c r="B45" s="626"/>
      <c r="C45" s="19"/>
      <c r="D45" s="159"/>
      <c r="E45" s="19"/>
      <c r="F45" s="35"/>
      <c r="G45" s="19"/>
      <c r="H45" s="19"/>
      <c r="I45" s="19"/>
      <c r="J45" s="19"/>
      <c r="K45" s="35"/>
      <c r="L45" s="35"/>
      <c r="M45" s="35"/>
      <c r="N45" s="35"/>
      <c r="O45" s="35"/>
      <c r="P45" s="35"/>
      <c r="Q45" s="19"/>
      <c r="R45" s="35"/>
      <c r="S45" s="35"/>
      <c r="T45" s="35"/>
      <c r="U45" s="35"/>
      <c r="V45" s="35"/>
      <c r="W45" s="35"/>
      <c r="X45" s="35"/>
      <c r="Y45" s="35"/>
      <c r="Z45" s="35"/>
      <c r="AA45" s="19"/>
      <c r="AB45" s="19"/>
      <c r="AC45" s="19"/>
      <c r="AD45" s="19"/>
      <c r="AE45" s="19"/>
      <c r="AF45" s="19"/>
      <c r="AG45" s="124"/>
    </row>
    <row r="46" spans="2:33" ht="90" customHeight="1" x14ac:dyDescent="0.25">
      <c r="B46" s="626"/>
      <c r="C46" s="19"/>
      <c r="D46" s="160" t="s">
        <v>47</v>
      </c>
      <c r="E46" s="19"/>
      <c r="F46" s="35"/>
      <c r="G46" s="19"/>
      <c r="H46" s="19"/>
      <c r="I46" s="19"/>
      <c r="J46" s="19"/>
      <c r="K46" s="19"/>
      <c r="L46" s="19"/>
      <c r="M46" s="19"/>
      <c r="N46" s="19"/>
      <c r="O46" s="681" t="s">
        <v>195</v>
      </c>
      <c r="P46" s="574"/>
      <c r="Q46" s="574"/>
      <c r="R46" s="573"/>
      <c r="S46" s="19"/>
      <c r="T46" s="19"/>
      <c r="U46" s="19"/>
      <c r="V46" s="19"/>
      <c r="W46" s="19"/>
      <c r="X46" s="19"/>
      <c r="Y46" s="19"/>
      <c r="Z46" s="19"/>
      <c r="AA46" s="19"/>
      <c r="AB46" s="35"/>
      <c r="AC46" s="19"/>
      <c r="AD46" s="35"/>
      <c r="AE46" s="35"/>
      <c r="AF46" s="82"/>
      <c r="AG46" s="21"/>
    </row>
    <row r="47" spans="2:33" ht="30" customHeight="1" x14ac:dyDescent="0.25">
      <c r="B47" s="626"/>
      <c r="C47" s="19"/>
      <c r="D47" s="159"/>
      <c r="E47" s="19"/>
      <c r="F47" s="35"/>
      <c r="G47" s="19"/>
      <c r="H47" s="19"/>
      <c r="I47" s="19"/>
      <c r="J47" s="19"/>
      <c r="K47" s="35"/>
      <c r="L47" s="35"/>
      <c r="M47" s="35"/>
      <c r="N47" s="35"/>
      <c r="O47" s="35"/>
      <c r="P47" s="35"/>
      <c r="Q47" s="19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124"/>
    </row>
    <row r="48" spans="2:33" ht="90" customHeight="1" x14ac:dyDescent="0.25">
      <c r="B48" s="626"/>
      <c r="C48" s="19"/>
      <c r="D48" s="682" t="s">
        <v>178</v>
      </c>
      <c r="E48" s="19"/>
      <c r="F48" s="35"/>
      <c r="G48" s="19"/>
      <c r="H48" s="19"/>
      <c r="I48" s="19"/>
      <c r="J48" s="19"/>
      <c r="K48" s="35"/>
      <c r="L48" s="35"/>
      <c r="M48" s="35"/>
      <c r="N48" s="35"/>
      <c r="O48" s="35"/>
      <c r="P48" s="35"/>
      <c r="Q48" s="19"/>
      <c r="R48" s="35"/>
      <c r="S48" s="661" t="s">
        <v>109</v>
      </c>
      <c r="T48" s="574"/>
      <c r="U48" s="574"/>
      <c r="V48" s="574"/>
      <c r="W48" s="574"/>
      <c r="X48" s="574"/>
      <c r="Y48" s="574"/>
      <c r="Z48" s="573"/>
      <c r="AA48" s="19"/>
      <c r="AB48" s="35"/>
      <c r="AC48" s="19"/>
      <c r="AD48" s="19"/>
      <c r="AE48" s="19"/>
      <c r="AF48" s="161"/>
      <c r="AG48" s="162"/>
    </row>
    <row r="49" spans="2:33" ht="14.25" hidden="1" customHeight="1" x14ac:dyDescent="0.25">
      <c r="B49" s="626"/>
      <c r="C49" s="19"/>
      <c r="D49" s="667"/>
      <c r="E49" s="19"/>
      <c r="F49" s="35"/>
      <c r="G49" s="19"/>
      <c r="H49" s="19"/>
      <c r="I49" s="19"/>
      <c r="J49" s="19"/>
      <c r="K49" s="35"/>
      <c r="L49" s="35"/>
      <c r="M49" s="35"/>
      <c r="N49" s="35"/>
      <c r="O49" s="35"/>
      <c r="P49" s="35"/>
      <c r="Q49" s="19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161"/>
      <c r="AG49" s="162"/>
    </row>
    <row r="50" spans="2:33" ht="14.25" hidden="1" customHeight="1" x14ac:dyDescent="0.25">
      <c r="B50" s="626"/>
      <c r="C50" s="19"/>
      <c r="D50" s="676" t="s">
        <v>179</v>
      </c>
      <c r="E50" s="19"/>
      <c r="F50" s="35"/>
      <c r="G50" s="19"/>
      <c r="H50" s="19"/>
      <c r="I50" s="19"/>
      <c r="J50" s="19"/>
      <c r="K50" s="35"/>
      <c r="L50" s="35"/>
      <c r="M50" s="35"/>
      <c r="N50" s="35"/>
      <c r="O50" s="35"/>
      <c r="P50" s="35"/>
      <c r="Q50" s="19"/>
      <c r="R50" s="35"/>
      <c r="S50" s="35"/>
      <c r="T50" s="35"/>
      <c r="U50" s="35"/>
      <c r="V50" s="35"/>
      <c r="W50" s="35"/>
      <c r="X50" s="35"/>
      <c r="Y50" s="88"/>
      <c r="Z50" s="88"/>
      <c r="AA50" s="88"/>
      <c r="AB50" s="88"/>
      <c r="AC50" s="88"/>
      <c r="AD50" s="35"/>
      <c r="AE50" s="68"/>
      <c r="AF50" s="161"/>
      <c r="AG50" s="162"/>
    </row>
    <row r="51" spans="2:33" ht="14.25" hidden="1" customHeight="1" x14ac:dyDescent="0.25">
      <c r="B51" s="626"/>
      <c r="C51" s="19"/>
      <c r="D51" s="667"/>
      <c r="E51" s="19"/>
      <c r="F51" s="35"/>
      <c r="G51" s="19"/>
      <c r="H51" s="19"/>
      <c r="I51" s="19"/>
      <c r="J51" s="19"/>
      <c r="K51" s="35"/>
      <c r="L51" s="35"/>
      <c r="M51" s="35"/>
      <c r="N51" s="35"/>
      <c r="O51" s="35"/>
      <c r="P51" s="35"/>
      <c r="Q51" s="19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161"/>
      <c r="AG51" s="162"/>
    </row>
    <row r="52" spans="2:33" ht="17.25" hidden="1" customHeight="1" x14ac:dyDescent="0.25">
      <c r="B52" s="626"/>
      <c r="C52" s="19"/>
      <c r="D52" s="676" t="s">
        <v>180</v>
      </c>
      <c r="E52" s="19"/>
      <c r="F52" s="35"/>
      <c r="G52" s="19"/>
      <c r="H52" s="19"/>
      <c r="I52" s="19"/>
      <c r="J52" s="19"/>
      <c r="K52" s="35"/>
      <c r="L52" s="35"/>
      <c r="M52" s="35"/>
      <c r="N52" s="35"/>
      <c r="O52" s="35"/>
      <c r="P52" s="35"/>
      <c r="Q52" s="19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161"/>
      <c r="AG52" s="162"/>
    </row>
    <row r="53" spans="2:33" ht="14.25" hidden="1" customHeight="1" x14ac:dyDescent="0.25">
      <c r="B53" s="626"/>
      <c r="C53" s="19"/>
      <c r="D53" s="593"/>
      <c r="E53" s="19"/>
      <c r="F53" s="35"/>
      <c r="G53" s="19"/>
      <c r="H53" s="19"/>
      <c r="I53" s="19"/>
      <c r="J53" s="19"/>
      <c r="K53" s="35"/>
      <c r="L53" s="35"/>
      <c r="M53" s="35"/>
      <c r="N53" s="35"/>
      <c r="O53" s="35"/>
      <c r="P53" s="35"/>
      <c r="Q53" s="19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161"/>
      <c r="AG53" s="162"/>
    </row>
    <row r="54" spans="2:33" ht="30" customHeight="1" x14ac:dyDescent="0.25">
      <c r="B54" s="626"/>
      <c r="C54" s="19"/>
      <c r="D54" s="159"/>
      <c r="E54" s="19"/>
      <c r="F54" s="35"/>
      <c r="G54" s="19"/>
      <c r="H54" s="19"/>
      <c r="I54" s="19"/>
      <c r="J54" s="19"/>
      <c r="K54" s="35"/>
      <c r="L54" s="35"/>
      <c r="M54" s="35"/>
      <c r="N54" s="35"/>
      <c r="O54" s="35"/>
      <c r="P54" s="35"/>
      <c r="Q54" s="19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161"/>
      <c r="AG54" s="162"/>
    </row>
    <row r="55" spans="2:33" ht="90" customHeight="1" x14ac:dyDescent="0.25">
      <c r="B55" s="626"/>
      <c r="C55" s="19"/>
      <c r="D55" s="677" t="s">
        <v>181</v>
      </c>
      <c r="E55" s="19"/>
      <c r="F55" s="35"/>
      <c r="G55" s="19"/>
      <c r="H55" s="19"/>
      <c r="I55" s="19"/>
      <c r="J55" s="19"/>
      <c r="K55" s="19"/>
      <c r="L55" s="35"/>
      <c r="M55" s="35"/>
      <c r="N55" s="35"/>
      <c r="O55" s="35"/>
      <c r="P55" s="35"/>
      <c r="Q55" s="19"/>
      <c r="R55" s="35"/>
      <c r="S55" s="35"/>
      <c r="T55" s="35"/>
      <c r="U55" s="35"/>
      <c r="V55" s="660" t="s">
        <v>110</v>
      </c>
      <c r="W55" s="574"/>
      <c r="X55" s="574"/>
      <c r="Y55" s="574"/>
      <c r="Z55" s="574"/>
      <c r="AA55" s="573"/>
      <c r="AB55" s="19"/>
      <c r="AC55" s="19"/>
      <c r="AD55" s="19"/>
      <c r="AE55" s="19"/>
      <c r="AF55" s="19"/>
      <c r="AG55" s="21"/>
    </row>
    <row r="56" spans="2:33" ht="14.25" hidden="1" customHeight="1" x14ac:dyDescent="0.25">
      <c r="B56" s="626"/>
      <c r="C56" s="19"/>
      <c r="D56" s="678"/>
      <c r="E56" s="19"/>
      <c r="F56" s="35"/>
      <c r="G56" s="19"/>
      <c r="H56" s="19"/>
      <c r="I56" s="19"/>
      <c r="J56" s="19"/>
      <c r="K56" s="19"/>
      <c r="L56" s="35"/>
      <c r="M56" s="35"/>
      <c r="N56" s="35"/>
      <c r="O56" s="35"/>
      <c r="P56" s="35"/>
      <c r="Q56" s="19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19"/>
      <c r="AC56" s="19"/>
      <c r="AD56" s="19"/>
      <c r="AE56" s="19"/>
      <c r="AF56" s="19"/>
      <c r="AG56" s="21"/>
    </row>
    <row r="57" spans="2:33" ht="14.25" hidden="1" customHeight="1" x14ac:dyDescent="0.25">
      <c r="B57" s="626"/>
      <c r="C57" s="19"/>
      <c r="D57" s="677" t="s">
        <v>182</v>
      </c>
      <c r="E57" s="19"/>
      <c r="F57" s="35"/>
      <c r="G57" s="19"/>
      <c r="H57" s="19"/>
      <c r="I57" s="19"/>
      <c r="J57" s="19"/>
      <c r="K57" s="19"/>
      <c r="L57" s="35"/>
      <c r="M57" s="35"/>
      <c r="N57" s="35"/>
      <c r="O57" s="35"/>
      <c r="P57" s="35"/>
      <c r="Q57" s="19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19"/>
      <c r="AC57" s="19"/>
      <c r="AD57" s="19"/>
      <c r="AE57" s="19"/>
      <c r="AF57" s="19"/>
      <c r="AG57" s="21"/>
    </row>
    <row r="58" spans="2:33" ht="14.25" hidden="1" customHeight="1" x14ac:dyDescent="0.25">
      <c r="B58" s="626"/>
      <c r="C58" s="19"/>
      <c r="D58" s="678"/>
      <c r="E58" s="19"/>
      <c r="F58" s="35"/>
      <c r="G58" s="19"/>
      <c r="H58" s="19"/>
      <c r="I58" s="19"/>
      <c r="J58" s="19"/>
      <c r="K58" s="19"/>
      <c r="L58" s="35"/>
      <c r="M58" s="35"/>
      <c r="N58" s="35"/>
      <c r="O58" s="35"/>
      <c r="P58" s="35"/>
      <c r="Q58" s="19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19"/>
      <c r="AC58" s="19"/>
      <c r="AD58" s="19"/>
      <c r="AE58" s="19"/>
      <c r="AF58" s="19"/>
      <c r="AG58" s="21"/>
    </row>
    <row r="59" spans="2:33" ht="18.75" hidden="1" customHeight="1" x14ac:dyDescent="0.25">
      <c r="B59" s="626"/>
      <c r="C59" s="19"/>
      <c r="D59" s="677" t="s">
        <v>183</v>
      </c>
      <c r="E59" s="19"/>
      <c r="F59" s="35"/>
      <c r="G59" s="19"/>
      <c r="H59" s="19"/>
      <c r="I59" s="19"/>
      <c r="J59" s="19"/>
      <c r="K59" s="35"/>
      <c r="L59" s="35"/>
      <c r="M59" s="35"/>
      <c r="N59" s="35"/>
      <c r="O59" s="35"/>
      <c r="P59" s="35"/>
      <c r="Q59" s="19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19"/>
      <c r="AC59" s="19"/>
      <c r="AD59" s="19"/>
      <c r="AE59" s="19"/>
      <c r="AF59" s="19"/>
      <c r="AG59" s="21"/>
    </row>
    <row r="60" spans="2:33" ht="14.25" hidden="1" customHeight="1" x14ac:dyDescent="0.25">
      <c r="B60" s="626"/>
      <c r="C60" s="19"/>
      <c r="D60" s="678"/>
      <c r="E60" s="19"/>
      <c r="F60" s="35"/>
      <c r="G60" s="19"/>
      <c r="H60" s="19"/>
      <c r="I60" s="19"/>
      <c r="J60" s="19"/>
      <c r="K60" s="35"/>
      <c r="L60" s="35"/>
      <c r="M60" s="35"/>
      <c r="N60" s="35"/>
      <c r="O60" s="35"/>
      <c r="P60" s="35"/>
      <c r="Q60" s="19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19"/>
      <c r="AC60" s="19"/>
      <c r="AD60" s="19"/>
      <c r="AE60" s="19"/>
      <c r="AF60" s="19"/>
      <c r="AG60" s="21"/>
    </row>
    <row r="61" spans="2:33" ht="30" customHeight="1" x14ac:dyDescent="0.25">
      <c r="B61" s="626"/>
      <c r="C61" s="19"/>
      <c r="D61" s="26"/>
      <c r="E61" s="19"/>
      <c r="F61" s="35"/>
      <c r="G61" s="19"/>
      <c r="H61" s="19"/>
      <c r="I61" s="19"/>
      <c r="J61" s="19"/>
      <c r="K61" s="35"/>
      <c r="L61" s="35"/>
      <c r="M61" s="35"/>
      <c r="N61" s="35"/>
      <c r="O61" s="35"/>
      <c r="P61" s="35"/>
      <c r="Q61" s="19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19"/>
      <c r="AC61" s="19"/>
      <c r="AD61" s="19"/>
      <c r="AE61" s="19"/>
      <c r="AF61" s="19"/>
      <c r="AG61" s="21"/>
    </row>
    <row r="62" spans="2:33" ht="90" customHeight="1" x14ac:dyDescent="0.25">
      <c r="B62" s="626"/>
      <c r="C62" s="19"/>
      <c r="D62" s="679" t="s">
        <v>196</v>
      </c>
      <c r="E62" s="19"/>
      <c r="F62" s="35"/>
      <c r="G62" s="19"/>
      <c r="H62" s="19"/>
      <c r="I62" s="19"/>
      <c r="J62" s="19"/>
      <c r="K62" s="19"/>
      <c r="L62" s="35"/>
      <c r="M62" s="35"/>
      <c r="N62" s="163"/>
      <c r="O62" s="163"/>
      <c r="P62" s="35"/>
      <c r="Q62" s="19"/>
      <c r="R62" s="35"/>
      <c r="S62" s="35"/>
      <c r="T62" s="35"/>
      <c r="U62" s="35"/>
      <c r="V62" s="35"/>
      <c r="W62" s="35"/>
      <c r="X62" s="35"/>
      <c r="Y62" s="35"/>
      <c r="Z62" s="637" t="s">
        <v>111</v>
      </c>
      <c r="AA62" s="574"/>
      <c r="AB62" s="574"/>
      <c r="AC62" s="574"/>
      <c r="AD62" s="574"/>
      <c r="AE62" s="574"/>
      <c r="AF62" s="574"/>
      <c r="AG62" s="651"/>
    </row>
    <row r="63" spans="2:33" ht="14.25" hidden="1" customHeight="1" x14ac:dyDescent="0.25">
      <c r="B63" s="626"/>
      <c r="C63" s="19"/>
      <c r="D63" s="608"/>
      <c r="E63" s="19"/>
      <c r="F63" s="35"/>
      <c r="G63" s="19"/>
      <c r="H63" s="19"/>
      <c r="I63" s="19"/>
      <c r="J63" s="19"/>
      <c r="K63" s="19"/>
      <c r="L63" s="35"/>
      <c r="M63" s="35"/>
      <c r="N63" s="82"/>
      <c r="O63" s="82"/>
      <c r="P63" s="35"/>
      <c r="Q63" s="19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19"/>
      <c r="AC63" s="19"/>
      <c r="AD63" s="19"/>
      <c r="AE63" s="19"/>
      <c r="AF63" s="19"/>
      <c r="AG63" s="21"/>
    </row>
    <row r="64" spans="2:33" ht="14.25" hidden="1" customHeight="1" x14ac:dyDescent="0.25">
      <c r="B64" s="626"/>
      <c r="C64" s="19"/>
      <c r="D64" s="679" t="s">
        <v>197</v>
      </c>
      <c r="E64" s="19"/>
      <c r="F64" s="35"/>
      <c r="G64" s="19"/>
      <c r="H64" s="19"/>
      <c r="I64" s="19"/>
      <c r="J64" s="19"/>
      <c r="K64" s="680"/>
      <c r="L64" s="610"/>
      <c r="M64" s="680"/>
      <c r="N64" s="610"/>
      <c r="O64" s="35"/>
      <c r="P64" s="35"/>
      <c r="Q64" s="19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19"/>
      <c r="AC64" s="19"/>
      <c r="AD64" s="19"/>
      <c r="AE64" s="19"/>
      <c r="AF64" s="19"/>
      <c r="AG64" s="21"/>
    </row>
    <row r="65" spans="2:33" ht="14.25" hidden="1" customHeight="1" x14ac:dyDescent="0.25">
      <c r="B65" s="626"/>
      <c r="C65" s="19"/>
      <c r="D65" s="608"/>
      <c r="E65" s="19"/>
      <c r="F65" s="35"/>
      <c r="G65" s="19"/>
      <c r="H65" s="19"/>
      <c r="I65" s="19"/>
      <c r="J65" s="19"/>
      <c r="K65" s="68"/>
      <c r="L65" s="19"/>
      <c r="M65" s="634"/>
      <c r="N65" s="610"/>
      <c r="O65" s="35"/>
      <c r="P65" s="35"/>
      <c r="Q65" s="19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19"/>
      <c r="AC65" s="19"/>
      <c r="AD65" s="19"/>
      <c r="AE65" s="19"/>
      <c r="AF65" s="19"/>
      <c r="AG65" s="21"/>
    </row>
    <row r="66" spans="2:33" ht="30" customHeight="1" x14ac:dyDescent="0.25">
      <c r="B66" s="626"/>
      <c r="C66" s="19"/>
      <c r="D66" s="159"/>
      <c r="E66" s="19"/>
      <c r="F66" s="35"/>
      <c r="G66" s="19"/>
      <c r="H66" s="19"/>
      <c r="I66" s="19"/>
      <c r="J66" s="19"/>
      <c r="K66" s="35"/>
      <c r="L66" s="35"/>
      <c r="M66" s="35"/>
      <c r="N66" s="35"/>
      <c r="O66" s="35"/>
      <c r="P66" s="35"/>
      <c r="Q66" s="19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19"/>
      <c r="AC66" s="19"/>
      <c r="AD66" s="19"/>
      <c r="AE66" s="19"/>
      <c r="AF66" s="19"/>
      <c r="AG66" s="21"/>
    </row>
    <row r="67" spans="2:33" ht="90" customHeight="1" x14ac:dyDescent="0.25">
      <c r="B67" s="626"/>
      <c r="C67" s="19"/>
      <c r="D67" s="160" t="s">
        <v>116</v>
      </c>
      <c r="E67" s="19"/>
      <c r="F67" s="35"/>
      <c r="G67" s="19"/>
      <c r="H67" s="19"/>
      <c r="I67" s="19"/>
      <c r="J67" s="19"/>
      <c r="K67" s="35"/>
      <c r="L67" s="35"/>
      <c r="M67" s="164" t="s">
        <v>186</v>
      </c>
      <c r="N67" s="35"/>
      <c r="O67" s="35"/>
      <c r="P67" s="35"/>
      <c r="Q67" s="19"/>
      <c r="R67" s="164" t="s">
        <v>187</v>
      </c>
      <c r="S67" s="35"/>
      <c r="T67" s="35"/>
      <c r="U67" s="35"/>
      <c r="V67" s="35"/>
      <c r="W67" s="35"/>
      <c r="X67" s="35"/>
      <c r="Y67" s="35"/>
      <c r="Z67" s="35"/>
      <c r="AA67" s="35"/>
      <c r="AB67" s="19"/>
      <c r="AC67" s="19"/>
      <c r="AD67" s="19"/>
      <c r="AE67" s="19"/>
      <c r="AF67" s="19"/>
      <c r="AG67" s="21"/>
    </row>
    <row r="68" spans="2:33" ht="30" customHeight="1" x14ac:dyDescent="0.25">
      <c r="B68" s="626"/>
      <c r="C68" s="19"/>
      <c r="D68" s="159"/>
      <c r="E68" s="19"/>
      <c r="F68" s="35"/>
      <c r="G68" s="19"/>
      <c r="H68" s="19"/>
      <c r="I68" s="19"/>
      <c r="J68" s="19"/>
      <c r="K68" s="35"/>
      <c r="L68" s="35"/>
      <c r="M68" s="35"/>
      <c r="N68" s="35"/>
      <c r="O68" s="35"/>
      <c r="P68" s="35"/>
      <c r="Q68" s="19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19"/>
      <c r="AC68" s="19"/>
      <c r="AD68" s="19"/>
      <c r="AE68" s="19"/>
      <c r="AF68" s="19"/>
      <c r="AG68" s="21"/>
    </row>
    <row r="69" spans="2:33" ht="90" customHeight="1" x14ac:dyDescent="0.25">
      <c r="B69" s="627"/>
      <c r="C69" s="24"/>
      <c r="D69" s="166" t="s">
        <v>48</v>
      </c>
      <c r="E69" s="24"/>
      <c r="F69" s="93"/>
      <c r="G69" s="24"/>
      <c r="H69" s="24"/>
      <c r="I69" s="24"/>
      <c r="J69" s="24"/>
      <c r="K69" s="93"/>
      <c r="L69" s="93"/>
      <c r="M69" s="93"/>
      <c r="N69" s="93"/>
      <c r="O69" s="93"/>
      <c r="P69" s="93"/>
      <c r="Q69" s="165" t="s">
        <v>188</v>
      </c>
      <c r="R69" s="24"/>
      <c r="S69" s="93"/>
      <c r="T69" s="93"/>
      <c r="U69" s="165" t="s">
        <v>189</v>
      </c>
      <c r="V69" s="93"/>
      <c r="W69" s="93"/>
      <c r="X69" s="165" t="s">
        <v>162</v>
      </c>
      <c r="Y69" s="93"/>
      <c r="Z69" s="93"/>
      <c r="AA69" s="93"/>
      <c r="AB69" s="24"/>
      <c r="AC69" s="24"/>
      <c r="AD69" s="24"/>
      <c r="AE69" s="24"/>
      <c r="AF69" s="24"/>
      <c r="AG69" s="25"/>
    </row>
    <row r="70" spans="2:33" ht="14.25" customHeight="1" x14ac:dyDescent="0.25">
      <c r="B70" s="19"/>
      <c r="D70" s="26"/>
      <c r="F70" s="19"/>
      <c r="G70" s="35"/>
      <c r="H70" s="35"/>
      <c r="I70" s="35"/>
      <c r="J70" s="35"/>
      <c r="K70" s="35"/>
      <c r="L70" s="35"/>
      <c r="M70" s="19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spans="2:33" ht="14.25" customHeight="1" x14ac:dyDescent="0.25">
      <c r="B71" s="19"/>
      <c r="D71" s="26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spans="2:33" ht="14.25" customHeight="1" x14ac:dyDescent="0.25">
      <c r="B72" s="19"/>
      <c r="D72" s="26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spans="2:33" ht="14.25" customHeight="1" x14ac:dyDescent="0.25">
      <c r="B73" s="19"/>
      <c r="D73" s="26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spans="2:33" ht="14.25" customHeight="1" x14ac:dyDescent="0.25">
      <c r="B74" s="19"/>
      <c r="D74" s="26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spans="2:33" ht="14.25" customHeight="1" x14ac:dyDescent="0.25">
      <c r="B75" s="19"/>
      <c r="D75" s="26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spans="2:33" ht="14.25" customHeight="1" x14ac:dyDescent="0.25">
      <c r="B76" s="19"/>
      <c r="D76" s="26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spans="2:33" ht="14.25" customHeight="1" x14ac:dyDescent="0.25">
      <c r="B77" s="19"/>
      <c r="D77" s="26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spans="2:33" ht="14.25" customHeight="1" x14ac:dyDescent="0.25">
      <c r="B78" s="19"/>
      <c r="D78" s="26"/>
    </row>
    <row r="79" spans="2:33" ht="14.25" customHeight="1" x14ac:dyDescent="0.25">
      <c r="B79" s="19"/>
      <c r="D79" s="26"/>
    </row>
    <row r="80" spans="2:33" ht="14.25" customHeight="1" x14ac:dyDescent="0.25">
      <c r="D80" s="26"/>
    </row>
    <row r="81" spans="4:4" ht="14.25" customHeight="1" x14ac:dyDescent="0.25">
      <c r="D81" s="26"/>
    </row>
    <row r="82" spans="4:4" ht="14.25" customHeight="1" x14ac:dyDescent="0.25">
      <c r="D82" s="26"/>
    </row>
    <row r="83" spans="4:4" ht="14.25" customHeight="1" x14ac:dyDescent="0.25">
      <c r="D83" s="26"/>
    </row>
    <row r="84" spans="4:4" ht="14.25" customHeight="1" x14ac:dyDescent="0.25">
      <c r="D84" s="26"/>
    </row>
    <row r="85" spans="4:4" ht="14.25" customHeight="1" x14ac:dyDescent="0.25">
      <c r="D85" s="26"/>
    </row>
    <row r="86" spans="4:4" ht="14.25" customHeight="1" x14ac:dyDescent="0.25">
      <c r="D86" s="26"/>
    </row>
    <row r="87" spans="4:4" ht="14.25" customHeight="1" x14ac:dyDescent="0.25">
      <c r="D87" s="26"/>
    </row>
    <row r="88" spans="4:4" ht="14.25" customHeight="1" x14ac:dyDescent="0.25">
      <c r="D88" s="26"/>
    </row>
    <row r="89" spans="4:4" ht="14.25" customHeight="1" x14ac:dyDescent="0.25">
      <c r="D89" s="26"/>
    </row>
    <row r="90" spans="4:4" ht="14.25" customHeight="1" x14ac:dyDescent="0.25">
      <c r="D90" s="26"/>
    </row>
    <row r="91" spans="4:4" ht="14.25" customHeight="1" x14ac:dyDescent="0.25">
      <c r="D91" s="26"/>
    </row>
    <row r="92" spans="4:4" ht="14.25" customHeight="1" x14ac:dyDescent="0.25">
      <c r="D92" s="26"/>
    </row>
    <row r="93" spans="4:4" ht="14.25" customHeight="1" x14ac:dyDescent="0.25">
      <c r="D93" s="26"/>
    </row>
    <row r="94" spans="4:4" ht="14.25" customHeight="1" x14ac:dyDescent="0.25">
      <c r="D94" s="26"/>
    </row>
    <row r="95" spans="4:4" ht="14.25" customHeight="1" x14ac:dyDescent="0.25">
      <c r="D95" s="26"/>
    </row>
    <row r="96" spans="4:4" ht="14.25" customHeight="1" x14ac:dyDescent="0.25">
      <c r="D96" s="26"/>
    </row>
    <row r="97" spans="4:4" ht="14.25" customHeight="1" x14ac:dyDescent="0.25">
      <c r="D97" s="26"/>
    </row>
    <row r="98" spans="4:4" ht="14.25" customHeight="1" x14ac:dyDescent="0.25">
      <c r="D98" s="26"/>
    </row>
    <row r="99" spans="4:4" ht="14.25" customHeight="1" x14ac:dyDescent="0.25">
      <c r="D99" s="26"/>
    </row>
    <row r="100" spans="4:4" ht="14.25" customHeight="1" x14ac:dyDescent="0.25">
      <c r="D100" s="26"/>
    </row>
    <row r="101" spans="4:4" ht="14.25" customHeight="1" x14ac:dyDescent="0.25">
      <c r="D101" s="26"/>
    </row>
    <row r="102" spans="4:4" ht="14.25" customHeight="1" x14ac:dyDescent="0.25">
      <c r="D102" s="26"/>
    </row>
    <row r="103" spans="4:4" ht="14.25" customHeight="1" x14ac:dyDescent="0.25">
      <c r="D103" s="26"/>
    </row>
    <row r="104" spans="4:4" ht="14.25" customHeight="1" x14ac:dyDescent="0.25">
      <c r="D104" s="26"/>
    </row>
    <row r="105" spans="4:4" ht="14.25" customHeight="1" x14ac:dyDescent="0.25">
      <c r="D105" s="26"/>
    </row>
    <row r="106" spans="4:4" ht="14.25" customHeight="1" x14ac:dyDescent="0.25">
      <c r="D106" s="26"/>
    </row>
    <row r="107" spans="4:4" ht="14.25" customHeight="1" x14ac:dyDescent="0.25">
      <c r="D107" s="26"/>
    </row>
    <row r="108" spans="4:4" ht="14.25" customHeight="1" x14ac:dyDescent="0.25">
      <c r="D108" s="26"/>
    </row>
    <row r="109" spans="4:4" ht="14.25" customHeight="1" x14ac:dyDescent="0.25">
      <c r="D109" s="26"/>
    </row>
    <row r="110" spans="4:4" ht="14.25" customHeight="1" x14ac:dyDescent="0.25">
      <c r="D110" s="26"/>
    </row>
    <row r="111" spans="4:4" ht="14.25" customHeight="1" x14ac:dyDescent="0.25">
      <c r="D111" s="26"/>
    </row>
    <row r="112" spans="4:4" ht="14.25" customHeight="1" x14ac:dyDescent="0.25">
      <c r="D112" s="26"/>
    </row>
    <row r="113" spans="4:4" ht="14.25" customHeight="1" x14ac:dyDescent="0.25">
      <c r="D113" s="26"/>
    </row>
    <row r="114" spans="4:4" ht="14.25" customHeight="1" x14ac:dyDescent="0.25">
      <c r="D114" s="26"/>
    </row>
    <row r="115" spans="4:4" ht="14.25" customHeight="1" x14ac:dyDescent="0.25">
      <c r="D115" s="26"/>
    </row>
    <row r="116" spans="4:4" ht="14.25" customHeight="1" x14ac:dyDescent="0.25">
      <c r="D116" s="26"/>
    </row>
    <row r="117" spans="4:4" ht="14.25" customHeight="1" x14ac:dyDescent="0.25">
      <c r="D117" s="26"/>
    </row>
    <row r="118" spans="4:4" ht="14.25" customHeight="1" x14ac:dyDescent="0.25">
      <c r="D118" s="26"/>
    </row>
    <row r="119" spans="4:4" ht="14.25" customHeight="1" x14ac:dyDescent="0.25">
      <c r="D119" s="26"/>
    </row>
    <row r="120" spans="4:4" ht="14.25" customHeight="1" x14ac:dyDescent="0.25">
      <c r="D120" s="26"/>
    </row>
    <row r="121" spans="4:4" ht="14.25" customHeight="1" x14ac:dyDescent="0.25">
      <c r="D121" s="26"/>
    </row>
    <row r="122" spans="4:4" ht="14.25" customHeight="1" x14ac:dyDescent="0.25">
      <c r="D122" s="26"/>
    </row>
    <row r="123" spans="4:4" ht="14.25" customHeight="1" x14ac:dyDescent="0.25">
      <c r="D123" s="26"/>
    </row>
    <row r="124" spans="4:4" ht="14.25" customHeight="1" x14ac:dyDescent="0.25">
      <c r="D124" s="26"/>
    </row>
    <row r="125" spans="4:4" ht="14.25" customHeight="1" x14ac:dyDescent="0.25">
      <c r="D125" s="26"/>
    </row>
    <row r="126" spans="4:4" ht="14.25" customHeight="1" x14ac:dyDescent="0.25">
      <c r="D126" s="26"/>
    </row>
    <row r="127" spans="4:4" ht="14.25" customHeight="1" x14ac:dyDescent="0.25">
      <c r="D127" s="26"/>
    </row>
    <row r="128" spans="4:4" ht="14.25" customHeight="1" x14ac:dyDescent="0.25">
      <c r="D128" s="26"/>
    </row>
    <row r="129" spans="4:4" ht="14.25" customHeight="1" x14ac:dyDescent="0.25">
      <c r="D129" s="26"/>
    </row>
    <row r="130" spans="4:4" ht="14.25" customHeight="1" x14ac:dyDescent="0.25">
      <c r="D130" s="26"/>
    </row>
    <row r="131" spans="4:4" ht="14.25" customHeight="1" x14ac:dyDescent="0.25">
      <c r="D131" s="26"/>
    </row>
    <row r="132" spans="4:4" ht="14.25" customHeight="1" x14ac:dyDescent="0.25">
      <c r="D132" s="26"/>
    </row>
    <row r="133" spans="4:4" ht="14.25" customHeight="1" x14ac:dyDescent="0.25">
      <c r="D133" s="26"/>
    </row>
    <row r="134" spans="4:4" ht="14.25" customHeight="1" x14ac:dyDescent="0.25">
      <c r="D134" s="26"/>
    </row>
    <row r="135" spans="4:4" ht="14.25" customHeight="1" x14ac:dyDescent="0.25">
      <c r="D135" s="26"/>
    </row>
    <row r="136" spans="4:4" ht="14.25" customHeight="1" x14ac:dyDescent="0.25">
      <c r="D136" s="26"/>
    </row>
    <row r="137" spans="4:4" ht="14.25" customHeight="1" x14ac:dyDescent="0.25">
      <c r="D137" s="26"/>
    </row>
    <row r="138" spans="4:4" ht="14.25" customHeight="1" x14ac:dyDescent="0.25">
      <c r="D138" s="26"/>
    </row>
    <row r="139" spans="4:4" ht="14.25" customHeight="1" x14ac:dyDescent="0.25">
      <c r="D139" s="26"/>
    </row>
    <row r="140" spans="4:4" ht="14.25" customHeight="1" x14ac:dyDescent="0.25">
      <c r="D140" s="26"/>
    </row>
    <row r="141" spans="4:4" ht="14.25" customHeight="1" x14ac:dyDescent="0.25">
      <c r="D141" s="26"/>
    </row>
    <row r="142" spans="4:4" ht="14.25" customHeight="1" x14ac:dyDescent="0.25">
      <c r="D142" s="26"/>
    </row>
    <row r="143" spans="4:4" ht="14.25" customHeight="1" x14ac:dyDescent="0.25">
      <c r="D143" s="26"/>
    </row>
    <row r="144" spans="4:4" ht="14.25" customHeight="1" x14ac:dyDescent="0.25">
      <c r="D144" s="26"/>
    </row>
    <row r="145" spans="4:4" ht="14.25" customHeight="1" x14ac:dyDescent="0.25">
      <c r="D145" s="26"/>
    </row>
    <row r="146" spans="4:4" ht="14.25" customHeight="1" x14ac:dyDescent="0.25">
      <c r="D146" s="26"/>
    </row>
    <row r="147" spans="4:4" ht="14.25" customHeight="1" x14ac:dyDescent="0.25">
      <c r="D147" s="26"/>
    </row>
    <row r="148" spans="4:4" ht="14.25" customHeight="1" x14ac:dyDescent="0.25">
      <c r="D148" s="26"/>
    </row>
    <row r="149" spans="4:4" ht="14.25" customHeight="1" x14ac:dyDescent="0.25">
      <c r="D149" s="26"/>
    </row>
    <row r="150" spans="4:4" ht="14.25" customHeight="1" x14ac:dyDescent="0.25">
      <c r="D150" s="26"/>
    </row>
    <row r="151" spans="4:4" ht="14.25" customHeight="1" x14ac:dyDescent="0.25">
      <c r="D151" s="26"/>
    </row>
    <row r="152" spans="4:4" ht="14.25" customHeight="1" x14ac:dyDescent="0.25">
      <c r="D152" s="26"/>
    </row>
    <row r="153" spans="4:4" ht="14.25" customHeight="1" x14ac:dyDescent="0.25">
      <c r="D153" s="26"/>
    </row>
    <row r="154" spans="4:4" ht="14.25" customHeight="1" x14ac:dyDescent="0.25">
      <c r="D154" s="26"/>
    </row>
    <row r="155" spans="4:4" ht="14.25" customHeight="1" x14ac:dyDescent="0.25">
      <c r="D155" s="26"/>
    </row>
    <row r="156" spans="4:4" ht="14.25" customHeight="1" x14ac:dyDescent="0.25">
      <c r="D156" s="26"/>
    </row>
    <row r="157" spans="4:4" ht="14.25" customHeight="1" x14ac:dyDescent="0.25">
      <c r="D157" s="26"/>
    </row>
    <row r="158" spans="4:4" ht="14.25" customHeight="1" x14ac:dyDescent="0.25">
      <c r="D158" s="26"/>
    </row>
    <row r="159" spans="4:4" ht="14.25" customHeight="1" x14ac:dyDescent="0.25">
      <c r="D159" s="26"/>
    </row>
    <row r="160" spans="4:4" ht="14.25" customHeight="1" x14ac:dyDescent="0.25">
      <c r="D160" s="26"/>
    </row>
    <row r="161" spans="4:4" ht="14.25" customHeight="1" x14ac:dyDescent="0.25">
      <c r="D161" s="26"/>
    </row>
    <row r="162" spans="4:4" ht="14.25" customHeight="1" x14ac:dyDescent="0.25">
      <c r="D162" s="26"/>
    </row>
    <row r="163" spans="4:4" ht="14.25" customHeight="1" x14ac:dyDescent="0.25">
      <c r="D163" s="26"/>
    </row>
    <row r="164" spans="4:4" ht="14.25" customHeight="1" x14ac:dyDescent="0.25">
      <c r="D164" s="26"/>
    </row>
    <row r="165" spans="4:4" ht="14.25" customHeight="1" x14ac:dyDescent="0.25">
      <c r="D165" s="26"/>
    </row>
    <row r="166" spans="4:4" ht="14.25" customHeight="1" x14ac:dyDescent="0.25">
      <c r="D166" s="26"/>
    </row>
    <row r="167" spans="4:4" ht="14.25" customHeight="1" x14ac:dyDescent="0.25">
      <c r="D167" s="26"/>
    </row>
    <row r="168" spans="4:4" ht="14.25" customHeight="1" x14ac:dyDescent="0.25">
      <c r="D168" s="26"/>
    </row>
    <row r="169" spans="4:4" ht="14.25" customHeight="1" x14ac:dyDescent="0.25">
      <c r="D169" s="26"/>
    </row>
    <row r="170" spans="4:4" ht="14.25" customHeight="1" x14ac:dyDescent="0.25">
      <c r="D170" s="26"/>
    </row>
    <row r="171" spans="4:4" ht="14.25" customHeight="1" x14ac:dyDescent="0.25">
      <c r="D171" s="26"/>
    </row>
    <row r="172" spans="4:4" ht="14.25" customHeight="1" x14ac:dyDescent="0.25">
      <c r="D172" s="26"/>
    </row>
    <row r="173" spans="4:4" ht="14.25" customHeight="1" x14ac:dyDescent="0.25">
      <c r="D173" s="26"/>
    </row>
    <row r="174" spans="4:4" ht="14.25" customHeight="1" x14ac:dyDescent="0.25">
      <c r="D174" s="26"/>
    </row>
    <row r="175" spans="4:4" ht="14.25" customHeight="1" x14ac:dyDescent="0.25">
      <c r="D175" s="26"/>
    </row>
    <row r="176" spans="4:4" ht="14.25" customHeight="1" x14ac:dyDescent="0.25">
      <c r="D176" s="26"/>
    </row>
    <row r="177" spans="4:4" ht="14.25" customHeight="1" x14ac:dyDescent="0.25">
      <c r="D177" s="26"/>
    </row>
    <row r="178" spans="4:4" ht="14.25" customHeight="1" x14ac:dyDescent="0.25">
      <c r="D178" s="26"/>
    </row>
    <row r="179" spans="4:4" ht="14.25" customHeight="1" x14ac:dyDescent="0.25">
      <c r="D179" s="26"/>
    </row>
    <row r="180" spans="4:4" ht="14.25" customHeight="1" x14ac:dyDescent="0.25">
      <c r="D180" s="26"/>
    </row>
    <row r="181" spans="4:4" ht="14.25" customHeight="1" x14ac:dyDescent="0.25">
      <c r="D181" s="26"/>
    </row>
    <row r="182" spans="4:4" ht="14.25" customHeight="1" x14ac:dyDescent="0.25">
      <c r="D182" s="26"/>
    </row>
    <row r="183" spans="4:4" ht="14.25" customHeight="1" x14ac:dyDescent="0.25">
      <c r="D183" s="26"/>
    </row>
    <row r="184" spans="4:4" ht="14.25" customHeight="1" x14ac:dyDescent="0.25">
      <c r="D184" s="26"/>
    </row>
    <row r="185" spans="4:4" ht="14.25" customHeight="1" x14ac:dyDescent="0.25">
      <c r="D185" s="26"/>
    </row>
    <row r="186" spans="4:4" ht="14.25" customHeight="1" x14ac:dyDescent="0.25">
      <c r="D186" s="26"/>
    </row>
    <row r="187" spans="4:4" ht="14.25" customHeight="1" x14ac:dyDescent="0.25">
      <c r="D187" s="26"/>
    </row>
    <row r="188" spans="4:4" ht="14.25" customHeight="1" x14ac:dyDescent="0.25">
      <c r="D188" s="26"/>
    </row>
    <row r="189" spans="4:4" ht="14.25" customHeight="1" x14ac:dyDescent="0.25">
      <c r="D189" s="26"/>
    </row>
    <row r="190" spans="4:4" ht="14.25" customHeight="1" x14ac:dyDescent="0.25">
      <c r="D190" s="26"/>
    </row>
    <row r="191" spans="4:4" ht="14.25" customHeight="1" x14ac:dyDescent="0.25">
      <c r="D191" s="26"/>
    </row>
    <row r="192" spans="4:4" ht="14.25" customHeight="1" x14ac:dyDescent="0.25">
      <c r="D192" s="26"/>
    </row>
    <row r="193" spans="4:4" ht="14.25" customHeight="1" x14ac:dyDescent="0.25">
      <c r="D193" s="26"/>
    </row>
    <row r="194" spans="4:4" ht="14.25" customHeight="1" x14ac:dyDescent="0.25">
      <c r="D194" s="26"/>
    </row>
    <row r="195" spans="4:4" ht="14.25" customHeight="1" x14ac:dyDescent="0.25">
      <c r="D195" s="26"/>
    </row>
    <row r="196" spans="4:4" ht="14.25" customHeight="1" x14ac:dyDescent="0.25">
      <c r="D196" s="26"/>
    </row>
    <row r="197" spans="4:4" ht="14.25" customHeight="1" x14ac:dyDescent="0.25">
      <c r="D197" s="26"/>
    </row>
    <row r="198" spans="4:4" ht="14.25" customHeight="1" x14ac:dyDescent="0.25">
      <c r="D198" s="26"/>
    </row>
    <row r="199" spans="4:4" ht="14.25" customHeight="1" x14ac:dyDescent="0.25">
      <c r="D199" s="26"/>
    </row>
    <row r="200" spans="4:4" ht="14.25" customHeight="1" x14ac:dyDescent="0.25">
      <c r="D200" s="26"/>
    </row>
    <row r="201" spans="4:4" ht="14.25" customHeight="1" x14ac:dyDescent="0.25">
      <c r="D201" s="26"/>
    </row>
    <row r="202" spans="4:4" ht="14.25" customHeight="1" x14ac:dyDescent="0.25">
      <c r="D202" s="26"/>
    </row>
    <row r="203" spans="4:4" ht="14.25" customHeight="1" x14ac:dyDescent="0.25">
      <c r="D203" s="26"/>
    </row>
    <row r="204" spans="4:4" ht="14.25" customHeight="1" x14ac:dyDescent="0.25">
      <c r="D204" s="26"/>
    </row>
    <row r="205" spans="4:4" ht="14.25" customHeight="1" x14ac:dyDescent="0.25">
      <c r="D205" s="26"/>
    </row>
    <row r="206" spans="4:4" ht="14.25" customHeight="1" x14ac:dyDescent="0.25">
      <c r="D206" s="26"/>
    </row>
    <row r="207" spans="4:4" ht="14.25" customHeight="1" x14ac:dyDescent="0.25">
      <c r="D207" s="26"/>
    </row>
    <row r="208" spans="4:4" ht="14.25" customHeight="1" x14ac:dyDescent="0.25">
      <c r="D208" s="26"/>
    </row>
    <row r="209" spans="4:4" ht="14.25" customHeight="1" x14ac:dyDescent="0.25">
      <c r="D209" s="26"/>
    </row>
    <row r="210" spans="4:4" ht="14.25" customHeight="1" x14ac:dyDescent="0.25">
      <c r="D210" s="26"/>
    </row>
    <row r="211" spans="4:4" ht="14.25" customHeight="1" x14ac:dyDescent="0.25">
      <c r="D211" s="26"/>
    </row>
    <row r="212" spans="4:4" ht="14.25" customHeight="1" x14ac:dyDescent="0.25">
      <c r="D212" s="26"/>
    </row>
    <row r="213" spans="4:4" ht="14.25" customHeight="1" x14ac:dyDescent="0.25">
      <c r="D213" s="26"/>
    </row>
    <row r="214" spans="4:4" ht="14.25" customHeight="1" x14ac:dyDescent="0.25">
      <c r="D214" s="26"/>
    </row>
    <row r="215" spans="4:4" ht="14.25" customHeight="1" x14ac:dyDescent="0.25">
      <c r="D215" s="26"/>
    </row>
    <row r="216" spans="4:4" ht="14.25" customHeight="1" x14ac:dyDescent="0.25">
      <c r="D216" s="26"/>
    </row>
    <row r="217" spans="4:4" ht="14.25" customHeight="1" x14ac:dyDescent="0.25">
      <c r="D217" s="26"/>
    </row>
    <row r="218" spans="4:4" ht="14.25" customHeight="1" x14ac:dyDescent="0.25">
      <c r="D218" s="26"/>
    </row>
    <row r="219" spans="4:4" ht="14.25" customHeight="1" x14ac:dyDescent="0.25">
      <c r="D219" s="26"/>
    </row>
    <row r="220" spans="4:4" ht="14.25" customHeight="1" x14ac:dyDescent="0.25">
      <c r="D220" s="26"/>
    </row>
    <row r="221" spans="4:4" ht="14.25" customHeight="1" x14ac:dyDescent="0.25">
      <c r="D221" s="26"/>
    </row>
    <row r="222" spans="4:4" ht="14.25" customHeight="1" x14ac:dyDescent="0.25">
      <c r="D222" s="26"/>
    </row>
    <row r="223" spans="4:4" ht="14.25" customHeight="1" x14ac:dyDescent="0.25">
      <c r="D223" s="26"/>
    </row>
    <row r="224" spans="4:4" ht="14.25" customHeight="1" x14ac:dyDescent="0.25">
      <c r="D224" s="26"/>
    </row>
    <row r="225" spans="4:4" ht="14.25" customHeight="1" x14ac:dyDescent="0.25">
      <c r="D225" s="26"/>
    </row>
    <row r="226" spans="4:4" ht="14.25" customHeight="1" x14ac:dyDescent="0.25">
      <c r="D226" s="26"/>
    </row>
    <row r="227" spans="4:4" ht="14.25" customHeight="1" x14ac:dyDescent="0.25">
      <c r="D227" s="26"/>
    </row>
    <row r="228" spans="4:4" ht="14.25" customHeight="1" x14ac:dyDescent="0.25">
      <c r="D228" s="26"/>
    </row>
    <row r="229" spans="4:4" ht="14.25" customHeight="1" x14ac:dyDescent="0.25">
      <c r="D229" s="26"/>
    </row>
    <row r="230" spans="4:4" ht="14.25" customHeight="1" x14ac:dyDescent="0.25">
      <c r="D230" s="26"/>
    </row>
    <row r="231" spans="4:4" ht="14.25" customHeight="1" x14ac:dyDescent="0.25">
      <c r="D231" s="26"/>
    </row>
    <row r="232" spans="4:4" ht="14.25" customHeight="1" x14ac:dyDescent="0.25">
      <c r="D232" s="26"/>
    </row>
    <row r="233" spans="4:4" ht="15.75" customHeight="1" x14ac:dyDescent="0.25"/>
    <row r="234" spans="4:4" ht="15.75" customHeight="1" x14ac:dyDescent="0.25"/>
    <row r="235" spans="4:4" ht="15.75" customHeight="1" x14ac:dyDescent="0.25"/>
    <row r="236" spans="4:4" ht="15.75" customHeight="1" x14ac:dyDescent="0.25"/>
    <row r="237" spans="4:4" ht="15.75" customHeight="1" x14ac:dyDescent="0.25"/>
    <row r="238" spans="4:4" ht="15.75" customHeight="1" x14ac:dyDescent="0.25"/>
    <row r="239" spans="4:4" ht="15.75" customHeight="1" x14ac:dyDescent="0.25"/>
    <row r="240" spans="4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55">
    <mergeCell ref="Q41:Q42"/>
    <mergeCell ref="R41:S41"/>
    <mergeCell ref="L42:M42"/>
    <mergeCell ref="R42:T42"/>
    <mergeCell ref="O46:R46"/>
    <mergeCell ref="K64:L64"/>
    <mergeCell ref="M64:N64"/>
    <mergeCell ref="M65:N65"/>
    <mergeCell ref="D32:D33"/>
    <mergeCell ref="D37:D38"/>
    <mergeCell ref="D55:D56"/>
    <mergeCell ref="D57:D58"/>
    <mergeCell ref="D59:D60"/>
    <mergeCell ref="D62:D63"/>
    <mergeCell ref="D64:D65"/>
    <mergeCell ref="D41:D42"/>
    <mergeCell ref="D48:D49"/>
    <mergeCell ref="D50:D51"/>
    <mergeCell ref="D52:D53"/>
    <mergeCell ref="AX5:BA5"/>
    <mergeCell ref="F5:I5"/>
    <mergeCell ref="D9:D10"/>
    <mergeCell ref="Q9:Q10"/>
    <mergeCell ref="R9:S9"/>
    <mergeCell ref="L10:M10"/>
    <mergeCell ref="R10:T10"/>
    <mergeCell ref="J5:M5"/>
    <mergeCell ref="N5:Q5"/>
    <mergeCell ref="R5:U5"/>
    <mergeCell ref="V5:Y5"/>
    <mergeCell ref="Z5:AC5"/>
    <mergeCell ref="AD5:AG5"/>
    <mergeCell ref="B41:B69"/>
    <mergeCell ref="AH5:AK5"/>
    <mergeCell ref="AL5:AO5"/>
    <mergeCell ref="AP5:AS5"/>
    <mergeCell ref="AT5:AW5"/>
    <mergeCell ref="V23:AA23"/>
    <mergeCell ref="Z30:AG30"/>
    <mergeCell ref="K32:L32"/>
    <mergeCell ref="M32:N32"/>
    <mergeCell ref="M33:N33"/>
    <mergeCell ref="O14:R14"/>
    <mergeCell ref="D16:D17"/>
    <mergeCell ref="S16:Z16"/>
    <mergeCell ref="S48:Z48"/>
    <mergeCell ref="V55:AA55"/>
    <mergeCell ref="Z62:AG62"/>
    <mergeCell ref="B9:B38"/>
    <mergeCell ref="D18:D19"/>
    <mergeCell ref="D20:D21"/>
    <mergeCell ref="D23:D24"/>
    <mergeCell ref="D25:D26"/>
    <mergeCell ref="D27:D28"/>
    <mergeCell ref="D30:D31"/>
  </mergeCells>
  <pageMargins left="0.25" right="0.25" top="0.75" bottom="0.75" header="0" footer="0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CT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14.42578125" defaultRowHeight="15" customHeight="1" x14ac:dyDescent="0.25"/>
  <cols>
    <col min="1" max="1" width="2.7109375" customWidth="1"/>
    <col min="2" max="2" width="15.42578125" customWidth="1"/>
    <col min="3" max="3" width="33.42578125" customWidth="1"/>
    <col min="4" max="4" width="1.28515625" customWidth="1"/>
    <col min="5" max="6" width="43" hidden="1" customWidth="1"/>
    <col min="7" max="7" width="2.28515625" hidden="1" customWidth="1"/>
    <col min="8" max="9" width="43" hidden="1" customWidth="1"/>
    <col min="10" max="10" width="2.28515625" hidden="1" customWidth="1"/>
    <col min="11" max="13" width="60.7109375" hidden="1" customWidth="1"/>
    <col min="14" max="14" width="61.28515625" hidden="1" customWidth="1"/>
    <col min="15" max="19" width="30.7109375" hidden="1" customWidth="1"/>
    <col min="20" max="20" width="39.28515625" hidden="1" customWidth="1"/>
    <col min="21" max="21" width="30.7109375" hidden="1" customWidth="1"/>
    <col min="22" max="22" width="37.140625" hidden="1" customWidth="1"/>
    <col min="23" max="30" width="30.7109375" hidden="1" customWidth="1"/>
    <col min="31" max="98" width="30.7109375" customWidth="1"/>
  </cols>
  <sheetData>
    <row r="1" spans="2:98" ht="14.25" customHeight="1" x14ac:dyDescent="0.25">
      <c r="C1" s="26"/>
      <c r="E1" s="49"/>
      <c r="F1" s="49"/>
      <c r="H1" s="49"/>
      <c r="I1" s="49"/>
      <c r="O1" s="13"/>
      <c r="P1" s="13"/>
      <c r="Q1" s="13"/>
      <c r="R1" s="13"/>
    </row>
    <row r="2" spans="2:98" ht="14.25" customHeight="1" x14ac:dyDescent="0.25">
      <c r="C2" s="26"/>
      <c r="E2" s="49"/>
      <c r="F2" s="49"/>
      <c r="H2" s="49"/>
      <c r="I2" s="49"/>
      <c r="O2" s="13"/>
      <c r="P2" s="13"/>
      <c r="Q2" s="13"/>
      <c r="R2" s="13"/>
    </row>
    <row r="3" spans="2:98" ht="49.5" customHeight="1" x14ac:dyDescent="0.25">
      <c r="C3" s="26"/>
      <c r="E3" s="619">
        <v>2024</v>
      </c>
      <c r="F3" s="568"/>
      <c r="G3" s="568"/>
      <c r="H3" s="568"/>
      <c r="I3" s="569"/>
      <c r="K3" s="668">
        <v>2025</v>
      </c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  <c r="AM3" s="568"/>
      <c r="AN3" s="568"/>
      <c r="AO3" s="568"/>
      <c r="AP3" s="568"/>
      <c r="AQ3" s="568"/>
      <c r="AR3" s="568"/>
      <c r="AS3" s="568"/>
      <c r="AT3" s="568"/>
      <c r="AU3" s="568"/>
      <c r="AV3" s="568"/>
      <c r="AW3" s="568"/>
      <c r="AX3" s="568"/>
      <c r="AY3" s="568"/>
      <c r="AZ3" s="568"/>
      <c r="BA3" s="568"/>
      <c r="BB3" s="569"/>
      <c r="BC3" s="668">
        <v>2025</v>
      </c>
      <c r="BD3" s="568"/>
      <c r="BE3" s="568"/>
      <c r="BF3" s="568"/>
      <c r="BG3" s="568"/>
      <c r="BH3" s="568"/>
      <c r="BI3" s="568"/>
      <c r="BJ3" s="568"/>
      <c r="BK3" s="568"/>
      <c r="BL3" s="568"/>
      <c r="BM3" s="568"/>
      <c r="BN3" s="568"/>
      <c r="BO3" s="568"/>
      <c r="BP3" s="568"/>
      <c r="BQ3" s="568"/>
      <c r="BR3" s="568"/>
      <c r="BS3" s="568"/>
      <c r="BT3" s="568"/>
      <c r="BU3" s="568"/>
      <c r="BV3" s="568"/>
      <c r="BW3" s="568"/>
      <c r="BX3" s="568"/>
      <c r="BY3" s="568"/>
      <c r="BZ3" s="568"/>
      <c r="CA3" s="568"/>
      <c r="CB3" s="568"/>
      <c r="CC3" s="568"/>
      <c r="CD3" s="568"/>
      <c r="CE3" s="568"/>
      <c r="CF3" s="568"/>
      <c r="CG3" s="568"/>
      <c r="CH3" s="568"/>
      <c r="CI3" s="568"/>
      <c r="CJ3" s="568"/>
      <c r="CK3" s="568"/>
      <c r="CL3" s="568"/>
      <c r="CM3" s="568"/>
      <c r="CN3" s="568"/>
      <c r="CO3" s="568"/>
      <c r="CP3" s="568"/>
      <c r="CQ3" s="568"/>
      <c r="CR3" s="568"/>
      <c r="CS3" s="568"/>
      <c r="CT3" s="569"/>
    </row>
    <row r="4" spans="2:98" ht="9.75" customHeight="1" x14ac:dyDescent="0.25">
      <c r="C4" s="26"/>
      <c r="E4" s="49"/>
      <c r="F4" s="49"/>
      <c r="H4" s="49"/>
      <c r="I4" s="49"/>
      <c r="O4" s="13"/>
      <c r="P4" s="13"/>
      <c r="Q4" s="13"/>
      <c r="R4" s="13"/>
      <c r="BG4" s="13"/>
      <c r="BH4" s="13"/>
      <c r="BI4" s="13"/>
      <c r="BJ4" s="13"/>
    </row>
    <row r="5" spans="2:98" ht="57.75" customHeight="1" x14ac:dyDescent="0.25">
      <c r="C5" s="152" t="s">
        <v>28</v>
      </c>
      <c r="D5" s="52"/>
      <c r="E5" s="622" t="s">
        <v>93</v>
      </c>
      <c r="F5" s="582"/>
      <c r="G5" s="582"/>
      <c r="H5" s="582"/>
      <c r="I5" s="572"/>
      <c r="K5" s="575" t="s">
        <v>56</v>
      </c>
      <c r="L5" s="568"/>
      <c r="M5" s="568"/>
      <c r="N5" s="569"/>
      <c r="O5" s="577" t="s">
        <v>57</v>
      </c>
      <c r="P5" s="568"/>
      <c r="Q5" s="568"/>
      <c r="R5" s="569"/>
      <c r="S5" s="575" t="s">
        <v>58</v>
      </c>
      <c r="T5" s="568"/>
      <c r="U5" s="568"/>
      <c r="V5" s="569"/>
      <c r="W5" s="575" t="s">
        <v>1</v>
      </c>
      <c r="X5" s="568"/>
      <c r="Y5" s="568"/>
      <c r="Z5" s="569"/>
      <c r="AA5" s="575" t="s">
        <v>19</v>
      </c>
      <c r="AB5" s="568"/>
      <c r="AC5" s="568"/>
      <c r="AD5" s="569"/>
      <c r="AE5" s="575" t="s">
        <v>25</v>
      </c>
      <c r="AF5" s="568"/>
      <c r="AG5" s="568"/>
      <c r="AH5" s="569"/>
      <c r="AI5" s="575" t="s">
        <v>26</v>
      </c>
      <c r="AJ5" s="568"/>
      <c r="AK5" s="568"/>
      <c r="AL5" s="569"/>
      <c r="AM5" s="575" t="s">
        <v>27</v>
      </c>
      <c r="AN5" s="568"/>
      <c r="AO5" s="568"/>
      <c r="AP5" s="569"/>
      <c r="AQ5" s="575" t="s">
        <v>54</v>
      </c>
      <c r="AR5" s="568"/>
      <c r="AS5" s="568"/>
      <c r="AT5" s="569"/>
      <c r="AU5" s="575" t="s">
        <v>60</v>
      </c>
      <c r="AV5" s="568"/>
      <c r="AW5" s="568"/>
      <c r="AX5" s="569"/>
      <c r="AY5" s="575" t="s">
        <v>55</v>
      </c>
      <c r="AZ5" s="568"/>
      <c r="BA5" s="568"/>
      <c r="BB5" s="569"/>
      <c r="BC5" s="575" t="s">
        <v>56</v>
      </c>
      <c r="BD5" s="568"/>
      <c r="BE5" s="568"/>
      <c r="BF5" s="569"/>
      <c r="BG5" s="577" t="s">
        <v>57</v>
      </c>
      <c r="BH5" s="568"/>
      <c r="BI5" s="568"/>
      <c r="BJ5" s="569"/>
      <c r="BK5" s="575" t="s">
        <v>58</v>
      </c>
      <c r="BL5" s="568"/>
      <c r="BM5" s="568"/>
      <c r="BN5" s="569"/>
      <c r="BO5" s="575" t="s">
        <v>1</v>
      </c>
      <c r="BP5" s="568"/>
      <c r="BQ5" s="568"/>
      <c r="BR5" s="569"/>
      <c r="BS5" s="575" t="s">
        <v>19</v>
      </c>
      <c r="BT5" s="568"/>
      <c r="BU5" s="568"/>
      <c r="BV5" s="569"/>
      <c r="BW5" s="575" t="s">
        <v>25</v>
      </c>
      <c r="BX5" s="568"/>
      <c r="BY5" s="568"/>
      <c r="BZ5" s="569"/>
      <c r="CA5" s="575" t="s">
        <v>26</v>
      </c>
      <c r="CB5" s="568"/>
      <c r="CC5" s="568"/>
      <c r="CD5" s="569"/>
      <c r="CE5" s="575" t="s">
        <v>27</v>
      </c>
      <c r="CF5" s="568"/>
      <c r="CG5" s="568"/>
      <c r="CH5" s="569"/>
      <c r="CI5" s="575" t="s">
        <v>54</v>
      </c>
      <c r="CJ5" s="568"/>
      <c r="CK5" s="568"/>
      <c r="CL5" s="569"/>
      <c r="CM5" s="575" t="s">
        <v>60</v>
      </c>
      <c r="CN5" s="568"/>
      <c r="CO5" s="568"/>
      <c r="CP5" s="569"/>
      <c r="CQ5" s="575" t="s">
        <v>55</v>
      </c>
      <c r="CR5" s="568"/>
      <c r="CS5" s="568"/>
      <c r="CT5" s="569"/>
    </row>
    <row r="6" spans="2:98" ht="9.75" customHeight="1" x14ac:dyDescent="0.25">
      <c r="C6" s="27"/>
      <c r="E6" s="49"/>
      <c r="F6" s="49"/>
      <c r="H6" s="49"/>
      <c r="I6" s="49"/>
      <c r="O6" s="13"/>
      <c r="P6" s="13"/>
      <c r="Q6" s="13"/>
      <c r="R6" s="13"/>
      <c r="BG6" s="13"/>
      <c r="BH6" s="13"/>
      <c r="BI6" s="13"/>
      <c r="BJ6" s="13"/>
    </row>
    <row r="7" spans="2:98" ht="42" customHeight="1" x14ac:dyDescent="0.25">
      <c r="C7" s="27"/>
      <c r="E7" s="167" t="s">
        <v>198</v>
      </c>
      <c r="F7" s="167" t="s">
        <v>199</v>
      </c>
      <c r="H7" s="167" t="s">
        <v>200</v>
      </c>
      <c r="I7" s="167" t="s">
        <v>201</v>
      </c>
      <c r="K7" s="12" t="s">
        <v>61</v>
      </c>
      <c r="L7" s="12"/>
      <c r="M7" s="12"/>
      <c r="N7" s="12" t="s">
        <v>62</v>
      </c>
      <c r="O7" s="12" t="s">
        <v>65</v>
      </c>
      <c r="P7" s="12" t="s">
        <v>66</v>
      </c>
      <c r="Q7" s="12" t="s">
        <v>67</v>
      </c>
      <c r="R7" s="12" t="s">
        <v>68</v>
      </c>
      <c r="S7" s="4" t="s">
        <v>31</v>
      </c>
      <c r="T7" s="12" t="s">
        <v>32</v>
      </c>
      <c r="U7" s="12" t="s">
        <v>29</v>
      </c>
      <c r="V7" s="12" t="s">
        <v>30</v>
      </c>
      <c r="W7" s="12" t="s">
        <v>31</v>
      </c>
      <c r="X7" s="12" t="s">
        <v>32</v>
      </c>
      <c r="Y7" s="12" t="s">
        <v>29</v>
      </c>
      <c r="Z7" s="12" t="s">
        <v>30</v>
      </c>
      <c r="AA7" s="12" t="s">
        <v>31</v>
      </c>
      <c r="AB7" s="12" t="s">
        <v>32</v>
      </c>
      <c r="AC7" s="12" t="s">
        <v>29</v>
      </c>
      <c r="AD7" s="12" t="s">
        <v>30</v>
      </c>
      <c r="AE7" s="12" t="s">
        <v>31</v>
      </c>
      <c r="AF7" s="12" t="s">
        <v>32</v>
      </c>
      <c r="AG7" s="12" t="s">
        <v>29</v>
      </c>
      <c r="AH7" s="12" t="s">
        <v>30</v>
      </c>
      <c r="AI7" s="12" t="s">
        <v>31</v>
      </c>
      <c r="AJ7" s="12" t="s">
        <v>32</v>
      </c>
      <c r="AK7" s="12" t="s">
        <v>29</v>
      </c>
      <c r="AL7" s="12" t="s">
        <v>30</v>
      </c>
      <c r="AM7" s="12" t="s">
        <v>31</v>
      </c>
      <c r="AN7" s="12" t="s">
        <v>32</v>
      </c>
      <c r="AO7" s="12" t="s">
        <v>29</v>
      </c>
      <c r="AP7" s="12" t="s">
        <v>30</v>
      </c>
      <c r="AQ7" s="12" t="s">
        <v>31</v>
      </c>
      <c r="AR7" s="12" t="s">
        <v>32</v>
      </c>
      <c r="AS7" s="12" t="s">
        <v>29</v>
      </c>
      <c r="AT7" s="12" t="s">
        <v>30</v>
      </c>
      <c r="AU7" s="12" t="s">
        <v>31</v>
      </c>
      <c r="AV7" s="12" t="s">
        <v>32</v>
      </c>
      <c r="AW7" s="12" t="s">
        <v>29</v>
      </c>
      <c r="AX7" s="12" t="s">
        <v>30</v>
      </c>
      <c r="AY7" s="12" t="s">
        <v>31</v>
      </c>
      <c r="AZ7" s="12" t="s">
        <v>32</v>
      </c>
      <c r="BA7" s="12" t="s">
        <v>29</v>
      </c>
      <c r="BB7" s="12" t="s">
        <v>30</v>
      </c>
      <c r="BC7" s="12" t="s">
        <v>61</v>
      </c>
      <c r="BD7" s="12"/>
      <c r="BE7" s="12"/>
      <c r="BF7" s="12" t="s">
        <v>62</v>
      </c>
      <c r="BG7" s="12" t="s">
        <v>65</v>
      </c>
      <c r="BH7" s="12" t="s">
        <v>66</v>
      </c>
      <c r="BI7" s="12" t="s">
        <v>67</v>
      </c>
      <c r="BJ7" s="12" t="s">
        <v>68</v>
      </c>
      <c r="BK7" s="4" t="s">
        <v>31</v>
      </c>
      <c r="BL7" s="12" t="s">
        <v>32</v>
      </c>
      <c r="BM7" s="12" t="s">
        <v>29</v>
      </c>
      <c r="BN7" s="12" t="s">
        <v>30</v>
      </c>
      <c r="BO7" s="12" t="s">
        <v>31</v>
      </c>
      <c r="BP7" s="12" t="s">
        <v>32</v>
      </c>
      <c r="BQ7" s="12" t="s">
        <v>29</v>
      </c>
      <c r="BR7" s="12" t="s">
        <v>30</v>
      </c>
      <c r="BS7" s="12" t="s">
        <v>31</v>
      </c>
      <c r="BT7" s="12" t="s">
        <v>32</v>
      </c>
      <c r="BU7" s="12" t="s">
        <v>29</v>
      </c>
      <c r="BV7" s="12" t="s">
        <v>30</v>
      </c>
      <c r="BW7" s="12" t="s">
        <v>31</v>
      </c>
      <c r="BX7" s="12" t="s">
        <v>32</v>
      </c>
      <c r="BY7" s="12" t="s">
        <v>29</v>
      </c>
      <c r="BZ7" s="12" t="s">
        <v>30</v>
      </c>
      <c r="CA7" s="12" t="s">
        <v>31</v>
      </c>
      <c r="CB7" s="12" t="s">
        <v>32</v>
      </c>
      <c r="CC7" s="12" t="s">
        <v>29</v>
      </c>
      <c r="CD7" s="12" t="s">
        <v>30</v>
      </c>
      <c r="CE7" s="12" t="s">
        <v>31</v>
      </c>
      <c r="CF7" s="12" t="s">
        <v>32</v>
      </c>
      <c r="CG7" s="12" t="s">
        <v>29</v>
      </c>
      <c r="CH7" s="12" t="s">
        <v>30</v>
      </c>
      <c r="CI7" s="12" t="s">
        <v>31</v>
      </c>
      <c r="CJ7" s="12" t="s">
        <v>32</v>
      </c>
      <c r="CK7" s="12" t="s">
        <v>29</v>
      </c>
      <c r="CL7" s="12" t="s">
        <v>30</v>
      </c>
      <c r="CM7" s="12" t="s">
        <v>31</v>
      </c>
      <c r="CN7" s="12" t="s">
        <v>32</v>
      </c>
      <c r="CO7" s="12" t="s">
        <v>29</v>
      </c>
      <c r="CP7" s="12" t="s">
        <v>30</v>
      </c>
      <c r="CQ7" s="12" t="s">
        <v>31</v>
      </c>
      <c r="CR7" s="12" t="s">
        <v>32</v>
      </c>
      <c r="CS7" s="12" t="s">
        <v>29</v>
      </c>
      <c r="CT7" s="12" t="s">
        <v>30</v>
      </c>
    </row>
    <row r="8" spans="2:98" ht="15" customHeight="1" x14ac:dyDescent="0.25">
      <c r="C8" s="26"/>
      <c r="E8" s="49"/>
      <c r="F8" s="49"/>
      <c r="H8" s="49"/>
      <c r="I8" s="5"/>
      <c r="N8" s="19" t="s">
        <v>94</v>
      </c>
      <c r="O8" s="13"/>
      <c r="P8" s="13"/>
      <c r="Q8" s="13"/>
      <c r="R8" s="13"/>
    </row>
    <row r="9" spans="2:98" ht="28.5" hidden="1" customHeight="1" x14ac:dyDescent="0.25">
      <c r="C9" s="713" t="s">
        <v>33</v>
      </c>
      <c r="E9" s="49"/>
      <c r="F9" s="49"/>
      <c r="H9" s="49"/>
      <c r="I9" s="5"/>
      <c r="K9" s="630" t="s">
        <v>95</v>
      </c>
      <c r="L9" s="582"/>
      <c r="M9" s="582"/>
      <c r="N9" s="572"/>
      <c r="O9" s="13"/>
      <c r="P9" s="631" t="s">
        <v>96</v>
      </c>
      <c r="Q9" s="572"/>
      <c r="R9" s="13"/>
      <c r="S9" s="53" t="s">
        <v>97</v>
      </c>
      <c r="T9" s="53" t="s">
        <v>96</v>
      </c>
    </row>
    <row r="10" spans="2:98" ht="25.5" hidden="1" customHeight="1" x14ac:dyDescent="0.25">
      <c r="C10" s="714"/>
      <c r="E10" s="5"/>
      <c r="F10" s="5"/>
      <c r="G10" s="5"/>
      <c r="H10" s="5"/>
      <c r="I10" s="5"/>
      <c r="J10" s="5"/>
      <c r="K10" s="5"/>
      <c r="L10" s="5"/>
      <c r="M10" s="5"/>
      <c r="N10" s="5"/>
      <c r="O10" s="13"/>
      <c r="P10" s="13"/>
      <c r="Q10" s="13"/>
      <c r="R10" s="49"/>
      <c r="S10" s="5"/>
      <c r="T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2:98" ht="42" hidden="1" customHeight="1" x14ac:dyDescent="0.25">
      <c r="C11" s="678"/>
      <c r="E11" s="5"/>
      <c r="F11" s="5"/>
      <c r="G11" s="5"/>
      <c r="H11" s="5"/>
      <c r="I11" s="5"/>
      <c r="J11" s="5"/>
      <c r="K11" s="167" t="s">
        <v>98</v>
      </c>
      <c r="L11" s="49"/>
      <c r="M11" s="49"/>
      <c r="N11" s="5"/>
      <c r="O11" s="49"/>
      <c r="P11" s="712" t="s">
        <v>99</v>
      </c>
      <c r="Q11" s="572"/>
      <c r="R11" s="49"/>
      <c r="S11" s="167" t="s">
        <v>100</v>
      </c>
      <c r="T11" s="167" t="s">
        <v>101</v>
      </c>
    </row>
    <row r="12" spans="2:98" ht="70.5" customHeight="1" x14ac:dyDescent="0.25">
      <c r="B12" s="722" t="s">
        <v>148</v>
      </c>
      <c r="C12" s="169" t="s">
        <v>149</v>
      </c>
      <c r="E12" s="65"/>
      <c r="F12" s="65"/>
      <c r="G12" s="65"/>
      <c r="H12" s="65"/>
      <c r="I12" s="65"/>
      <c r="J12" s="65"/>
      <c r="K12" s="66"/>
      <c r="L12" s="66"/>
      <c r="M12" s="66"/>
      <c r="N12" s="65"/>
      <c r="O12" s="66"/>
      <c r="P12" s="66"/>
      <c r="Q12" s="66"/>
      <c r="R12" s="66"/>
      <c r="S12" s="66"/>
      <c r="T12" s="66"/>
      <c r="U12" s="67"/>
      <c r="V12" s="67"/>
      <c r="W12" s="67"/>
      <c r="X12" s="67"/>
      <c r="Y12" s="67"/>
      <c r="Z12" s="67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170" t="s">
        <v>202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</row>
    <row r="13" spans="2:98" ht="16.5" customHeight="1" x14ac:dyDescent="0.25">
      <c r="B13" s="709"/>
      <c r="C13" s="27"/>
      <c r="E13" s="65"/>
      <c r="F13" s="65"/>
      <c r="G13" s="65"/>
      <c r="H13" s="65"/>
      <c r="I13" s="65"/>
      <c r="J13" s="65"/>
      <c r="K13" s="66"/>
      <c r="L13" s="66"/>
      <c r="M13" s="66"/>
      <c r="N13" s="65"/>
      <c r="O13" s="66"/>
      <c r="P13" s="66"/>
      <c r="Q13" s="66"/>
      <c r="R13" s="66"/>
      <c r="S13" s="66"/>
      <c r="T13" s="66"/>
      <c r="U13" s="67"/>
      <c r="V13" s="67"/>
      <c r="W13" s="67"/>
      <c r="X13" s="67"/>
      <c r="Y13" s="67"/>
      <c r="Z13" s="67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</row>
    <row r="14" spans="2:98" ht="30" customHeight="1" x14ac:dyDescent="0.25">
      <c r="B14" s="709"/>
      <c r="C14" s="724" t="s">
        <v>152</v>
      </c>
      <c r="E14" s="65"/>
      <c r="F14" s="65"/>
      <c r="G14" s="65"/>
      <c r="H14" s="65"/>
      <c r="I14" s="65"/>
      <c r="J14" s="65"/>
      <c r="K14" s="66"/>
      <c r="L14" s="66"/>
      <c r="M14" s="66"/>
      <c r="N14" s="65"/>
      <c r="O14" s="66"/>
      <c r="P14" s="66"/>
      <c r="Q14" s="66"/>
      <c r="R14" s="66"/>
      <c r="S14" s="66"/>
      <c r="T14" s="66"/>
      <c r="U14" s="67"/>
      <c r="V14" s="67"/>
      <c r="W14" s="67"/>
      <c r="X14" s="67"/>
      <c r="Y14" s="67"/>
      <c r="Z14" s="67"/>
      <c r="AA14" s="35"/>
      <c r="AB14" s="35"/>
      <c r="AC14" s="133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</row>
    <row r="15" spans="2:98" ht="64.5" customHeight="1" x14ac:dyDescent="0.25">
      <c r="B15" s="709"/>
      <c r="C15" s="593"/>
      <c r="E15" s="65"/>
      <c r="F15" s="65"/>
      <c r="G15" s="65"/>
      <c r="H15" s="65"/>
      <c r="I15" s="65"/>
      <c r="J15" s="65"/>
      <c r="K15" s="66"/>
      <c r="L15" s="66"/>
      <c r="M15" s="66"/>
      <c r="N15" s="65"/>
      <c r="O15" s="66"/>
      <c r="P15" s="66"/>
      <c r="Q15" s="66"/>
      <c r="R15" s="66"/>
      <c r="S15" s="66"/>
      <c r="T15" s="66"/>
      <c r="U15" s="67"/>
      <c r="V15" s="67"/>
      <c r="W15" s="67"/>
      <c r="X15" s="67"/>
      <c r="Y15" s="67"/>
      <c r="Z15" s="67"/>
      <c r="AA15" s="35"/>
      <c r="AB15" s="85" t="s">
        <v>150</v>
      </c>
      <c r="AC15" s="134" t="s">
        <v>151</v>
      </c>
      <c r="AD15" s="35"/>
      <c r="AE15" s="35"/>
      <c r="AF15" s="134" t="s">
        <v>203</v>
      </c>
      <c r="AG15" s="35"/>
      <c r="AH15" s="134" t="s">
        <v>204</v>
      </c>
      <c r="AI15" s="134" t="s">
        <v>205</v>
      </c>
      <c r="AJ15" s="35"/>
      <c r="AK15" s="35"/>
      <c r="AL15" s="134" t="s">
        <v>206</v>
      </c>
      <c r="AM15" s="35"/>
      <c r="AN15" s="134" t="s">
        <v>207</v>
      </c>
      <c r="AO15" s="134" t="s">
        <v>208</v>
      </c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</row>
    <row r="16" spans="2:98" ht="9.75" customHeight="1" x14ac:dyDescent="0.25">
      <c r="B16" s="709"/>
      <c r="C16" s="26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66"/>
      <c r="Q16" s="66"/>
      <c r="R16" s="66"/>
      <c r="S16" s="67"/>
      <c r="T16" s="67"/>
      <c r="U16" s="67"/>
      <c r="V16" s="67"/>
      <c r="W16" s="67"/>
      <c r="X16" s="67"/>
      <c r="Y16" s="67"/>
      <c r="Z16" s="67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</row>
    <row r="17" spans="2:72" ht="34.5" customHeight="1" x14ac:dyDescent="0.25">
      <c r="B17" s="709"/>
      <c r="C17" s="725" t="s">
        <v>209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171" t="s">
        <v>210</v>
      </c>
      <c r="P17" s="66"/>
      <c r="Q17" s="66"/>
      <c r="R17" s="66"/>
      <c r="S17" s="67"/>
      <c r="T17" s="67"/>
      <c r="U17" s="67"/>
      <c r="V17" s="67"/>
      <c r="W17" s="67"/>
      <c r="X17" s="67"/>
      <c r="Y17" s="67"/>
      <c r="Z17" s="67"/>
      <c r="AA17" s="688" t="s">
        <v>211</v>
      </c>
      <c r="AB17" s="572"/>
      <c r="AC17" s="688" t="s">
        <v>212</v>
      </c>
      <c r="AD17" s="572"/>
      <c r="AE17" s="689" t="s">
        <v>38</v>
      </c>
      <c r="AF17" s="580"/>
      <c r="AG17" s="689" t="s">
        <v>38</v>
      </c>
      <c r="AH17" s="580"/>
      <c r="AI17" s="172" t="s">
        <v>38</v>
      </c>
      <c r="AJ17" s="172" t="s">
        <v>213</v>
      </c>
      <c r="AK17" s="172" t="s">
        <v>213</v>
      </c>
      <c r="AL17" s="692"/>
      <c r="AM17" s="610"/>
      <c r="AP17" s="35"/>
      <c r="AQ17" s="35"/>
      <c r="AR17" s="35"/>
      <c r="AS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</row>
    <row r="18" spans="2:72" ht="91.5" customHeight="1" x14ac:dyDescent="0.25">
      <c r="B18" s="709"/>
      <c r="C18" s="624"/>
      <c r="E18" s="65"/>
      <c r="F18" s="65"/>
      <c r="G18" s="67"/>
      <c r="H18" s="65"/>
      <c r="I18" s="65"/>
      <c r="J18" s="67"/>
      <c r="K18" s="67"/>
      <c r="L18" s="67"/>
      <c r="M18" s="67"/>
      <c r="N18" s="67"/>
      <c r="O18" s="66"/>
      <c r="P18" s="66"/>
      <c r="Q18" s="66"/>
      <c r="R18" s="66"/>
      <c r="S18" s="67"/>
      <c r="T18" s="67"/>
      <c r="U18" s="67"/>
      <c r="V18" s="67"/>
      <c r="W18" s="67"/>
      <c r="X18" s="67"/>
      <c r="Y18" s="67"/>
      <c r="Z18" s="67"/>
      <c r="AA18" s="694" t="s">
        <v>153</v>
      </c>
      <c r="AB18" s="572"/>
      <c r="AC18" s="694" t="s">
        <v>154</v>
      </c>
      <c r="AD18" s="572"/>
      <c r="AE18" s="693" t="s">
        <v>43</v>
      </c>
      <c r="AF18" s="571"/>
      <c r="AG18" s="694" t="s">
        <v>44</v>
      </c>
      <c r="AH18" s="572"/>
      <c r="AI18" s="173" t="s">
        <v>214</v>
      </c>
      <c r="AJ18" s="174" t="s">
        <v>215</v>
      </c>
      <c r="AK18" s="174" t="s">
        <v>216</v>
      </c>
      <c r="AL18" s="695"/>
      <c r="AM18" s="610"/>
      <c r="AS18" s="696" t="s">
        <v>217</v>
      </c>
      <c r="AT18" s="574"/>
      <c r="AU18" s="574"/>
      <c r="AV18" s="573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</row>
    <row r="19" spans="2:72" ht="99.75" customHeight="1" x14ac:dyDescent="0.25">
      <c r="B19" s="709"/>
      <c r="C19" s="624"/>
      <c r="E19" s="65"/>
      <c r="F19" s="65"/>
      <c r="G19" s="65"/>
      <c r="H19" s="65"/>
      <c r="I19" s="65"/>
      <c r="J19" s="65"/>
      <c r="K19" s="175" t="s">
        <v>218</v>
      </c>
      <c r="L19" s="175"/>
      <c r="M19" s="175"/>
      <c r="N19" s="176" t="s">
        <v>219</v>
      </c>
      <c r="O19" s="175" t="s">
        <v>220</v>
      </c>
      <c r="P19" s="727" t="s">
        <v>221</v>
      </c>
      <c r="Q19" s="568"/>
      <c r="R19" s="569"/>
      <c r="S19" s="67"/>
      <c r="T19" s="67"/>
      <c r="U19" s="67"/>
      <c r="V19" s="67"/>
      <c r="W19" s="67"/>
      <c r="X19" s="67"/>
      <c r="Y19" s="67"/>
      <c r="Z19" s="67"/>
      <c r="AA19" s="177"/>
      <c r="AB19" s="178" t="s">
        <v>222</v>
      </c>
      <c r="AC19" s="35"/>
      <c r="AD19" s="179" t="s">
        <v>223</v>
      </c>
      <c r="AE19" s="178" t="s">
        <v>224</v>
      </c>
      <c r="AF19" s="178" t="s">
        <v>225</v>
      </c>
      <c r="AG19" s="180"/>
      <c r="AH19" s="178" t="s">
        <v>226</v>
      </c>
      <c r="AI19" s="178" t="s">
        <v>227</v>
      </c>
      <c r="AJ19" s="178" t="s">
        <v>228</v>
      </c>
      <c r="AK19" s="178" t="s">
        <v>229</v>
      </c>
      <c r="AL19" s="697"/>
      <c r="AM19" s="610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</row>
    <row r="20" spans="2:72" ht="60" hidden="1" customHeight="1" x14ac:dyDescent="0.25">
      <c r="B20" s="709"/>
      <c r="C20" s="726"/>
      <c r="E20" s="65"/>
      <c r="F20" s="65"/>
      <c r="G20" s="65"/>
      <c r="H20" s="65"/>
      <c r="I20" s="65"/>
      <c r="J20" s="65"/>
      <c r="K20" s="181"/>
      <c r="L20" s="65"/>
      <c r="M20" s="65"/>
      <c r="N20" s="182" t="s">
        <v>230</v>
      </c>
      <c r="O20" s="66"/>
      <c r="P20" s="66"/>
      <c r="Q20" s="66"/>
      <c r="R20" s="66"/>
      <c r="S20" s="67"/>
      <c r="T20" s="67"/>
      <c r="U20" s="67"/>
      <c r="V20" s="67"/>
      <c r="W20" s="67"/>
      <c r="X20" s="67"/>
      <c r="Y20" s="67"/>
      <c r="Z20" s="67"/>
      <c r="AA20" s="690" t="s">
        <v>231</v>
      </c>
      <c r="AB20" s="572"/>
      <c r="AC20" s="690" t="s">
        <v>232</v>
      </c>
      <c r="AD20" s="572"/>
      <c r="AE20" s="690" t="s">
        <v>233</v>
      </c>
      <c r="AF20" s="572"/>
      <c r="AG20" s="690" t="s">
        <v>234</v>
      </c>
      <c r="AH20" s="572"/>
      <c r="AI20" s="183" t="s">
        <v>235</v>
      </c>
      <c r="AJ20" s="183" t="s">
        <v>236</v>
      </c>
      <c r="AK20" s="183" t="s">
        <v>237</v>
      </c>
      <c r="AL20" s="701" t="s">
        <v>238</v>
      </c>
      <c r="AM20" s="573"/>
      <c r="AP20" s="35"/>
      <c r="AQ20" s="35"/>
      <c r="AR20" s="35"/>
      <c r="AS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</row>
    <row r="21" spans="2:72" ht="60" customHeight="1" x14ac:dyDescent="0.25">
      <c r="B21" s="709"/>
      <c r="C21" s="184"/>
      <c r="E21" s="65"/>
      <c r="F21" s="65"/>
      <c r="G21" s="65"/>
      <c r="H21" s="65"/>
      <c r="I21" s="65"/>
      <c r="J21" s="65"/>
      <c r="K21" s="65"/>
      <c r="L21" s="65"/>
      <c r="M21" s="65"/>
      <c r="N21" s="66"/>
      <c r="O21" s="66"/>
      <c r="P21" s="66"/>
      <c r="Q21" s="66"/>
      <c r="R21" s="66"/>
      <c r="S21" s="67"/>
      <c r="T21" s="67"/>
      <c r="U21" s="67"/>
      <c r="V21" s="67"/>
      <c r="W21" s="67"/>
      <c r="X21" s="67"/>
      <c r="Y21" s="67"/>
      <c r="Z21" s="67"/>
      <c r="AA21" s="185"/>
      <c r="AB21" s="185"/>
      <c r="AC21" s="185"/>
      <c r="AD21" s="185"/>
      <c r="AE21" s="702" t="s">
        <v>239</v>
      </c>
      <c r="AF21" s="572"/>
      <c r="AG21" s="702" t="s">
        <v>240</v>
      </c>
      <c r="AH21" s="572"/>
      <c r="AI21" s="186" t="s">
        <v>241</v>
      </c>
      <c r="AJ21" s="148"/>
      <c r="AK21" s="148"/>
      <c r="AL21" s="185"/>
      <c r="AM21" s="18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</row>
    <row r="22" spans="2:72" ht="9.75" customHeight="1" x14ac:dyDescent="0.25">
      <c r="B22" s="709"/>
      <c r="C22" s="99"/>
      <c r="E22" s="66"/>
      <c r="F22" s="66"/>
      <c r="G22" s="67"/>
      <c r="H22" s="66"/>
      <c r="I22" s="65"/>
      <c r="J22" s="67"/>
      <c r="K22" s="65"/>
      <c r="L22" s="65"/>
      <c r="M22" s="65"/>
      <c r="N22" s="65"/>
      <c r="O22" s="66"/>
      <c r="P22" s="66"/>
      <c r="Q22" s="66"/>
      <c r="R22" s="66"/>
      <c r="S22" s="66"/>
      <c r="T22" s="66"/>
      <c r="U22" s="67"/>
      <c r="V22" s="67"/>
      <c r="W22" s="67"/>
      <c r="X22" s="66"/>
      <c r="Y22" s="67"/>
      <c r="Z22" s="67"/>
      <c r="AA22" s="82"/>
      <c r="AB22" s="35"/>
      <c r="AC22" s="82"/>
      <c r="AD22" s="35"/>
      <c r="AE22" s="82"/>
      <c r="AF22" s="35"/>
      <c r="AG22" s="82"/>
      <c r="AH22" s="82"/>
      <c r="AI22" s="82"/>
      <c r="AJ22" s="35"/>
      <c r="AK22" s="35"/>
      <c r="AL22" s="35"/>
      <c r="AM22" s="82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</row>
    <row r="23" spans="2:72" ht="30" customHeight="1" x14ac:dyDescent="0.25">
      <c r="B23" s="709"/>
      <c r="C23" s="725" t="s">
        <v>242</v>
      </c>
      <c r="E23" s="66"/>
      <c r="F23" s="66"/>
      <c r="G23" s="67"/>
      <c r="H23" s="66"/>
      <c r="I23" s="65"/>
      <c r="J23" s="67"/>
      <c r="K23" s="65"/>
      <c r="L23" s="65"/>
      <c r="M23" s="65"/>
      <c r="N23" s="65"/>
      <c r="O23" s="66"/>
      <c r="P23" s="66"/>
      <c r="Q23" s="66"/>
      <c r="R23" s="66"/>
      <c r="S23" s="66"/>
      <c r="T23" s="66"/>
      <c r="U23" s="67"/>
      <c r="V23" s="67"/>
      <c r="W23" s="67"/>
      <c r="X23" s="66"/>
      <c r="Y23" s="67"/>
      <c r="Z23" s="67"/>
      <c r="AA23" s="82"/>
      <c r="AB23" s="35"/>
      <c r="AC23" s="82"/>
      <c r="AD23" s="35"/>
      <c r="AE23" s="82"/>
      <c r="AF23" s="35"/>
      <c r="AG23" s="82"/>
      <c r="AH23" s="82"/>
      <c r="AI23" s="82"/>
      <c r="AJ23" s="35"/>
      <c r="AK23" s="35"/>
      <c r="AL23" s="187" t="s">
        <v>243</v>
      </c>
      <c r="AM23" s="187" t="s">
        <v>243</v>
      </c>
      <c r="AN23" s="187" t="s">
        <v>244</v>
      </c>
      <c r="AO23" s="188" t="s">
        <v>244</v>
      </c>
      <c r="AR23" s="35"/>
      <c r="AS23" s="698" t="s">
        <v>245</v>
      </c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</row>
    <row r="24" spans="2:72" ht="54" customHeight="1" x14ac:dyDescent="0.25">
      <c r="B24" s="709"/>
      <c r="C24" s="624"/>
      <c r="E24" s="66"/>
      <c r="F24" s="66"/>
      <c r="G24" s="67"/>
      <c r="H24" s="66"/>
      <c r="I24" s="65"/>
      <c r="J24" s="67"/>
      <c r="K24" s="65"/>
      <c r="L24" s="65"/>
      <c r="M24" s="65"/>
      <c r="N24" s="65"/>
      <c r="O24" s="66"/>
      <c r="P24" s="66"/>
      <c r="Q24" s="66"/>
      <c r="R24" s="66"/>
      <c r="S24" s="66"/>
      <c r="T24" s="66"/>
      <c r="U24" s="67"/>
      <c r="V24" s="67"/>
      <c r="W24" s="67"/>
      <c r="X24" s="66"/>
      <c r="Y24" s="67"/>
      <c r="Z24" s="67"/>
      <c r="AA24" s="82"/>
      <c r="AB24" s="35"/>
      <c r="AC24" s="82"/>
      <c r="AD24" s="35"/>
      <c r="AE24" s="82"/>
      <c r="AF24" s="35"/>
      <c r="AG24" s="82"/>
      <c r="AH24" s="82"/>
      <c r="AI24" s="82"/>
      <c r="AJ24" s="35"/>
      <c r="AK24" s="68"/>
      <c r="AL24" s="189" t="s">
        <v>246</v>
      </c>
      <c r="AM24" s="189" t="s">
        <v>247</v>
      </c>
      <c r="AN24" s="189" t="s">
        <v>248</v>
      </c>
      <c r="AO24" s="190" t="s">
        <v>249</v>
      </c>
      <c r="AP24" s="173" t="s">
        <v>250</v>
      </c>
      <c r="AR24" s="191"/>
      <c r="AS24" s="624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</row>
    <row r="25" spans="2:72" ht="57.75" customHeight="1" x14ac:dyDescent="0.25">
      <c r="B25" s="709"/>
      <c r="C25" s="593"/>
      <c r="E25" s="66"/>
      <c r="F25" s="66"/>
      <c r="G25" s="67"/>
      <c r="H25" s="66"/>
      <c r="I25" s="65"/>
      <c r="J25" s="67"/>
      <c r="K25" s="65"/>
      <c r="L25" s="65"/>
      <c r="M25" s="65"/>
      <c r="N25" s="65"/>
      <c r="O25" s="66"/>
      <c r="P25" s="66"/>
      <c r="Q25" s="66"/>
      <c r="R25" s="66"/>
      <c r="S25" s="66"/>
      <c r="T25" s="66"/>
      <c r="U25" s="67"/>
      <c r="V25" s="67"/>
      <c r="W25" s="67"/>
      <c r="X25" s="66"/>
      <c r="Y25" s="67"/>
      <c r="Z25" s="67"/>
      <c r="AA25" s="82"/>
      <c r="AB25" s="35"/>
      <c r="AC25" s="82"/>
      <c r="AD25" s="35"/>
      <c r="AE25" s="82"/>
      <c r="AF25" s="35"/>
      <c r="AG25" s="192"/>
      <c r="AH25" s="82"/>
      <c r="AI25" s="82"/>
      <c r="AJ25" s="35"/>
      <c r="AK25" s="35"/>
      <c r="AL25" s="178" t="s">
        <v>251</v>
      </c>
      <c r="AM25" s="699" t="s">
        <v>252</v>
      </c>
      <c r="AN25" s="617"/>
      <c r="AO25" s="617"/>
      <c r="AP25" s="618"/>
      <c r="AR25" s="35"/>
      <c r="AS25" s="593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</row>
    <row r="26" spans="2:72" ht="19.5" customHeight="1" x14ac:dyDescent="0.25">
      <c r="B26" s="709"/>
      <c r="C26" s="159"/>
      <c r="E26" s="66"/>
      <c r="F26" s="66"/>
      <c r="G26" s="67"/>
      <c r="H26" s="66"/>
      <c r="I26" s="65"/>
      <c r="J26" s="67"/>
      <c r="K26" s="67"/>
      <c r="L26" s="67"/>
      <c r="M26" s="67"/>
      <c r="N26" s="67"/>
      <c r="O26" s="66"/>
      <c r="P26" s="66"/>
      <c r="Q26" s="66"/>
      <c r="R26" s="66"/>
      <c r="S26" s="67"/>
      <c r="T26" s="67"/>
      <c r="U26" s="67"/>
      <c r="V26" s="67"/>
      <c r="W26" s="67"/>
      <c r="X26" s="67"/>
      <c r="Y26" s="67"/>
      <c r="Z26" s="67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</row>
    <row r="27" spans="2:72" ht="34.5" customHeight="1" x14ac:dyDescent="0.25">
      <c r="B27" s="709"/>
      <c r="C27" s="723" t="s">
        <v>46</v>
      </c>
      <c r="E27" s="66"/>
      <c r="F27" s="66"/>
      <c r="G27" s="67"/>
      <c r="H27" s="66"/>
      <c r="I27" s="65"/>
      <c r="J27" s="67"/>
      <c r="K27" s="67"/>
      <c r="L27" s="67"/>
      <c r="M27" s="67"/>
      <c r="N27" s="67"/>
      <c r="O27" s="66"/>
      <c r="P27" s="66"/>
      <c r="Q27" s="66"/>
      <c r="R27" s="66"/>
      <c r="S27" s="67"/>
      <c r="T27" s="67"/>
      <c r="U27" s="67"/>
      <c r="V27" s="67"/>
      <c r="W27" s="193" t="s">
        <v>253</v>
      </c>
      <c r="X27" s="67"/>
      <c r="Y27" s="731" t="s">
        <v>253</v>
      </c>
      <c r="Z27" s="732"/>
      <c r="AA27" s="35"/>
      <c r="AB27" s="674"/>
      <c r="AC27" s="610"/>
      <c r="AD27" s="187" t="s">
        <v>50</v>
      </c>
      <c r="AE27" s="703" t="s">
        <v>88</v>
      </c>
      <c r="AF27" s="572"/>
      <c r="AG27" s="704" t="s">
        <v>50</v>
      </c>
      <c r="AH27" s="573"/>
      <c r="AI27" s="107"/>
      <c r="AJ27" s="107"/>
      <c r="AK27" s="35"/>
      <c r="AL27" s="133" t="s">
        <v>253</v>
      </c>
      <c r="AM27" s="35"/>
      <c r="AN27" s="35"/>
      <c r="AO27" s="35"/>
      <c r="AP27" s="35"/>
      <c r="AR27" s="700" t="s">
        <v>254</v>
      </c>
      <c r="AS27" s="573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</row>
    <row r="28" spans="2:72" ht="65.25" customHeight="1" x14ac:dyDescent="0.25">
      <c r="B28" s="709"/>
      <c r="C28" s="709"/>
      <c r="E28" s="66"/>
      <c r="F28" s="66"/>
      <c r="G28" s="67"/>
      <c r="H28" s="66"/>
      <c r="I28" s="65"/>
      <c r="J28" s="67"/>
      <c r="K28" s="67"/>
      <c r="L28" s="67"/>
      <c r="M28" s="67"/>
      <c r="N28" s="67"/>
      <c r="O28" s="66"/>
      <c r="P28" s="66"/>
      <c r="Q28" s="66"/>
      <c r="R28" s="66"/>
      <c r="S28" s="67"/>
      <c r="T28" s="67"/>
      <c r="U28" s="67"/>
      <c r="V28" s="67"/>
      <c r="W28" s="91" t="s">
        <v>117</v>
      </c>
      <c r="X28" s="67"/>
      <c r="Y28" s="635" t="s">
        <v>118</v>
      </c>
      <c r="Z28" s="728"/>
      <c r="AA28" s="35"/>
      <c r="AB28" s="634"/>
      <c r="AC28" s="610"/>
      <c r="AD28" s="194" t="s">
        <v>156</v>
      </c>
      <c r="AE28" s="705" t="s">
        <v>255</v>
      </c>
      <c r="AF28" s="572"/>
      <c r="AG28" s="706" t="s">
        <v>256</v>
      </c>
      <c r="AH28" s="595"/>
      <c r="AI28" s="107"/>
      <c r="AJ28" s="107"/>
      <c r="AK28" s="35"/>
      <c r="AL28" s="195" t="s">
        <v>257</v>
      </c>
      <c r="AM28" s="35"/>
      <c r="AN28" s="35"/>
      <c r="AO28" s="35"/>
      <c r="AP28" s="35"/>
      <c r="AR28" s="720" t="s">
        <v>258</v>
      </c>
      <c r="AS28" s="721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</row>
    <row r="29" spans="2:72" ht="48" customHeight="1" x14ac:dyDescent="0.25">
      <c r="B29" s="709"/>
      <c r="C29" s="608"/>
      <c r="E29" s="66"/>
      <c r="F29" s="66"/>
      <c r="G29" s="67"/>
      <c r="H29" s="66"/>
      <c r="I29" s="65"/>
      <c r="J29" s="67"/>
      <c r="K29" s="67"/>
      <c r="L29" s="67"/>
      <c r="M29" s="67"/>
      <c r="N29" s="67"/>
      <c r="O29" s="66"/>
      <c r="P29" s="66"/>
      <c r="Q29" s="66"/>
      <c r="R29" s="66"/>
      <c r="S29" s="67"/>
      <c r="T29" s="67"/>
      <c r="U29" s="67"/>
      <c r="V29" s="67"/>
      <c r="W29" s="66"/>
      <c r="X29" s="67"/>
      <c r="Y29" s="66"/>
      <c r="Z29" s="66"/>
      <c r="AA29" s="35"/>
      <c r="AB29" s="82"/>
      <c r="AC29" s="82"/>
      <c r="AD29" s="196" t="s">
        <v>259</v>
      </c>
      <c r="AE29" s="82"/>
      <c r="AF29" s="196" t="s">
        <v>260</v>
      </c>
      <c r="AG29" s="82"/>
      <c r="AH29" s="197" t="s">
        <v>261</v>
      </c>
      <c r="AI29" s="107"/>
      <c r="AJ29" s="107"/>
      <c r="AK29" s="35"/>
      <c r="AL29" s="198"/>
      <c r="AM29" s="35"/>
      <c r="AN29" s="35"/>
      <c r="AO29" s="35"/>
      <c r="AP29" s="35"/>
      <c r="AR29" s="691" t="s">
        <v>262</v>
      </c>
      <c r="AS29" s="603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</row>
    <row r="30" spans="2:72" ht="19.5" customHeight="1" x14ac:dyDescent="0.25">
      <c r="B30" s="709"/>
      <c r="C30" s="159"/>
      <c r="E30" s="66"/>
      <c r="F30" s="66"/>
      <c r="G30" s="67"/>
      <c r="H30" s="66"/>
      <c r="I30" s="65"/>
      <c r="J30" s="67"/>
      <c r="K30" s="67"/>
      <c r="L30" s="67"/>
      <c r="M30" s="67"/>
      <c r="N30" s="67"/>
      <c r="O30" s="66"/>
      <c r="P30" s="66"/>
      <c r="Q30" s="66"/>
      <c r="R30" s="66"/>
      <c r="S30" s="67"/>
      <c r="T30" s="67"/>
      <c r="U30" s="67"/>
      <c r="V30" s="67"/>
      <c r="W30" s="67"/>
      <c r="X30" s="67"/>
      <c r="Y30" s="67"/>
      <c r="Z30" s="67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</row>
    <row r="31" spans="2:72" ht="34.5" customHeight="1" x14ac:dyDescent="0.25">
      <c r="B31" s="709"/>
      <c r="C31" s="729" t="s">
        <v>47</v>
      </c>
      <c r="E31" s="66"/>
      <c r="F31" s="66"/>
      <c r="G31" s="67"/>
      <c r="H31" s="66"/>
      <c r="I31" s="65"/>
      <c r="J31" s="67"/>
      <c r="K31" s="67"/>
      <c r="L31" s="67"/>
      <c r="M31" s="67"/>
      <c r="N31" s="67"/>
      <c r="O31" s="66"/>
      <c r="P31" s="66"/>
      <c r="Q31" s="66"/>
      <c r="R31" s="66"/>
      <c r="S31" s="67"/>
      <c r="T31" s="67"/>
      <c r="U31" s="67"/>
      <c r="V31" s="67"/>
      <c r="W31" s="193" t="s">
        <v>263</v>
      </c>
      <c r="X31" s="67"/>
      <c r="Y31" s="67"/>
      <c r="Z31" s="193" t="s">
        <v>253</v>
      </c>
      <c r="AA31" s="35"/>
      <c r="AB31" s="35"/>
      <c r="AC31" s="199" t="s">
        <v>253</v>
      </c>
      <c r="AD31" s="35"/>
      <c r="AE31" s="200" t="s">
        <v>253</v>
      </c>
      <c r="AF31" s="35"/>
      <c r="AG31" s="200" t="s">
        <v>253</v>
      </c>
      <c r="AH31" s="35"/>
      <c r="AI31" s="35"/>
      <c r="AJ31" s="35"/>
      <c r="AK31" s="200" t="s">
        <v>264</v>
      </c>
      <c r="AL31" s="35"/>
      <c r="AM31" s="80"/>
      <c r="AN31" s="35"/>
      <c r="AO31" s="35"/>
      <c r="AP31" s="35"/>
      <c r="AQ31" s="200" t="s">
        <v>264</v>
      </c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</row>
    <row r="32" spans="2:72" ht="63" customHeight="1" x14ac:dyDescent="0.25">
      <c r="B32" s="709"/>
      <c r="C32" s="593"/>
      <c r="E32" s="66"/>
      <c r="F32" s="66"/>
      <c r="G32" s="67"/>
      <c r="H32" s="66"/>
      <c r="I32" s="65"/>
      <c r="J32" s="67"/>
      <c r="K32" s="67"/>
      <c r="L32" s="67"/>
      <c r="M32" s="67"/>
      <c r="N32" s="67"/>
      <c r="O32" s="66"/>
      <c r="P32" s="66"/>
      <c r="Q32" s="66"/>
      <c r="R32" s="66"/>
      <c r="S32" s="67"/>
      <c r="T32" s="67"/>
      <c r="U32" s="67"/>
      <c r="V32" s="67"/>
      <c r="W32" s="136" t="s">
        <v>157</v>
      </c>
      <c r="X32" s="67"/>
      <c r="Y32" s="67"/>
      <c r="Z32" s="136" t="s">
        <v>158</v>
      </c>
      <c r="AA32" s="35"/>
      <c r="AB32" s="35"/>
      <c r="AC32" s="201" t="s">
        <v>159</v>
      </c>
      <c r="AD32" s="35"/>
      <c r="AE32" s="202" t="s">
        <v>265</v>
      </c>
      <c r="AF32" s="35"/>
      <c r="AG32" s="203" t="s">
        <v>266</v>
      </c>
      <c r="AH32" s="35"/>
      <c r="AI32" s="35"/>
      <c r="AJ32" s="35"/>
      <c r="AK32" s="204" t="s">
        <v>267</v>
      </c>
      <c r="AL32" s="35"/>
      <c r="AM32" s="68"/>
      <c r="AN32" s="35"/>
      <c r="AO32" s="35"/>
      <c r="AP32" s="35"/>
      <c r="AQ32" s="204" t="s">
        <v>268</v>
      </c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</row>
    <row r="33" spans="2:72" ht="19.5" customHeight="1" x14ac:dyDescent="0.25">
      <c r="B33" s="709"/>
      <c r="C33" s="159"/>
      <c r="E33" s="66"/>
      <c r="F33" s="66"/>
      <c r="G33" s="67"/>
      <c r="H33" s="66"/>
      <c r="I33" s="65"/>
      <c r="J33" s="67"/>
      <c r="K33" s="67"/>
      <c r="L33" s="67"/>
      <c r="M33" s="67"/>
      <c r="N33" s="67"/>
      <c r="O33" s="66"/>
      <c r="P33" s="66"/>
      <c r="Q33" s="66"/>
      <c r="R33" s="66"/>
      <c r="S33" s="67"/>
      <c r="T33" s="67"/>
      <c r="U33" s="67"/>
      <c r="V33" s="67"/>
      <c r="W33" s="67"/>
      <c r="X33" s="67"/>
      <c r="Y33" s="67"/>
      <c r="Z33" s="67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</row>
    <row r="34" spans="2:72" ht="39.75" customHeight="1" x14ac:dyDescent="0.25">
      <c r="B34" s="709"/>
      <c r="C34" s="730" t="s">
        <v>178</v>
      </c>
      <c r="E34" s="66"/>
      <c r="F34" s="66"/>
      <c r="G34" s="67"/>
      <c r="H34" s="66"/>
      <c r="I34" s="65"/>
      <c r="J34" s="67"/>
      <c r="K34" s="67"/>
      <c r="L34" s="67"/>
      <c r="M34" s="67"/>
      <c r="N34" s="67"/>
      <c r="O34" s="66"/>
      <c r="P34" s="66"/>
      <c r="Q34" s="66"/>
      <c r="R34" s="66"/>
      <c r="S34" s="67"/>
      <c r="T34" s="67"/>
      <c r="U34" s="67"/>
      <c r="V34" s="67"/>
      <c r="W34" s="67"/>
      <c r="X34" s="67"/>
      <c r="Y34" s="67"/>
      <c r="Z34" s="67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N34" s="80"/>
      <c r="AO34" s="80"/>
      <c r="AP34" s="715" t="s">
        <v>269</v>
      </c>
      <c r="AQ34" s="700" t="s">
        <v>270</v>
      </c>
      <c r="AR34" s="573"/>
      <c r="AS34" s="700" t="s">
        <v>270</v>
      </c>
      <c r="AT34" s="573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</row>
    <row r="35" spans="2:72" ht="60" customHeight="1" x14ac:dyDescent="0.25">
      <c r="B35" s="709"/>
      <c r="C35" s="608"/>
      <c r="E35" s="66"/>
      <c r="F35" s="66"/>
      <c r="G35" s="67"/>
      <c r="H35" s="66"/>
      <c r="I35" s="65"/>
      <c r="J35" s="67"/>
      <c r="K35" s="67"/>
      <c r="L35" s="67"/>
      <c r="M35" s="67"/>
      <c r="N35" s="67"/>
      <c r="O35" s="66"/>
      <c r="P35" s="66"/>
      <c r="Q35" s="66"/>
      <c r="R35" s="66"/>
      <c r="S35" s="67"/>
      <c r="T35" s="67"/>
      <c r="U35" s="67"/>
      <c r="V35" s="67"/>
      <c r="W35" s="67"/>
      <c r="X35" s="67"/>
      <c r="Y35" s="67"/>
      <c r="Z35" s="67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N35" s="35"/>
      <c r="AO35" s="35"/>
      <c r="AP35" s="608"/>
      <c r="AQ35" s="716" t="s">
        <v>271</v>
      </c>
      <c r="AR35" s="573"/>
      <c r="AS35" s="716" t="s">
        <v>272</v>
      </c>
      <c r="AT35" s="573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</row>
    <row r="36" spans="2:72" ht="45" customHeight="1" x14ac:dyDescent="0.25">
      <c r="B36" s="709"/>
      <c r="C36" s="679" t="s">
        <v>179</v>
      </c>
      <c r="E36" s="66"/>
      <c r="F36" s="66"/>
      <c r="G36" s="67"/>
      <c r="H36" s="66"/>
      <c r="I36" s="65"/>
      <c r="J36" s="67"/>
      <c r="K36" s="67"/>
      <c r="L36" s="67"/>
      <c r="M36" s="67"/>
      <c r="N36" s="67"/>
      <c r="O36" s="66"/>
      <c r="P36" s="66"/>
      <c r="Q36" s="66"/>
      <c r="R36" s="66"/>
      <c r="S36" s="67"/>
      <c r="T36" s="67"/>
      <c r="U36" s="67"/>
      <c r="V36" s="67"/>
      <c r="W36" s="67"/>
      <c r="X36" s="67"/>
      <c r="Y36" s="67"/>
      <c r="Z36" s="67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N36" s="35"/>
      <c r="AO36" s="35"/>
      <c r="AP36" s="715" t="s">
        <v>273</v>
      </c>
      <c r="AR36" s="80"/>
      <c r="AS36" s="88"/>
      <c r="AT36" s="133" t="s">
        <v>274</v>
      </c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</row>
    <row r="37" spans="2:72" ht="60" customHeight="1" x14ac:dyDescent="0.25">
      <c r="B37" s="709"/>
      <c r="C37" s="608"/>
      <c r="E37" s="66"/>
      <c r="F37" s="66"/>
      <c r="G37" s="67"/>
      <c r="H37" s="66"/>
      <c r="I37" s="65"/>
      <c r="J37" s="67"/>
      <c r="K37" s="67"/>
      <c r="L37" s="67"/>
      <c r="M37" s="67"/>
      <c r="N37" s="67"/>
      <c r="O37" s="66"/>
      <c r="P37" s="66"/>
      <c r="Q37" s="66"/>
      <c r="R37" s="66"/>
      <c r="S37" s="67"/>
      <c r="T37" s="67"/>
      <c r="U37" s="67"/>
      <c r="V37" s="67"/>
      <c r="W37" s="67"/>
      <c r="X37" s="67"/>
      <c r="Y37" s="67"/>
      <c r="Z37" s="67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N37" s="35"/>
      <c r="AO37" s="35"/>
      <c r="AP37" s="608"/>
      <c r="AR37" s="88"/>
      <c r="AS37" s="88"/>
      <c r="AT37" s="123" t="s">
        <v>275</v>
      </c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</row>
    <row r="38" spans="2:72" ht="33" customHeight="1" x14ac:dyDescent="0.25">
      <c r="B38" s="709"/>
      <c r="C38" s="679" t="s">
        <v>180</v>
      </c>
      <c r="E38" s="66"/>
      <c r="F38" s="66"/>
      <c r="G38" s="67"/>
      <c r="H38" s="66"/>
      <c r="I38" s="65"/>
      <c r="J38" s="67"/>
      <c r="K38" s="67"/>
      <c r="L38" s="67"/>
      <c r="M38" s="67"/>
      <c r="N38" s="67"/>
      <c r="O38" s="66"/>
      <c r="P38" s="66"/>
      <c r="Q38" s="66"/>
      <c r="R38" s="66"/>
      <c r="S38" s="67"/>
      <c r="T38" s="67"/>
      <c r="U38" s="67"/>
      <c r="V38" s="67"/>
      <c r="W38" s="67"/>
      <c r="X38" s="67"/>
      <c r="Y38" s="67"/>
      <c r="Z38" s="67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205"/>
      <c r="AN38" s="35"/>
      <c r="AO38" s="35"/>
      <c r="AP38" s="35"/>
      <c r="AQ38" s="35"/>
      <c r="AR38" s="35"/>
      <c r="AS38" s="35"/>
      <c r="AT38" s="715" t="s">
        <v>276</v>
      </c>
      <c r="AU38" s="700" t="s">
        <v>277</v>
      </c>
      <c r="AV38" s="573"/>
      <c r="AW38" s="700" t="s">
        <v>277</v>
      </c>
      <c r="AX38" s="573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</row>
    <row r="39" spans="2:72" ht="60" customHeight="1" x14ac:dyDescent="0.25">
      <c r="B39" s="709"/>
      <c r="C39" s="608"/>
      <c r="E39" s="66"/>
      <c r="F39" s="66"/>
      <c r="G39" s="67"/>
      <c r="H39" s="66"/>
      <c r="I39" s="65"/>
      <c r="J39" s="67"/>
      <c r="K39" s="67"/>
      <c r="L39" s="67"/>
      <c r="M39" s="67"/>
      <c r="N39" s="67"/>
      <c r="O39" s="66"/>
      <c r="P39" s="66"/>
      <c r="Q39" s="66"/>
      <c r="R39" s="66"/>
      <c r="S39" s="67"/>
      <c r="T39" s="67"/>
      <c r="U39" s="67"/>
      <c r="V39" s="67"/>
      <c r="W39" s="67"/>
      <c r="X39" s="67"/>
      <c r="Y39" s="67"/>
      <c r="Z39" s="67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608"/>
      <c r="AU39" s="716" t="s">
        <v>278</v>
      </c>
      <c r="AV39" s="573"/>
      <c r="AW39" s="716" t="s">
        <v>279</v>
      </c>
      <c r="AX39" s="573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</row>
    <row r="40" spans="2:72" ht="19.5" customHeight="1" x14ac:dyDescent="0.25">
      <c r="B40" s="709"/>
      <c r="C40" s="159"/>
      <c r="E40" s="66"/>
      <c r="F40" s="66"/>
      <c r="G40" s="67"/>
      <c r="H40" s="66"/>
      <c r="I40" s="65"/>
      <c r="J40" s="67"/>
      <c r="K40" s="67"/>
      <c r="L40" s="67"/>
      <c r="M40" s="67"/>
      <c r="N40" s="67"/>
      <c r="O40" s="66"/>
      <c r="P40" s="66"/>
      <c r="Q40" s="66"/>
      <c r="R40" s="66"/>
      <c r="S40" s="67"/>
      <c r="T40" s="67"/>
      <c r="U40" s="67"/>
      <c r="V40" s="67"/>
      <c r="W40" s="67"/>
      <c r="X40" s="67"/>
      <c r="Y40" s="67"/>
      <c r="Z40" s="67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</row>
    <row r="41" spans="2:72" ht="34.5" customHeight="1" x14ac:dyDescent="0.25">
      <c r="B41" s="709"/>
      <c r="C41" s="677" t="s">
        <v>181</v>
      </c>
      <c r="E41" s="66"/>
      <c r="F41" s="66"/>
      <c r="G41" s="67"/>
      <c r="H41" s="66"/>
      <c r="I41" s="65"/>
      <c r="J41" s="67"/>
      <c r="K41" s="67"/>
      <c r="L41" s="67"/>
      <c r="M41" s="67"/>
      <c r="N41" s="67"/>
      <c r="O41" s="66"/>
      <c r="P41" s="66"/>
      <c r="Q41" s="66"/>
      <c r="R41" s="66"/>
      <c r="S41" s="67"/>
      <c r="T41" s="67"/>
      <c r="U41" s="67"/>
      <c r="V41" s="67"/>
      <c r="W41" s="67"/>
      <c r="X41" s="67"/>
      <c r="Y41" s="67"/>
      <c r="Z41" s="67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P41" s="708" t="s">
        <v>280</v>
      </c>
      <c r="AQ41" s="700" t="s">
        <v>270</v>
      </c>
      <c r="AR41" s="573"/>
      <c r="AS41" s="700" t="s">
        <v>270</v>
      </c>
      <c r="AT41" s="573"/>
      <c r="AZ41" s="35"/>
      <c r="BA41" s="35"/>
      <c r="BB41" s="35"/>
      <c r="BC41" s="35"/>
      <c r="BD41" s="680"/>
      <c r="BE41" s="610"/>
      <c r="BF41" s="610"/>
      <c r="BG41" s="610"/>
      <c r="BH41" s="610"/>
      <c r="BI41" s="610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</row>
    <row r="42" spans="2:72" ht="63" customHeight="1" x14ac:dyDescent="0.25">
      <c r="B42" s="709"/>
      <c r="C42" s="678"/>
      <c r="E42" s="66"/>
      <c r="F42" s="66"/>
      <c r="G42" s="67"/>
      <c r="H42" s="66"/>
      <c r="I42" s="65"/>
      <c r="J42" s="67"/>
      <c r="K42" s="67"/>
      <c r="L42" s="67"/>
      <c r="M42" s="67"/>
      <c r="N42" s="67"/>
      <c r="O42" s="66"/>
      <c r="P42" s="66"/>
      <c r="Q42" s="66"/>
      <c r="R42" s="66"/>
      <c r="S42" s="67"/>
      <c r="T42" s="67"/>
      <c r="U42" s="67"/>
      <c r="V42" s="67"/>
      <c r="W42" s="67"/>
      <c r="X42" s="67"/>
      <c r="Y42" s="67"/>
      <c r="Z42" s="67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P42" s="709"/>
      <c r="AQ42" s="717" t="s">
        <v>281</v>
      </c>
      <c r="AR42" s="718"/>
      <c r="AS42" s="717" t="s">
        <v>282</v>
      </c>
      <c r="AT42" s="719"/>
      <c r="AU42" s="80"/>
      <c r="AZ42" s="35"/>
      <c r="BA42" s="35"/>
      <c r="BB42" s="35"/>
      <c r="BC42" s="35"/>
      <c r="BD42" s="674"/>
      <c r="BE42" s="610"/>
      <c r="BF42" s="610"/>
      <c r="BG42" s="610"/>
      <c r="BH42" s="610"/>
      <c r="BI42" s="610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</row>
    <row r="43" spans="2:72" ht="39" customHeight="1" x14ac:dyDescent="0.25">
      <c r="B43" s="709"/>
      <c r="C43" s="677" t="s">
        <v>182</v>
      </c>
      <c r="E43" s="66"/>
      <c r="F43" s="66"/>
      <c r="G43" s="67"/>
      <c r="H43" s="66"/>
      <c r="I43" s="65"/>
      <c r="J43" s="67"/>
      <c r="K43" s="67"/>
      <c r="L43" s="67"/>
      <c r="M43" s="67"/>
      <c r="N43" s="67"/>
      <c r="O43" s="66"/>
      <c r="P43" s="66"/>
      <c r="Q43" s="66"/>
      <c r="R43" s="66"/>
      <c r="S43" s="67"/>
      <c r="T43" s="67"/>
      <c r="U43" s="67"/>
      <c r="V43" s="67"/>
      <c r="W43" s="67"/>
      <c r="X43" s="67"/>
      <c r="Y43" s="67"/>
      <c r="Z43" s="67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P43" s="709"/>
      <c r="AQ43" s="88"/>
      <c r="AR43" s="88"/>
      <c r="AS43" s="88"/>
      <c r="AT43" s="133" t="s">
        <v>283</v>
      </c>
      <c r="AU43" s="133" t="s">
        <v>283</v>
      </c>
      <c r="AZ43" s="35"/>
      <c r="BA43" s="35"/>
      <c r="BB43" s="35"/>
      <c r="BC43" s="35"/>
      <c r="BD43" s="88"/>
      <c r="BE43" s="88"/>
      <c r="BF43" s="88"/>
      <c r="BG43" s="88"/>
      <c r="BH43" s="88"/>
      <c r="BI43" s="88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</row>
    <row r="44" spans="2:72" ht="63" customHeight="1" x14ac:dyDescent="0.25">
      <c r="B44" s="709"/>
      <c r="C44" s="678"/>
      <c r="E44" s="66"/>
      <c r="F44" s="66"/>
      <c r="G44" s="67"/>
      <c r="H44" s="66"/>
      <c r="I44" s="65"/>
      <c r="J44" s="67"/>
      <c r="K44" s="67"/>
      <c r="L44" s="67"/>
      <c r="M44" s="67"/>
      <c r="N44" s="67"/>
      <c r="O44" s="66"/>
      <c r="P44" s="66"/>
      <c r="Q44" s="66"/>
      <c r="R44" s="66"/>
      <c r="S44" s="67"/>
      <c r="T44" s="67"/>
      <c r="U44" s="67"/>
      <c r="V44" s="67"/>
      <c r="W44" s="67"/>
      <c r="X44" s="67"/>
      <c r="Y44" s="67"/>
      <c r="Z44" s="67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P44" s="608"/>
      <c r="AQ44" s="88"/>
      <c r="AR44" s="88"/>
      <c r="AS44" s="88"/>
      <c r="AT44" s="206" t="s">
        <v>284</v>
      </c>
      <c r="AU44" s="206" t="s">
        <v>285</v>
      </c>
      <c r="AZ44" s="35"/>
      <c r="BA44" s="35"/>
      <c r="BB44" s="35"/>
      <c r="BC44" s="35"/>
      <c r="BD44" s="88"/>
      <c r="BE44" s="88"/>
      <c r="BF44" s="88"/>
      <c r="BG44" s="88"/>
      <c r="BH44" s="88"/>
      <c r="BI44" s="88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</row>
    <row r="45" spans="2:72" ht="44.25" customHeight="1" x14ac:dyDescent="0.25">
      <c r="B45" s="709"/>
      <c r="C45" s="677" t="s">
        <v>183</v>
      </c>
      <c r="E45" s="66"/>
      <c r="F45" s="66"/>
      <c r="G45" s="67"/>
      <c r="H45" s="66"/>
      <c r="I45" s="65"/>
      <c r="J45" s="67"/>
      <c r="K45" s="67"/>
      <c r="L45" s="67"/>
      <c r="M45" s="67"/>
      <c r="N45" s="67"/>
      <c r="O45" s="66"/>
      <c r="P45" s="66"/>
      <c r="Q45" s="66"/>
      <c r="R45" s="66"/>
      <c r="S45" s="67"/>
      <c r="T45" s="67"/>
      <c r="U45" s="67"/>
      <c r="V45" s="67"/>
      <c r="W45" s="67"/>
      <c r="X45" s="67"/>
      <c r="Y45" s="67"/>
      <c r="Z45" s="67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O45" s="708" t="s">
        <v>286</v>
      </c>
      <c r="AP45" s="708" t="s">
        <v>287</v>
      </c>
      <c r="AQ45" s="207" t="s">
        <v>288</v>
      </c>
      <c r="AR45" s="88"/>
      <c r="AS45" s="88"/>
      <c r="AV45" s="133" t="s">
        <v>289</v>
      </c>
      <c r="AY45" s="35"/>
      <c r="AZ45" s="35"/>
      <c r="BA45" s="35"/>
      <c r="BB45" s="35"/>
      <c r="BC45" s="35"/>
      <c r="BD45" s="88"/>
      <c r="BE45" s="88"/>
      <c r="BF45" s="88"/>
      <c r="BG45" s="88"/>
      <c r="BH45" s="88"/>
      <c r="BI45" s="88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</row>
    <row r="46" spans="2:72" ht="63" customHeight="1" x14ac:dyDescent="0.25">
      <c r="B46" s="709"/>
      <c r="C46" s="678"/>
      <c r="E46" s="66"/>
      <c r="F46" s="66"/>
      <c r="G46" s="67"/>
      <c r="H46" s="66"/>
      <c r="I46" s="65"/>
      <c r="J46" s="67"/>
      <c r="K46" s="67"/>
      <c r="L46" s="67"/>
      <c r="M46" s="67"/>
      <c r="N46" s="67"/>
      <c r="O46" s="66"/>
      <c r="P46" s="66"/>
      <c r="Q46" s="66"/>
      <c r="R46" s="66"/>
      <c r="S46" s="67"/>
      <c r="T46" s="67"/>
      <c r="U46" s="67"/>
      <c r="V46" s="67"/>
      <c r="W46" s="67"/>
      <c r="X46" s="67"/>
      <c r="Y46" s="67"/>
      <c r="Z46" s="67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O46" s="608"/>
      <c r="AP46" s="608"/>
      <c r="AQ46" s="88"/>
      <c r="AR46" s="88"/>
      <c r="AS46" s="88"/>
      <c r="AV46" s="206" t="s">
        <v>290</v>
      </c>
      <c r="AY46" s="35"/>
      <c r="AZ46" s="35"/>
      <c r="BA46" s="35"/>
      <c r="BB46" s="35"/>
      <c r="BC46" s="35"/>
      <c r="BD46" s="88"/>
      <c r="BE46" s="88"/>
      <c r="BF46" s="88"/>
      <c r="BG46" s="88"/>
      <c r="BH46" s="88"/>
      <c r="BI46" s="88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</row>
    <row r="47" spans="2:72" ht="15" customHeight="1" x14ac:dyDescent="0.25">
      <c r="B47" s="709"/>
      <c r="C47" s="26"/>
      <c r="O47" s="13"/>
      <c r="P47" s="13"/>
      <c r="Q47" s="13"/>
      <c r="R47" s="13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</row>
    <row r="48" spans="2:72" ht="34.5" customHeight="1" x14ac:dyDescent="0.25">
      <c r="B48" s="709"/>
      <c r="C48" s="679" t="s">
        <v>291</v>
      </c>
      <c r="E48" s="66"/>
      <c r="F48" s="66"/>
      <c r="G48" s="67"/>
      <c r="H48" s="66"/>
      <c r="I48" s="65"/>
      <c r="J48" s="67"/>
      <c r="K48" s="67"/>
      <c r="L48" s="67"/>
      <c r="M48" s="67"/>
      <c r="N48" s="67"/>
      <c r="O48" s="66"/>
      <c r="P48" s="66"/>
      <c r="Q48" s="66"/>
      <c r="R48" s="66"/>
      <c r="S48" s="67"/>
      <c r="T48" s="67"/>
      <c r="U48" s="67"/>
      <c r="V48" s="67"/>
      <c r="W48" s="67"/>
      <c r="X48" s="67"/>
      <c r="Y48" s="67"/>
      <c r="Z48" s="67"/>
      <c r="AA48" s="35"/>
      <c r="AB48" s="35"/>
      <c r="AC48" s="35"/>
      <c r="AD48" s="35"/>
      <c r="AE48" s="35"/>
      <c r="AF48" s="35"/>
      <c r="AG48" s="35"/>
      <c r="AH48" s="35"/>
      <c r="AI48" s="88"/>
      <c r="AJ48" s="88"/>
      <c r="AK48" s="88"/>
      <c r="AL48" s="88"/>
      <c r="AM48" s="88"/>
      <c r="AN48" s="35"/>
      <c r="AO48" s="80"/>
      <c r="AP48" s="35"/>
      <c r="AQ48" s="35"/>
      <c r="AT48" s="708" t="s">
        <v>280</v>
      </c>
      <c r="AU48" s="710" t="s">
        <v>292</v>
      </c>
      <c r="AV48" s="704" t="s">
        <v>37</v>
      </c>
      <c r="AW48" s="573"/>
      <c r="AX48" s="704" t="s">
        <v>37</v>
      </c>
      <c r="AY48" s="573"/>
      <c r="AZ48" s="35"/>
      <c r="BA48" s="35"/>
      <c r="BB48" s="208" t="s">
        <v>81</v>
      </c>
      <c r="BC48" s="208" t="s">
        <v>81</v>
      </c>
      <c r="BD48" s="88"/>
      <c r="BE48" s="88"/>
      <c r="BF48" s="88"/>
      <c r="BG48" s="88"/>
      <c r="BH48" s="88"/>
      <c r="BI48" s="88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</row>
    <row r="49" spans="2:72" ht="63" customHeight="1" x14ac:dyDescent="0.25">
      <c r="B49" s="709"/>
      <c r="C49" s="608"/>
      <c r="E49" s="66"/>
      <c r="F49" s="66"/>
      <c r="G49" s="67"/>
      <c r="H49" s="66"/>
      <c r="I49" s="65"/>
      <c r="J49" s="67"/>
      <c r="K49" s="67"/>
      <c r="L49" s="67"/>
      <c r="M49" s="67"/>
      <c r="N49" s="67"/>
      <c r="O49" s="66"/>
      <c r="P49" s="66"/>
      <c r="Q49" s="66"/>
      <c r="R49" s="66"/>
      <c r="S49" s="67"/>
      <c r="T49" s="67"/>
      <c r="U49" s="67"/>
      <c r="V49" s="67"/>
      <c r="W49" s="67"/>
      <c r="X49" s="67"/>
      <c r="Y49" s="67"/>
      <c r="Z49" s="67"/>
      <c r="AA49" s="35"/>
      <c r="AB49" s="35"/>
      <c r="AC49" s="35"/>
      <c r="AD49" s="35"/>
      <c r="AE49" s="35"/>
      <c r="AF49" s="35"/>
      <c r="AG49" s="35"/>
      <c r="AH49" s="35"/>
      <c r="AI49" s="88"/>
      <c r="AJ49" s="88"/>
      <c r="AK49" s="88"/>
      <c r="AL49" s="88"/>
      <c r="AM49" s="88"/>
      <c r="AN49" s="35"/>
      <c r="AO49" s="68"/>
      <c r="AP49" s="35"/>
      <c r="AQ49" s="35"/>
      <c r="AT49" s="709"/>
      <c r="AU49" s="711"/>
      <c r="AV49" s="707" t="s">
        <v>293</v>
      </c>
      <c r="AW49" s="573"/>
      <c r="AX49" s="707" t="s">
        <v>294</v>
      </c>
      <c r="AY49" s="573"/>
      <c r="AZ49" s="35"/>
      <c r="BA49" s="35"/>
      <c r="BB49" s="209" t="s">
        <v>295</v>
      </c>
      <c r="BC49" s="209" t="s">
        <v>296</v>
      </c>
      <c r="BD49" s="88"/>
      <c r="BE49" s="88"/>
      <c r="BF49" s="88"/>
      <c r="BG49" s="88"/>
      <c r="BH49" s="88"/>
      <c r="BI49" s="88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</row>
    <row r="50" spans="2:72" ht="36" customHeight="1" x14ac:dyDescent="0.25">
      <c r="B50" s="709"/>
      <c r="C50" s="679" t="s">
        <v>297</v>
      </c>
      <c r="E50" s="66"/>
      <c r="F50" s="66"/>
      <c r="G50" s="67"/>
      <c r="H50" s="66"/>
      <c r="I50" s="65"/>
      <c r="J50" s="67"/>
      <c r="K50" s="67"/>
      <c r="L50" s="67"/>
      <c r="M50" s="67"/>
      <c r="N50" s="67"/>
      <c r="O50" s="66"/>
      <c r="P50" s="66"/>
      <c r="Q50" s="66"/>
      <c r="R50" s="66"/>
      <c r="S50" s="67"/>
      <c r="T50" s="67"/>
      <c r="U50" s="67"/>
      <c r="V50" s="67"/>
      <c r="W50" s="67"/>
      <c r="X50" s="67"/>
      <c r="Y50" s="67"/>
      <c r="Z50" s="67"/>
      <c r="AA50" s="35"/>
      <c r="AB50" s="35"/>
      <c r="AC50" s="35"/>
      <c r="AD50" s="35"/>
      <c r="AE50" s="35"/>
      <c r="AF50" s="35"/>
      <c r="AG50" s="35"/>
      <c r="AH50" s="35"/>
      <c r="AI50" s="88"/>
      <c r="AJ50" s="88"/>
      <c r="AK50" s="88"/>
      <c r="AL50" s="88"/>
      <c r="AM50" s="88"/>
      <c r="AN50" s="68"/>
      <c r="AO50" s="68"/>
      <c r="AP50" s="35"/>
      <c r="AQ50" s="35"/>
      <c r="AT50" s="709"/>
      <c r="AU50" s="710" t="s">
        <v>298</v>
      </c>
      <c r="AV50" s="35"/>
      <c r="AX50" s="35"/>
      <c r="AY50" s="704" t="s">
        <v>39</v>
      </c>
      <c r="AZ50" s="573"/>
      <c r="BA50" s="704" t="s">
        <v>39</v>
      </c>
      <c r="BB50" s="573"/>
      <c r="BC50" s="35"/>
      <c r="BD50" s="88"/>
      <c r="BE50" s="88"/>
      <c r="BF50" s="88"/>
      <c r="BG50" s="88"/>
      <c r="BH50" s="88"/>
      <c r="BI50" s="88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</row>
    <row r="51" spans="2:72" ht="63" customHeight="1" x14ac:dyDescent="0.25">
      <c r="B51" s="709"/>
      <c r="C51" s="608"/>
      <c r="E51" s="66"/>
      <c r="F51" s="66"/>
      <c r="G51" s="67"/>
      <c r="H51" s="66"/>
      <c r="I51" s="65"/>
      <c r="J51" s="67"/>
      <c r="K51" s="67"/>
      <c r="L51" s="67"/>
      <c r="M51" s="67"/>
      <c r="N51" s="67"/>
      <c r="O51" s="66"/>
      <c r="P51" s="66"/>
      <c r="Q51" s="66"/>
      <c r="R51" s="66"/>
      <c r="S51" s="67"/>
      <c r="T51" s="67"/>
      <c r="U51" s="67"/>
      <c r="V51" s="67"/>
      <c r="W51" s="67"/>
      <c r="X51" s="67"/>
      <c r="Y51" s="67"/>
      <c r="Z51" s="67"/>
      <c r="AA51" s="35"/>
      <c r="AB51" s="35"/>
      <c r="AC51" s="35"/>
      <c r="AD51" s="35"/>
      <c r="AE51" s="35"/>
      <c r="AF51" s="35"/>
      <c r="AG51" s="35"/>
      <c r="AH51" s="35"/>
      <c r="AI51" s="88"/>
      <c r="AJ51" s="88"/>
      <c r="AK51" s="88"/>
      <c r="AL51" s="88"/>
      <c r="AM51" s="88"/>
      <c r="AN51" s="185"/>
      <c r="AO51" s="35"/>
      <c r="AP51" s="35"/>
      <c r="AQ51" s="35"/>
      <c r="AT51" s="608"/>
      <c r="AU51" s="711"/>
      <c r="AV51" s="35"/>
      <c r="AX51" s="35"/>
      <c r="AY51" s="707" t="s">
        <v>299</v>
      </c>
      <c r="AZ51" s="573"/>
      <c r="BA51" s="707" t="s">
        <v>299</v>
      </c>
      <c r="BB51" s="573"/>
      <c r="BC51" s="35"/>
      <c r="BD51" s="88"/>
      <c r="BE51" s="88"/>
      <c r="BF51" s="88"/>
      <c r="BG51" s="88"/>
      <c r="BH51" s="88"/>
      <c r="BI51" s="88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</row>
    <row r="52" spans="2:72" ht="21" customHeight="1" x14ac:dyDescent="0.25">
      <c r="B52" s="709"/>
      <c r="C52" s="159"/>
      <c r="E52" s="66"/>
      <c r="F52" s="66"/>
      <c r="G52" s="67"/>
      <c r="H52" s="66"/>
      <c r="I52" s="65"/>
      <c r="J52" s="67"/>
      <c r="K52" s="67"/>
      <c r="L52" s="67"/>
      <c r="M52" s="67"/>
      <c r="N52" s="67"/>
      <c r="O52" s="66"/>
      <c r="P52" s="66"/>
      <c r="Q52" s="66"/>
      <c r="R52" s="66"/>
      <c r="S52" s="67"/>
      <c r="T52" s="67"/>
      <c r="U52" s="67"/>
      <c r="V52" s="67"/>
      <c r="W52" s="67"/>
      <c r="X52" s="67"/>
      <c r="Y52" s="67"/>
      <c r="Z52" s="67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</row>
    <row r="53" spans="2:72" ht="31.5" customHeight="1" x14ac:dyDescent="0.25">
      <c r="B53" s="709"/>
      <c r="C53" s="729" t="s">
        <v>116</v>
      </c>
      <c r="E53" s="66"/>
      <c r="F53" s="66"/>
      <c r="G53" s="67"/>
      <c r="H53" s="66"/>
      <c r="I53" s="65"/>
      <c r="J53" s="67"/>
      <c r="K53" s="67"/>
      <c r="L53" s="67"/>
      <c r="M53" s="67"/>
      <c r="N53" s="67"/>
      <c r="O53" s="66"/>
      <c r="P53" s="66"/>
      <c r="Q53" s="66"/>
      <c r="R53" s="66"/>
      <c r="S53" s="67"/>
      <c r="T53" s="67"/>
      <c r="U53" s="67"/>
      <c r="V53" s="67"/>
      <c r="W53" s="67"/>
      <c r="X53" s="67"/>
      <c r="Y53" s="67"/>
      <c r="Z53" s="67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</row>
    <row r="54" spans="2:72" ht="60" customHeight="1" x14ac:dyDescent="0.25">
      <c r="B54" s="709"/>
      <c r="C54" s="593"/>
      <c r="E54" s="66"/>
      <c r="F54" s="66"/>
      <c r="G54" s="67"/>
      <c r="H54" s="66"/>
      <c r="I54" s="65"/>
      <c r="J54" s="67"/>
      <c r="K54" s="67"/>
      <c r="L54" s="67"/>
      <c r="M54" s="67"/>
      <c r="N54" s="67"/>
      <c r="O54" s="66"/>
      <c r="P54" s="66"/>
      <c r="Q54" s="66"/>
      <c r="R54" s="66"/>
      <c r="S54" s="67"/>
      <c r="T54" s="67"/>
      <c r="U54" s="67"/>
      <c r="V54" s="67"/>
      <c r="W54" s="67"/>
      <c r="X54" s="67"/>
      <c r="Y54" s="67"/>
      <c r="Z54" s="67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138" t="s">
        <v>160</v>
      </c>
      <c r="AQ54" s="35"/>
      <c r="AR54" s="35"/>
      <c r="AS54" s="35"/>
      <c r="AT54" s="35"/>
      <c r="AU54" s="35"/>
      <c r="AV54" s="35"/>
      <c r="AW54" s="35"/>
      <c r="AX54" s="35"/>
      <c r="AY54" s="210" t="s">
        <v>161</v>
      </c>
      <c r="AZ54" s="211" t="s">
        <v>162</v>
      </c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</row>
    <row r="55" spans="2:72" ht="21" customHeight="1" x14ac:dyDescent="0.25">
      <c r="B55" s="709"/>
      <c r="C55" s="159"/>
      <c r="E55" s="66"/>
      <c r="F55" s="66"/>
      <c r="G55" s="67"/>
      <c r="H55" s="66"/>
      <c r="I55" s="65"/>
      <c r="J55" s="67"/>
      <c r="K55" s="67"/>
      <c r="L55" s="67"/>
      <c r="M55" s="67"/>
      <c r="N55" s="67"/>
      <c r="O55" s="66"/>
      <c r="P55" s="66"/>
      <c r="Q55" s="66"/>
      <c r="R55" s="66"/>
      <c r="S55" s="67"/>
      <c r="T55" s="67"/>
      <c r="U55" s="67"/>
      <c r="V55" s="67"/>
      <c r="W55" s="67"/>
      <c r="X55" s="67"/>
      <c r="Y55" s="67"/>
      <c r="Z55" s="67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</row>
    <row r="56" spans="2:72" ht="34.5" customHeight="1" x14ac:dyDescent="0.25">
      <c r="B56" s="709"/>
      <c r="C56" s="687" t="s">
        <v>48</v>
      </c>
      <c r="E56" s="66"/>
      <c r="F56" s="66"/>
      <c r="G56" s="67"/>
      <c r="H56" s="66"/>
      <c r="I56" s="65"/>
      <c r="J56" s="67"/>
      <c r="K56" s="67"/>
      <c r="L56" s="67"/>
      <c r="M56" s="67"/>
      <c r="N56" s="67"/>
      <c r="O56" s="66"/>
      <c r="P56" s="66"/>
      <c r="Q56" s="66"/>
      <c r="R56" s="66"/>
      <c r="S56" s="67"/>
      <c r="T56" s="67"/>
      <c r="U56" s="67"/>
      <c r="V56" s="67"/>
      <c r="W56" s="67"/>
      <c r="X56" s="67"/>
      <c r="Y56" s="67"/>
      <c r="Z56" s="67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80"/>
      <c r="AN56" s="35"/>
      <c r="AO56" s="80"/>
      <c r="AP56" s="35"/>
      <c r="AQ56" s="35"/>
      <c r="AR56" s="35"/>
      <c r="AS56" s="35"/>
      <c r="AT56" s="35"/>
      <c r="AU56" s="35"/>
      <c r="AV56" s="35"/>
      <c r="AW56" s="35"/>
      <c r="AY56" s="35"/>
      <c r="AZ56" s="35"/>
      <c r="BA56" s="212" t="s">
        <v>300</v>
      </c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</row>
    <row r="57" spans="2:72" ht="63" customHeight="1" x14ac:dyDescent="0.25">
      <c r="B57" s="608"/>
      <c r="C57" s="593"/>
      <c r="E57" s="66"/>
      <c r="F57" s="66"/>
      <c r="G57" s="67"/>
      <c r="H57" s="66"/>
      <c r="I57" s="65"/>
      <c r="J57" s="67"/>
      <c r="K57" s="67"/>
      <c r="L57" s="67"/>
      <c r="M57" s="67"/>
      <c r="N57" s="67"/>
      <c r="O57" s="66"/>
      <c r="P57" s="66"/>
      <c r="Q57" s="66"/>
      <c r="R57" s="66"/>
      <c r="S57" s="67"/>
      <c r="T57" s="67"/>
      <c r="U57" s="67"/>
      <c r="V57" s="67"/>
      <c r="W57" s="67"/>
      <c r="X57" s="67"/>
      <c r="Y57" s="67"/>
      <c r="Z57" s="67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68"/>
      <c r="AN57" s="35"/>
      <c r="AO57" s="68"/>
      <c r="AP57" s="35"/>
      <c r="AQ57" s="35"/>
      <c r="AR57" s="35"/>
      <c r="AS57" s="35"/>
      <c r="AT57" s="35"/>
      <c r="AU57" s="35"/>
      <c r="AV57" s="35"/>
      <c r="AW57" s="35"/>
      <c r="AY57" s="35"/>
      <c r="AZ57" s="35"/>
      <c r="BA57" s="194" t="s">
        <v>163</v>
      </c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</row>
    <row r="58" spans="2:72" ht="27.75" customHeight="1" x14ac:dyDescent="0.25">
      <c r="B58" s="145"/>
      <c r="C58" s="26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</row>
    <row r="59" spans="2:72" ht="14.25" customHeight="1" x14ac:dyDescent="0.25">
      <c r="C59" s="26"/>
      <c r="E59" s="49"/>
      <c r="F59" s="49"/>
      <c r="H59" s="49"/>
      <c r="I59" s="49"/>
      <c r="O59" s="13"/>
      <c r="P59" s="13"/>
      <c r="Q59" s="13"/>
      <c r="R59" s="13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</row>
    <row r="60" spans="2:72" ht="14.25" customHeight="1" x14ac:dyDescent="0.25">
      <c r="C60" s="26"/>
      <c r="E60" s="49"/>
      <c r="F60" s="49"/>
      <c r="H60" s="49"/>
      <c r="I60" s="49"/>
      <c r="O60" s="13"/>
      <c r="P60" s="13"/>
      <c r="Q60" s="13"/>
      <c r="R60" s="13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</row>
    <row r="61" spans="2:72" ht="14.25" customHeight="1" x14ac:dyDescent="0.25">
      <c r="C61" s="26"/>
      <c r="E61" s="49"/>
      <c r="F61" s="49"/>
      <c r="H61" s="49"/>
      <c r="I61" s="49"/>
      <c r="O61" s="13"/>
      <c r="P61" s="13"/>
      <c r="Q61" s="13"/>
      <c r="R61" s="13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</row>
    <row r="62" spans="2:72" ht="14.25" customHeight="1" x14ac:dyDescent="0.25">
      <c r="C62" s="26"/>
      <c r="E62" s="49"/>
      <c r="F62" s="49"/>
      <c r="H62" s="49"/>
      <c r="I62" s="49"/>
      <c r="O62" s="13"/>
      <c r="P62" s="13"/>
      <c r="Q62" s="13"/>
      <c r="R62" s="13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</row>
    <row r="63" spans="2:72" ht="14.25" customHeight="1" x14ac:dyDescent="0.25">
      <c r="C63" s="26"/>
      <c r="E63" s="49"/>
      <c r="F63" s="49"/>
      <c r="H63" s="49"/>
      <c r="I63" s="49"/>
      <c r="O63" s="13"/>
      <c r="P63" s="13"/>
      <c r="Q63" s="13"/>
      <c r="R63" s="13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</row>
    <row r="64" spans="2:72" ht="14.25" customHeight="1" x14ac:dyDescent="0.25">
      <c r="C64" s="26"/>
      <c r="E64" s="49"/>
      <c r="F64" s="49"/>
      <c r="H64" s="49"/>
      <c r="I64" s="49"/>
      <c r="O64" s="13"/>
      <c r="P64" s="13"/>
      <c r="Q64" s="13"/>
      <c r="R64" s="13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</row>
    <row r="65" spans="3:54" ht="14.25" customHeight="1" x14ac:dyDescent="0.25">
      <c r="C65" s="26"/>
      <c r="E65" s="49"/>
      <c r="F65" s="49"/>
      <c r="H65" s="49"/>
      <c r="I65" s="49"/>
      <c r="O65" s="13"/>
      <c r="P65" s="13"/>
      <c r="Q65" s="13"/>
      <c r="R65" s="13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</row>
    <row r="66" spans="3:54" ht="14.25" customHeight="1" x14ac:dyDescent="0.25">
      <c r="C66" s="26"/>
      <c r="E66" s="49"/>
      <c r="F66" s="49"/>
      <c r="H66" s="49"/>
      <c r="I66" s="49"/>
      <c r="O66" s="13"/>
      <c r="P66" s="13"/>
      <c r="Q66" s="13"/>
      <c r="R66" s="13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</row>
    <row r="67" spans="3:54" ht="14.25" customHeight="1" x14ac:dyDescent="0.25">
      <c r="C67" s="26"/>
      <c r="E67" s="49"/>
      <c r="F67" s="49"/>
      <c r="H67" s="49"/>
      <c r="I67" s="49"/>
      <c r="O67" s="13"/>
      <c r="P67" s="13"/>
      <c r="Q67" s="13"/>
      <c r="R67" s="13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</row>
    <row r="68" spans="3:54" ht="14.25" customHeight="1" x14ac:dyDescent="0.25">
      <c r="C68" s="26"/>
      <c r="E68" s="49"/>
      <c r="F68" s="49"/>
      <c r="H68" s="49"/>
      <c r="I68" s="49"/>
      <c r="O68" s="13"/>
      <c r="P68" s="13"/>
      <c r="Q68" s="13"/>
      <c r="R68" s="13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</row>
    <row r="69" spans="3:54" ht="14.25" customHeight="1" x14ac:dyDescent="0.25">
      <c r="C69" s="26"/>
      <c r="E69" s="49"/>
      <c r="F69" s="49"/>
      <c r="H69" s="49"/>
      <c r="I69" s="49"/>
      <c r="O69" s="13"/>
      <c r="P69" s="13"/>
      <c r="Q69" s="13"/>
      <c r="R69" s="13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</row>
    <row r="70" spans="3:54" ht="14.25" customHeight="1" x14ac:dyDescent="0.25">
      <c r="C70" s="26"/>
      <c r="E70" s="49"/>
      <c r="F70" s="49"/>
      <c r="H70" s="49"/>
      <c r="I70" s="49"/>
      <c r="O70" s="13"/>
      <c r="P70" s="13"/>
      <c r="Q70" s="13"/>
      <c r="R70" s="13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</row>
    <row r="71" spans="3:54" ht="14.25" customHeight="1" x14ac:dyDescent="0.25">
      <c r="C71" s="26"/>
      <c r="E71" s="49"/>
      <c r="F71" s="49"/>
      <c r="H71" s="49"/>
      <c r="I71" s="49"/>
      <c r="O71" s="13"/>
      <c r="P71" s="13"/>
      <c r="Q71" s="13"/>
      <c r="R71" s="13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</row>
    <row r="72" spans="3:54" ht="14.25" customHeight="1" x14ac:dyDescent="0.25">
      <c r="C72" s="26"/>
      <c r="E72" s="49"/>
      <c r="F72" s="49"/>
      <c r="H72" s="49"/>
      <c r="I72" s="49"/>
      <c r="O72" s="13"/>
      <c r="P72" s="13"/>
      <c r="Q72" s="13"/>
      <c r="R72" s="13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</row>
    <row r="73" spans="3:54" ht="14.25" customHeight="1" x14ac:dyDescent="0.25">
      <c r="C73" s="26"/>
      <c r="E73" s="49"/>
      <c r="F73" s="49"/>
      <c r="H73" s="49"/>
      <c r="I73" s="49"/>
      <c r="O73" s="13"/>
      <c r="P73" s="13"/>
      <c r="Q73" s="13"/>
      <c r="R73" s="13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</row>
    <row r="74" spans="3:54" ht="14.25" customHeight="1" x14ac:dyDescent="0.25">
      <c r="C74" s="26"/>
      <c r="E74" s="49"/>
      <c r="F74" s="49"/>
      <c r="H74" s="49"/>
      <c r="I74" s="49"/>
      <c r="O74" s="13"/>
      <c r="P74" s="13"/>
      <c r="Q74" s="13"/>
      <c r="R74" s="13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</row>
    <row r="75" spans="3:54" ht="14.25" customHeight="1" x14ac:dyDescent="0.25">
      <c r="C75" s="26"/>
      <c r="E75" s="49"/>
      <c r="F75" s="49"/>
      <c r="H75" s="49"/>
      <c r="I75" s="49"/>
      <c r="O75" s="13"/>
      <c r="P75" s="13"/>
      <c r="Q75" s="13"/>
      <c r="R75" s="13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</row>
    <row r="76" spans="3:54" ht="14.25" customHeight="1" x14ac:dyDescent="0.25">
      <c r="C76" s="26"/>
      <c r="E76" s="49"/>
      <c r="F76" s="49"/>
      <c r="H76" s="49"/>
      <c r="I76" s="49"/>
      <c r="O76" s="13"/>
      <c r="P76" s="13"/>
      <c r="Q76" s="13"/>
      <c r="R76" s="13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</row>
    <row r="77" spans="3:54" ht="14.25" customHeight="1" x14ac:dyDescent="0.25">
      <c r="C77" s="26"/>
      <c r="E77" s="49"/>
      <c r="F77" s="49"/>
      <c r="H77" s="49"/>
      <c r="I77" s="49"/>
      <c r="O77" s="13"/>
      <c r="P77" s="13"/>
      <c r="Q77" s="13"/>
      <c r="R77" s="13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</row>
    <row r="78" spans="3:54" ht="14.25" customHeight="1" x14ac:dyDescent="0.25">
      <c r="C78" s="26"/>
      <c r="E78" s="49"/>
      <c r="F78" s="49"/>
      <c r="H78" s="49"/>
      <c r="I78" s="49"/>
      <c r="O78" s="13"/>
      <c r="P78" s="13"/>
      <c r="Q78" s="13"/>
      <c r="R78" s="13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</row>
    <row r="79" spans="3:54" ht="14.25" customHeight="1" x14ac:dyDescent="0.25">
      <c r="C79" s="26"/>
      <c r="E79" s="49"/>
      <c r="F79" s="49"/>
      <c r="H79" s="49"/>
      <c r="I79" s="49"/>
      <c r="O79" s="13"/>
      <c r="P79" s="13"/>
      <c r="Q79" s="13"/>
      <c r="R79" s="13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</row>
    <row r="80" spans="3:54" ht="14.25" customHeight="1" x14ac:dyDescent="0.25">
      <c r="C80" s="26"/>
      <c r="E80" s="49"/>
      <c r="F80" s="49"/>
      <c r="H80" s="49"/>
      <c r="I80" s="49"/>
      <c r="O80" s="13"/>
      <c r="P80" s="13"/>
      <c r="Q80" s="13"/>
      <c r="R80" s="13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</row>
    <row r="81" spans="3:54" ht="14.25" customHeight="1" x14ac:dyDescent="0.25">
      <c r="C81" s="26"/>
      <c r="E81" s="49"/>
      <c r="F81" s="49"/>
      <c r="H81" s="49"/>
      <c r="I81" s="49"/>
      <c r="O81" s="13"/>
      <c r="P81" s="13"/>
      <c r="Q81" s="13"/>
      <c r="R81" s="13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</row>
    <row r="82" spans="3:54" ht="14.25" customHeight="1" x14ac:dyDescent="0.25">
      <c r="C82" s="26"/>
      <c r="E82" s="49"/>
      <c r="F82" s="49"/>
      <c r="H82" s="49"/>
      <c r="I82" s="49"/>
      <c r="O82" s="13"/>
      <c r="P82" s="13"/>
      <c r="Q82" s="13"/>
      <c r="R82" s="13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</row>
    <row r="83" spans="3:54" ht="14.25" customHeight="1" x14ac:dyDescent="0.25">
      <c r="C83" s="26"/>
      <c r="E83" s="49"/>
      <c r="F83" s="49"/>
      <c r="H83" s="49"/>
      <c r="I83" s="49"/>
      <c r="O83" s="13"/>
      <c r="P83" s="13"/>
      <c r="Q83" s="13"/>
      <c r="R83" s="13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</row>
    <row r="84" spans="3:54" ht="14.25" customHeight="1" x14ac:dyDescent="0.25">
      <c r="C84" s="26"/>
      <c r="E84" s="49"/>
      <c r="F84" s="49"/>
      <c r="H84" s="49"/>
      <c r="I84" s="49"/>
      <c r="O84" s="13"/>
      <c r="P84" s="13"/>
      <c r="Q84" s="13"/>
      <c r="R84" s="13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</row>
    <row r="85" spans="3:54" ht="14.25" customHeight="1" x14ac:dyDescent="0.25">
      <c r="C85" s="26"/>
      <c r="E85" s="49"/>
      <c r="F85" s="49"/>
      <c r="H85" s="49"/>
      <c r="I85" s="49"/>
      <c r="O85" s="13"/>
      <c r="P85" s="13"/>
      <c r="Q85" s="13"/>
      <c r="R85" s="13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</row>
    <row r="86" spans="3:54" ht="14.25" customHeight="1" x14ac:dyDescent="0.25">
      <c r="C86" s="26"/>
      <c r="E86" s="49"/>
      <c r="F86" s="49"/>
      <c r="H86" s="49"/>
      <c r="I86" s="49"/>
      <c r="O86" s="13"/>
      <c r="P86" s="13"/>
      <c r="Q86" s="13"/>
      <c r="R86" s="13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</row>
    <row r="87" spans="3:54" ht="14.25" customHeight="1" x14ac:dyDescent="0.25">
      <c r="C87" s="26"/>
      <c r="E87" s="49"/>
      <c r="F87" s="49"/>
      <c r="H87" s="49"/>
      <c r="I87" s="49"/>
      <c r="O87" s="13"/>
      <c r="P87" s="13"/>
      <c r="Q87" s="13"/>
      <c r="R87" s="13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</row>
    <row r="88" spans="3:54" ht="14.25" customHeight="1" x14ac:dyDescent="0.25">
      <c r="C88" s="26"/>
      <c r="E88" s="49"/>
      <c r="F88" s="49"/>
      <c r="H88" s="49"/>
      <c r="I88" s="49"/>
      <c r="O88" s="13"/>
      <c r="P88" s="13"/>
      <c r="Q88" s="13"/>
      <c r="R88" s="13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</row>
    <row r="89" spans="3:54" ht="14.25" customHeight="1" x14ac:dyDescent="0.25">
      <c r="C89" s="26"/>
      <c r="E89" s="49"/>
      <c r="F89" s="49"/>
      <c r="H89" s="49"/>
      <c r="I89" s="49"/>
      <c r="O89" s="13"/>
      <c r="P89" s="13"/>
      <c r="Q89" s="13"/>
      <c r="R89" s="13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</row>
    <row r="90" spans="3:54" ht="14.25" customHeight="1" x14ac:dyDescent="0.25">
      <c r="C90" s="26"/>
      <c r="E90" s="49"/>
      <c r="F90" s="49"/>
      <c r="H90" s="49"/>
      <c r="I90" s="49"/>
      <c r="O90" s="13"/>
      <c r="P90" s="13"/>
      <c r="Q90" s="13"/>
      <c r="R90" s="13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</row>
    <row r="91" spans="3:54" ht="14.25" customHeight="1" x14ac:dyDescent="0.25">
      <c r="C91" s="26"/>
      <c r="E91" s="49"/>
      <c r="F91" s="49"/>
      <c r="H91" s="49"/>
      <c r="I91" s="49"/>
      <c r="O91" s="13"/>
      <c r="P91" s="13"/>
      <c r="Q91" s="13"/>
      <c r="R91" s="13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</row>
    <row r="92" spans="3:54" ht="14.25" customHeight="1" x14ac:dyDescent="0.25">
      <c r="C92" s="26"/>
      <c r="E92" s="49"/>
      <c r="F92" s="49"/>
      <c r="H92" s="49"/>
      <c r="I92" s="49"/>
      <c r="O92" s="13"/>
      <c r="P92" s="13"/>
      <c r="Q92" s="13"/>
      <c r="R92" s="13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</row>
    <row r="93" spans="3:54" ht="14.25" customHeight="1" x14ac:dyDescent="0.25">
      <c r="C93" s="26"/>
      <c r="E93" s="49"/>
      <c r="F93" s="49"/>
      <c r="H93" s="49"/>
      <c r="I93" s="49"/>
      <c r="O93" s="13"/>
      <c r="P93" s="13"/>
      <c r="Q93" s="13"/>
      <c r="R93" s="13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</row>
    <row r="94" spans="3:54" ht="14.25" customHeight="1" x14ac:dyDescent="0.25">
      <c r="C94" s="26"/>
      <c r="E94" s="49"/>
      <c r="F94" s="49"/>
      <c r="H94" s="49"/>
      <c r="I94" s="49"/>
      <c r="O94" s="13"/>
      <c r="P94" s="13"/>
      <c r="Q94" s="13"/>
      <c r="R94" s="13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</row>
    <row r="95" spans="3:54" ht="14.25" customHeight="1" x14ac:dyDescent="0.25">
      <c r="C95" s="26"/>
      <c r="E95" s="49"/>
      <c r="F95" s="49"/>
      <c r="H95" s="49"/>
      <c r="I95" s="49"/>
      <c r="O95" s="13"/>
      <c r="P95" s="13"/>
      <c r="Q95" s="13"/>
      <c r="R95" s="13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</row>
    <row r="96" spans="3:54" ht="14.25" customHeight="1" x14ac:dyDescent="0.25">
      <c r="C96" s="26"/>
      <c r="E96" s="49"/>
      <c r="F96" s="49"/>
      <c r="H96" s="49"/>
      <c r="I96" s="49"/>
      <c r="O96" s="13"/>
      <c r="P96" s="13"/>
      <c r="Q96" s="13"/>
      <c r="R96" s="13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</row>
    <row r="97" spans="3:54" ht="14.25" customHeight="1" x14ac:dyDescent="0.25">
      <c r="C97" s="26"/>
      <c r="E97" s="49"/>
      <c r="F97" s="49"/>
      <c r="H97" s="49"/>
      <c r="I97" s="49"/>
      <c r="O97" s="13"/>
      <c r="P97" s="13"/>
      <c r="Q97" s="13"/>
      <c r="R97" s="13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</row>
    <row r="98" spans="3:54" ht="14.25" customHeight="1" x14ac:dyDescent="0.25">
      <c r="C98" s="26"/>
      <c r="E98" s="49"/>
      <c r="F98" s="49"/>
      <c r="H98" s="49"/>
      <c r="I98" s="49"/>
      <c r="O98" s="13"/>
      <c r="P98" s="13"/>
      <c r="Q98" s="13"/>
      <c r="R98" s="13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</row>
    <row r="99" spans="3:54" ht="14.25" customHeight="1" x14ac:dyDescent="0.25">
      <c r="C99" s="26"/>
      <c r="E99" s="49"/>
      <c r="F99" s="49"/>
      <c r="H99" s="49"/>
      <c r="I99" s="49"/>
      <c r="O99" s="13"/>
      <c r="P99" s="13"/>
      <c r="Q99" s="13"/>
      <c r="R99" s="13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</row>
    <row r="100" spans="3:54" ht="14.25" customHeight="1" x14ac:dyDescent="0.25">
      <c r="C100" s="26"/>
      <c r="E100" s="49"/>
      <c r="F100" s="49"/>
      <c r="H100" s="49"/>
      <c r="I100" s="49"/>
      <c r="O100" s="13"/>
      <c r="P100" s="13"/>
      <c r="Q100" s="13"/>
      <c r="R100" s="13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</row>
    <row r="101" spans="3:54" ht="14.25" customHeight="1" x14ac:dyDescent="0.25">
      <c r="C101" s="26"/>
      <c r="E101" s="49"/>
      <c r="F101" s="49"/>
      <c r="H101" s="49"/>
      <c r="I101" s="49"/>
      <c r="O101" s="13"/>
      <c r="P101" s="13"/>
      <c r="Q101" s="13"/>
      <c r="R101" s="13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</row>
    <row r="102" spans="3:54" ht="14.25" customHeight="1" x14ac:dyDescent="0.25">
      <c r="C102" s="26"/>
      <c r="E102" s="49"/>
      <c r="F102" s="49"/>
      <c r="H102" s="49"/>
      <c r="I102" s="49"/>
      <c r="O102" s="13"/>
      <c r="P102" s="13"/>
      <c r="Q102" s="13"/>
      <c r="R102" s="13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</row>
    <row r="103" spans="3:54" ht="14.25" customHeight="1" x14ac:dyDescent="0.25">
      <c r="C103" s="26"/>
      <c r="E103" s="49"/>
      <c r="F103" s="49"/>
      <c r="H103" s="49"/>
      <c r="I103" s="49"/>
      <c r="O103" s="13"/>
      <c r="P103" s="13"/>
      <c r="Q103" s="13"/>
      <c r="R103" s="13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</row>
    <row r="104" spans="3:54" ht="14.25" customHeight="1" x14ac:dyDescent="0.25">
      <c r="C104" s="26"/>
      <c r="E104" s="49"/>
      <c r="F104" s="49"/>
      <c r="H104" s="49"/>
      <c r="I104" s="49"/>
      <c r="O104" s="13"/>
      <c r="P104" s="13"/>
      <c r="Q104" s="13"/>
      <c r="R104" s="13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</row>
    <row r="105" spans="3:54" ht="14.25" customHeight="1" x14ac:dyDescent="0.25">
      <c r="C105" s="26"/>
      <c r="E105" s="49"/>
      <c r="F105" s="49"/>
      <c r="H105" s="49"/>
      <c r="I105" s="49"/>
      <c r="O105" s="13"/>
      <c r="P105" s="13"/>
      <c r="Q105" s="13"/>
      <c r="R105" s="13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</row>
    <row r="106" spans="3:54" ht="14.25" customHeight="1" x14ac:dyDescent="0.25">
      <c r="C106" s="26"/>
      <c r="E106" s="49"/>
      <c r="F106" s="49"/>
      <c r="H106" s="49"/>
      <c r="I106" s="49"/>
      <c r="O106" s="13"/>
      <c r="P106" s="13"/>
      <c r="Q106" s="13"/>
      <c r="R106" s="13"/>
    </row>
    <row r="107" spans="3:54" ht="14.25" customHeight="1" x14ac:dyDescent="0.25">
      <c r="C107" s="26"/>
      <c r="E107" s="49"/>
      <c r="F107" s="49"/>
      <c r="H107" s="49"/>
      <c r="I107" s="49"/>
      <c r="O107" s="13"/>
      <c r="P107" s="13"/>
      <c r="Q107" s="13"/>
      <c r="R107" s="13"/>
    </row>
    <row r="108" spans="3:54" ht="14.25" customHeight="1" x14ac:dyDescent="0.25">
      <c r="C108" s="26"/>
      <c r="E108" s="49"/>
      <c r="F108" s="49"/>
      <c r="H108" s="49"/>
      <c r="I108" s="49"/>
      <c r="O108" s="13"/>
      <c r="P108" s="13"/>
      <c r="Q108" s="13"/>
      <c r="R108" s="13"/>
    </row>
    <row r="109" spans="3:54" ht="14.25" customHeight="1" x14ac:dyDescent="0.25">
      <c r="C109" s="26"/>
      <c r="E109" s="49"/>
      <c r="F109" s="49"/>
      <c r="H109" s="49"/>
      <c r="I109" s="49"/>
      <c r="O109" s="13"/>
      <c r="P109" s="13"/>
      <c r="Q109" s="13"/>
      <c r="R109" s="13"/>
    </row>
    <row r="110" spans="3:54" ht="14.25" customHeight="1" x14ac:dyDescent="0.25">
      <c r="C110" s="26"/>
      <c r="E110" s="49"/>
      <c r="F110" s="49"/>
      <c r="H110" s="49"/>
      <c r="I110" s="49"/>
      <c r="O110" s="13"/>
      <c r="P110" s="13"/>
      <c r="Q110" s="13"/>
      <c r="R110" s="13"/>
    </row>
    <row r="111" spans="3:54" ht="14.25" customHeight="1" x14ac:dyDescent="0.25">
      <c r="C111" s="26"/>
      <c r="E111" s="49"/>
      <c r="F111" s="49"/>
      <c r="H111" s="49"/>
      <c r="I111" s="49"/>
      <c r="O111" s="13"/>
      <c r="P111" s="13"/>
      <c r="Q111" s="13"/>
      <c r="R111" s="13"/>
    </row>
    <row r="112" spans="3:54" ht="14.25" customHeight="1" x14ac:dyDescent="0.25">
      <c r="C112" s="26"/>
      <c r="E112" s="49"/>
      <c r="F112" s="49"/>
      <c r="H112" s="49"/>
      <c r="I112" s="49"/>
      <c r="O112" s="13"/>
      <c r="P112" s="13"/>
      <c r="Q112" s="13"/>
      <c r="R112" s="13"/>
    </row>
    <row r="113" spans="3:18" ht="14.25" customHeight="1" x14ac:dyDescent="0.25">
      <c r="C113" s="26"/>
      <c r="E113" s="49"/>
      <c r="F113" s="49"/>
      <c r="H113" s="49"/>
      <c r="I113" s="49"/>
      <c r="O113" s="13"/>
      <c r="P113" s="13"/>
      <c r="Q113" s="13"/>
      <c r="R113" s="13"/>
    </row>
    <row r="114" spans="3:18" ht="14.25" customHeight="1" x14ac:dyDescent="0.25">
      <c r="C114" s="26"/>
      <c r="E114" s="49"/>
      <c r="F114" s="49"/>
      <c r="H114" s="49"/>
      <c r="I114" s="49"/>
      <c r="O114" s="13"/>
      <c r="P114" s="13"/>
      <c r="Q114" s="13"/>
      <c r="R114" s="13"/>
    </row>
    <row r="115" spans="3:18" ht="14.25" customHeight="1" x14ac:dyDescent="0.25">
      <c r="C115" s="26"/>
      <c r="E115" s="49"/>
      <c r="F115" s="49"/>
      <c r="H115" s="49"/>
      <c r="I115" s="49"/>
      <c r="O115" s="13"/>
      <c r="P115" s="13"/>
      <c r="Q115" s="13"/>
      <c r="R115" s="13"/>
    </row>
    <row r="116" spans="3:18" ht="14.25" customHeight="1" x14ac:dyDescent="0.25">
      <c r="C116" s="26"/>
      <c r="E116" s="49"/>
      <c r="F116" s="49"/>
      <c r="H116" s="49"/>
      <c r="I116" s="49"/>
      <c r="O116" s="13"/>
      <c r="P116" s="13"/>
      <c r="Q116" s="13"/>
      <c r="R116" s="13"/>
    </row>
    <row r="117" spans="3:18" ht="14.25" customHeight="1" x14ac:dyDescent="0.25">
      <c r="C117" s="26"/>
      <c r="E117" s="49"/>
      <c r="F117" s="49"/>
      <c r="H117" s="49"/>
      <c r="I117" s="49"/>
      <c r="O117" s="13"/>
      <c r="P117" s="13"/>
      <c r="Q117" s="13"/>
      <c r="R117" s="13"/>
    </row>
    <row r="118" spans="3:18" ht="14.25" customHeight="1" x14ac:dyDescent="0.25">
      <c r="C118" s="26"/>
      <c r="E118" s="49"/>
      <c r="F118" s="49"/>
      <c r="H118" s="49"/>
      <c r="I118" s="49"/>
      <c r="O118" s="13"/>
      <c r="P118" s="13"/>
      <c r="Q118" s="13"/>
      <c r="R118" s="13"/>
    </row>
    <row r="119" spans="3:18" ht="14.25" customHeight="1" x14ac:dyDescent="0.25">
      <c r="C119" s="26"/>
      <c r="E119" s="49"/>
      <c r="F119" s="49"/>
      <c r="H119" s="49"/>
      <c r="I119" s="49"/>
      <c r="O119" s="13"/>
      <c r="P119" s="13"/>
      <c r="Q119" s="13"/>
      <c r="R119" s="13"/>
    </row>
    <row r="120" spans="3:18" ht="14.25" customHeight="1" x14ac:dyDescent="0.25">
      <c r="C120" s="26"/>
      <c r="E120" s="49"/>
      <c r="F120" s="49"/>
      <c r="H120" s="49"/>
      <c r="I120" s="49"/>
      <c r="O120" s="13"/>
      <c r="P120" s="13"/>
      <c r="Q120" s="13"/>
      <c r="R120" s="13"/>
    </row>
    <row r="121" spans="3:18" ht="14.25" customHeight="1" x14ac:dyDescent="0.25">
      <c r="C121" s="26"/>
      <c r="E121" s="49"/>
      <c r="F121" s="49"/>
      <c r="H121" s="49"/>
      <c r="I121" s="49"/>
      <c r="O121" s="13"/>
      <c r="P121" s="13"/>
      <c r="Q121" s="13"/>
      <c r="R121" s="13"/>
    </row>
    <row r="122" spans="3:18" ht="14.25" customHeight="1" x14ac:dyDescent="0.25">
      <c r="C122" s="26"/>
      <c r="E122" s="49"/>
      <c r="F122" s="49"/>
      <c r="H122" s="49"/>
      <c r="I122" s="49"/>
      <c r="O122" s="13"/>
      <c r="P122" s="13"/>
      <c r="Q122" s="13"/>
      <c r="R122" s="13"/>
    </row>
    <row r="123" spans="3:18" ht="14.25" customHeight="1" x14ac:dyDescent="0.25">
      <c r="C123" s="26"/>
      <c r="E123" s="49"/>
      <c r="F123" s="49"/>
      <c r="H123" s="49"/>
      <c r="I123" s="49"/>
      <c r="O123" s="13"/>
      <c r="P123" s="13"/>
      <c r="Q123" s="13"/>
      <c r="R123" s="13"/>
    </row>
    <row r="124" spans="3:18" ht="14.25" customHeight="1" x14ac:dyDescent="0.25">
      <c r="C124" s="26"/>
      <c r="E124" s="49"/>
      <c r="F124" s="49"/>
      <c r="H124" s="49"/>
      <c r="I124" s="49"/>
      <c r="O124" s="13"/>
      <c r="P124" s="13"/>
      <c r="Q124" s="13"/>
      <c r="R124" s="13"/>
    </row>
    <row r="125" spans="3:18" ht="14.25" customHeight="1" x14ac:dyDescent="0.25">
      <c r="C125" s="26"/>
      <c r="E125" s="49"/>
      <c r="F125" s="49"/>
      <c r="H125" s="49"/>
      <c r="I125" s="49"/>
      <c r="O125" s="13"/>
      <c r="P125" s="13"/>
      <c r="Q125" s="13"/>
      <c r="R125" s="13"/>
    </row>
    <row r="126" spans="3:18" ht="14.25" customHeight="1" x14ac:dyDescent="0.25">
      <c r="C126" s="26"/>
      <c r="E126" s="49"/>
      <c r="F126" s="49"/>
      <c r="H126" s="49"/>
      <c r="I126" s="49"/>
      <c r="O126" s="13"/>
      <c r="P126" s="13"/>
      <c r="Q126" s="13"/>
      <c r="R126" s="13"/>
    </row>
    <row r="127" spans="3:18" ht="14.25" customHeight="1" x14ac:dyDescent="0.25">
      <c r="C127" s="26"/>
      <c r="E127" s="49"/>
      <c r="F127" s="49"/>
      <c r="H127" s="49"/>
      <c r="I127" s="49"/>
      <c r="O127" s="13"/>
      <c r="P127" s="13"/>
      <c r="Q127" s="13"/>
      <c r="R127" s="13"/>
    </row>
    <row r="128" spans="3:18" ht="14.25" customHeight="1" x14ac:dyDescent="0.25">
      <c r="C128" s="26"/>
      <c r="E128" s="49"/>
      <c r="F128" s="49"/>
      <c r="H128" s="49"/>
      <c r="I128" s="49"/>
      <c r="O128" s="13"/>
      <c r="P128" s="13"/>
      <c r="Q128" s="13"/>
      <c r="R128" s="13"/>
    </row>
    <row r="129" spans="3:18" ht="14.25" customHeight="1" x14ac:dyDescent="0.25">
      <c r="C129" s="26"/>
      <c r="E129" s="49"/>
      <c r="F129" s="49"/>
      <c r="H129" s="49"/>
      <c r="I129" s="49"/>
      <c r="O129" s="13"/>
      <c r="P129" s="13"/>
      <c r="Q129" s="13"/>
      <c r="R129" s="13"/>
    </row>
    <row r="130" spans="3:18" ht="14.25" customHeight="1" x14ac:dyDescent="0.25">
      <c r="C130" s="26"/>
      <c r="E130" s="49"/>
      <c r="F130" s="49"/>
      <c r="H130" s="49"/>
      <c r="I130" s="49"/>
      <c r="O130" s="13"/>
      <c r="P130" s="13"/>
      <c r="Q130" s="13"/>
      <c r="R130" s="13"/>
    </row>
    <row r="131" spans="3:18" ht="14.25" customHeight="1" x14ac:dyDescent="0.25">
      <c r="C131" s="26"/>
      <c r="E131" s="49"/>
      <c r="F131" s="49"/>
      <c r="H131" s="49"/>
      <c r="I131" s="49"/>
      <c r="O131" s="13"/>
      <c r="P131" s="13"/>
      <c r="Q131" s="13"/>
      <c r="R131" s="13"/>
    </row>
    <row r="132" spans="3:18" ht="14.25" customHeight="1" x14ac:dyDescent="0.25">
      <c r="C132" s="26"/>
      <c r="E132" s="49"/>
      <c r="F132" s="49"/>
      <c r="H132" s="49"/>
      <c r="I132" s="49"/>
      <c r="O132" s="13"/>
      <c r="P132" s="13"/>
      <c r="Q132" s="13"/>
      <c r="R132" s="13"/>
    </row>
    <row r="133" spans="3:18" ht="14.25" customHeight="1" x14ac:dyDescent="0.25">
      <c r="C133" s="26"/>
      <c r="E133" s="49"/>
      <c r="F133" s="49"/>
      <c r="H133" s="49"/>
      <c r="I133" s="49"/>
      <c r="O133" s="13"/>
      <c r="P133" s="13"/>
      <c r="Q133" s="13"/>
      <c r="R133" s="13"/>
    </row>
    <row r="134" spans="3:18" ht="14.25" customHeight="1" x14ac:dyDescent="0.25">
      <c r="C134" s="26"/>
      <c r="E134" s="49"/>
      <c r="F134" s="49"/>
      <c r="H134" s="49"/>
      <c r="I134" s="49"/>
      <c r="O134" s="13"/>
      <c r="P134" s="13"/>
      <c r="Q134" s="13"/>
      <c r="R134" s="13"/>
    </row>
    <row r="135" spans="3:18" ht="14.25" customHeight="1" x14ac:dyDescent="0.25">
      <c r="C135" s="26"/>
      <c r="E135" s="49"/>
      <c r="F135" s="49"/>
      <c r="H135" s="49"/>
      <c r="I135" s="49"/>
      <c r="O135" s="13"/>
      <c r="P135" s="13"/>
      <c r="Q135" s="13"/>
      <c r="R135" s="13"/>
    </row>
    <row r="136" spans="3:18" ht="14.25" customHeight="1" x14ac:dyDescent="0.25">
      <c r="C136" s="26"/>
      <c r="E136" s="49"/>
      <c r="F136" s="49"/>
      <c r="H136" s="49"/>
      <c r="I136" s="49"/>
      <c r="O136" s="13"/>
      <c r="P136" s="13"/>
      <c r="Q136" s="13"/>
      <c r="R136" s="13"/>
    </row>
    <row r="137" spans="3:18" ht="14.25" customHeight="1" x14ac:dyDescent="0.25">
      <c r="C137" s="26"/>
      <c r="E137" s="49"/>
      <c r="F137" s="49"/>
      <c r="H137" s="49"/>
      <c r="I137" s="49"/>
      <c r="O137" s="13"/>
      <c r="P137" s="13"/>
      <c r="Q137" s="13"/>
      <c r="R137" s="13"/>
    </row>
    <row r="138" spans="3:18" ht="14.25" customHeight="1" x14ac:dyDescent="0.25">
      <c r="C138" s="26"/>
      <c r="E138" s="49"/>
      <c r="F138" s="49"/>
      <c r="H138" s="49"/>
      <c r="I138" s="49"/>
      <c r="O138" s="13"/>
      <c r="P138" s="13"/>
      <c r="Q138" s="13"/>
      <c r="R138" s="13"/>
    </row>
    <row r="139" spans="3:18" ht="14.25" customHeight="1" x14ac:dyDescent="0.25">
      <c r="C139" s="26"/>
      <c r="E139" s="49"/>
      <c r="F139" s="49"/>
      <c r="H139" s="49"/>
      <c r="I139" s="49"/>
      <c r="O139" s="13"/>
      <c r="P139" s="13"/>
      <c r="Q139" s="13"/>
      <c r="R139" s="13"/>
    </row>
    <row r="140" spans="3:18" ht="14.25" customHeight="1" x14ac:dyDescent="0.25">
      <c r="C140" s="26"/>
      <c r="E140" s="49"/>
      <c r="F140" s="49"/>
      <c r="H140" s="49"/>
      <c r="I140" s="49"/>
      <c r="O140" s="13"/>
      <c r="P140" s="13"/>
      <c r="Q140" s="13"/>
      <c r="R140" s="13"/>
    </row>
    <row r="141" spans="3:18" ht="14.25" customHeight="1" x14ac:dyDescent="0.25">
      <c r="C141" s="26"/>
      <c r="E141" s="49"/>
      <c r="F141" s="49"/>
      <c r="H141" s="49"/>
      <c r="I141" s="49"/>
      <c r="O141" s="13"/>
      <c r="P141" s="13"/>
      <c r="Q141" s="13"/>
      <c r="R141" s="13"/>
    </row>
    <row r="142" spans="3:18" ht="14.25" customHeight="1" x14ac:dyDescent="0.25">
      <c r="C142" s="26"/>
      <c r="E142" s="49"/>
      <c r="F142" s="49"/>
      <c r="H142" s="49"/>
      <c r="I142" s="49"/>
      <c r="O142" s="13"/>
      <c r="P142" s="13"/>
      <c r="Q142" s="13"/>
      <c r="R142" s="13"/>
    </row>
    <row r="143" spans="3:18" ht="14.25" customHeight="1" x14ac:dyDescent="0.25">
      <c r="C143" s="26"/>
      <c r="E143" s="49"/>
      <c r="F143" s="49"/>
      <c r="H143" s="49"/>
      <c r="I143" s="49"/>
      <c r="O143" s="13"/>
      <c r="P143" s="13"/>
      <c r="Q143" s="13"/>
      <c r="R143" s="13"/>
    </row>
    <row r="144" spans="3:18" ht="14.25" customHeight="1" x14ac:dyDescent="0.25">
      <c r="C144" s="26"/>
      <c r="E144" s="49"/>
      <c r="F144" s="49"/>
      <c r="H144" s="49"/>
      <c r="I144" s="49"/>
      <c r="O144" s="13"/>
      <c r="P144" s="13"/>
      <c r="Q144" s="13"/>
      <c r="R144" s="13"/>
    </row>
    <row r="145" spans="3:18" ht="14.25" customHeight="1" x14ac:dyDescent="0.25">
      <c r="C145" s="26"/>
      <c r="E145" s="49"/>
      <c r="F145" s="49"/>
      <c r="H145" s="49"/>
      <c r="I145" s="49"/>
      <c r="O145" s="13"/>
      <c r="P145" s="13"/>
      <c r="Q145" s="13"/>
      <c r="R145" s="13"/>
    </row>
    <row r="146" spans="3:18" ht="14.25" customHeight="1" x14ac:dyDescent="0.25">
      <c r="C146" s="26"/>
      <c r="E146" s="49"/>
      <c r="F146" s="49"/>
      <c r="H146" s="49"/>
      <c r="I146" s="49"/>
      <c r="O146" s="13"/>
      <c r="P146" s="13"/>
      <c r="Q146" s="13"/>
      <c r="R146" s="13"/>
    </row>
    <row r="147" spans="3:18" ht="14.25" customHeight="1" x14ac:dyDescent="0.25">
      <c r="C147" s="26"/>
      <c r="E147" s="49"/>
      <c r="F147" s="49"/>
      <c r="H147" s="49"/>
      <c r="I147" s="49"/>
      <c r="O147" s="13"/>
      <c r="P147" s="13"/>
      <c r="Q147" s="13"/>
      <c r="R147" s="13"/>
    </row>
    <row r="148" spans="3:18" ht="14.25" customHeight="1" x14ac:dyDescent="0.25">
      <c r="C148" s="26"/>
      <c r="E148" s="49"/>
      <c r="F148" s="49"/>
      <c r="H148" s="49"/>
      <c r="I148" s="49"/>
      <c r="O148" s="13"/>
      <c r="P148" s="13"/>
      <c r="Q148" s="13"/>
      <c r="R148" s="13"/>
    </row>
    <row r="149" spans="3:18" ht="14.25" customHeight="1" x14ac:dyDescent="0.25">
      <c r="C149" s="26"/>
      <c r="E149" s="49"/>
      <c r="F149" s="49"/>
      <c r="H149" s="49"/>
      <c r="I149" s="49"/>
      <c r="O149" s="13"/>
      <c r="P149" s="13"/>
      <c r="Q149" s="13"/>
      <c r="R149" s="13"/>
    </row>
    <row r="150" spans="3:18" ht="14.25" customHeight="1" x14ac:dyDescent="0.25">
      <c r="C150" s="26"/>
      <c r="E150" s="49"/>
      <c r="F150" s="49"/>
      <c r="H150" s="49"/>
      <c r="I150" s="49"/>
      <c r="O150" s="13"/>
      <c r="P150" s="13"/>
      <c r="Q150" s="13"/>
      <c r="R150" s="13"/>
    </row>
    <row r="151" spans="3:18" ht="14.25" customHeight="1" x14ac:dyDescent="0.25">
      <c r="C151" s="26"/>
      <c r="E151" s="49"/>
      <c r="F151" s="49"/>
      <c r="H151" s="49"/>
      <c r="I151" s="49"/>
      <c r="O151" s="13"/>
      <c r="P151" s="13"/>
      <c r="Q151" s="13"/>
      <c r="R151" s="13"/>
    </row>
    <row r="152" spans="3:18" ht="14.25" customHeight="1" x14ac:dyDescent="0.25">
      <c r="C152" s="26"/>
      <c r="E152" s="49"/>
      <c r="F152" s="49"/>
      <c r="H152" s="49"/>
      <c r="I152" s="49"/>
      <c r="O152" s="13"/>
      <c r="P152" s="13"/>
      <c r="Q152" s="13"/>
      <c r="R152" s="13"/>
    </row>
    <row r="153" spans="3:18" ht="14.25" customHeight="1" x14ac:dyDescent="0.25">
      <c r="C153" s="26"/>
      <c r="E153" s="49"/>
      <c r="F153" s="49"/>
      <c r="H153" s="49"/>
      <c r="I153" s="49"/>
      <c r="O153" s="13"/>
      <c r="P153" s="13"/>
      <c r="Q153" s="13"/>
      <c r="R153" s="13"/>
    </row>
    <row r="154" spans="3:18" ht="14.25" customHeight="1" x14ac:dyDescent="0.25">
      <c r="C154" s="26"/>
      <c r="E154" s="49"/>
      <c r="F154" s="49"/>
      <c r="H154" s="49"/>
      <c r="I154" s="49"/>
      <c r="O154" s="13"/>
      <c r="P154" s="13"/>
      <c r="Q154" s="13"/>
      <c r="R154" s="13"/>
    </row>
    <row r="155" spans="3:18" ht="14.25" customHeight="1" x14ac:dyDescent="0.25">
      <c r="C155" s="26"/>
      <c r="E155" s="49"/>
      <c r="F155" s="49"/>
      <c r="H155" s="49"/>
      <c r="I155" s="49"/>
      <c r="O155" s="13"/>
      <c r="P155" s="13"/>
      <c r="Q155" s="13"/>
      <c r="R155" s="13"/>
    </row>
    <row r="156" spans="3:18" ht="14.25" customHeight="1" x14ac:dyDescent="0.25">
      <c r="C156" s="26"/>
      <c r="E156" s="49"/>
      <c r="F156" s="49"/>
      <c r="H156" s="49"/>
      <c r="I156" s="49"/>
      <c r="O156" s="13"/>
      <c r="P156" s="13"/>
      <c r="Q156" s="13"/>
      <c r="R156" s="13"/>
    </row>
    <row r="157" spans="3:18" ht="14.25" customHeight="1" x14ac:dyDescent="0.25">
      <c r="C157" s="26"/>
      <c r="E157" s="49"/>
      <c r="F157" s="49"/>
      <c r="H157" s="49"/>
      <c r="I157" s="49"/>
      <c r="O157" s="13"/>
      <c r="P157" s="13"/>
      <c r="Q157" s="13"/>
      <c r="R157" s="13"/>
    </row>
    <row r="158" spans="3:18" ht="14.25" customHeight="1" x14ac:dyDescent="0.25">
      <c r="C158" s="26"/>
      <c r="E158" s="49"/>
      <c r="F158" s="49"/>
      <c r="H158" s="49"/>
      <c r="I158" s="49"/>
      <c r="O158" s="13"/>
      <c r="P158" s="13"/>
      <c r="Q158" s="13"/>
      <c r="R158" s="13"/>
    </row>
    <row r="159" spans="3:18" ht="14.25" customHeight="1" x14ac:dyDescent="0.25">
      <c r="C159" s="26"/>
      <c r="E159" s="49"/>
      <c r="F159" s="49"/>
      <c r="H159" s="49"/>
      <c r="I159" s="49"/>
      <c r="O159" s="13"/>
      <c r="P159" s="13"/>
      <c r="Q159" s="13"/>
      <c r="R159" s="13"/>
    </row>
    <row r="160" spans="3:18" ht="14.25" customHeight="1" x14ac:dyDescent="0.25">
      <c r="C160" s="26"/>
      <c r="E160" s="49"/>
      <c r="F160" s="49"/>
      <c r="H160" s="49"/>
      <c r="I160" s="49"/>
      <c r="O160" s="13"/>
      <c r="P160" s="13"/>
      <c r="Q160" s="13"/>
      <c r="R160" s="13"/>
    </row>
    <row r="161" spans="3:18" ht="14.25" customHeight="1" x14ac:dyDescent="0.25">
      <c r="C161" s="26"/>
      <c r="E161" s="49"/>
      <c r="F161" s="49"/>
      <c r="H161" s="49"/>
      <c r="I161" s="49"/>
      <c r="O161" s="13"/>
      <c r="P161" s="13"/>
      <c r="Q161" s="13"/>
      <c r="R161" s="13"/>
    </row>
    <row r="162" spans="3:18" ht="14.25" customHeight="1" x14ac:dyDescent="0.25">
      <c r="C162" s="26"/>
      <c r="E162" s="49"/>
      <c r="F162" s="49"/>
      <c r="H162" s="49"/>
      <c r="I162" s="49"/>
      <c r="O162" s="13"/>
      <c r="P162" s="13"/>
      <c r="Q162" s="13"/>
      <c r="R162" s="13"/>
    </row>
    <row r="163" spans="3:18" ht="14.25" customHeight="1" x14ac:dyDescent="0.25">
      <c r="C163" s="26"/>
      <c r="E163" s="49"/>
      <c r="F163" s="49"/>
      <c r="H163" s="49"/>
      <c r="I163" s="49"/>
      <c r="O163" s="13"/>
      <c r="P163" s="13"/>
      <c r="Q163" s="13"/>
      <c r="R163" s="13"/>
    </row>
    <row r="164" spans="3:18" ht="14.25" customHeight="1" x14ac:dyDescent="0.25">
      <c r="C164" s="26"/>
      <c r="E164" s="49"/>
      <c r="F164" s="49"/>
      <c r="H164" s="49"/>
      <c r="I164" s="49"/>
      <c r="O164" s="13"/>
      <c r="P164" s="13"/>
      <c r="Q164" s="13"/>
      <c r="R164" s="13"/>
    </row>
    <row r="165" spans="3:18" ht="14.25" customHeight="1" x14ac:dyDescent="0.25">
      <c r="C165" s="26"/>
      <c r="E165" s="49"/>
      <c r="F165" s="49"/>
      <c r="H165" s="49"/>
      <c r="I165" s="49"/>
      <c r="O165" s="13"/>
      <c r="P165" s="13"/>
      <c r="Q165" s="13"/>
      <c r="R165" s="13"/>
    </row>
    <row r="166" spans="3:18" ht="14.25" customHeight="1" x14ac:dyDescent="0.25">
      <c r="C166" s="26"/>
      <c r="E166" s="49"/>
      <c r="F166" s="49"/>
      <c r="H166" s="49"/>
      <c r="I166" s="49"/>
      <c r="O166" s="13"/>
      <c r="P166" s="13"/>
      <c r="Q166" s="13"/>
      <c r="R166" s="13"/>
    </row>
    <row r="167" spans="3:18" ht="14.25" customHeight="1" x14ac:dyDescent="0.25">
      <c r="C167" s="26"/>
      <c r="E167" s="49"/>
      <c r="F167" s="49"/>
      <c r="H167" s="49"/>
      <c r="I167" s="49"/>
      <c r="O167" s="13"/>
      <c r="P167" s="13"/>
      <c r="Q167" s="13"/>
      <c r="R167" s="13"/>
    </row>
    <row r="168" spans="3:18" ht="14.25" customHeight="1" x14ac:dyDescent="0.25">
      <c r="C168" s="26"/>
      <c r="E168" s="49"/>
      <c r="F168" s="49"/>
      <c r="H168" s="49"/>
      <c r="I168" s="49"/>
      <c r="O168" s="13"/>
      <c r="P168" s="13"/>
      <c r="Q168" s="13"/>
      <c r="R168" s="13"/>
    </row>
    <row r="169" spans="3:18" ht="14.25" customHeight="1" x14ac:dyDescent="0.25">
      <c r="C169" s="26"/>
      <c r="E169" s="49"/>
      <c r="F169" s="49"/>
      <c r="H169" s="49"/>
      <c r="I169" s="49"/>
      <c r="O169" s="13"/>
      <c r="P169" s="13"/>
      <c r="Q169" s="13"/>
      <c r="R169" s="13"/>
    </row>
    <row r="170" spans="3:18" ht="14.25" customHeight="1" x14ac:dyDescent="0.25">
      <c r="C170" s="26"/>
      <c r="E170" s="49"/>
      <c r="F170" s="49"/>
      <c r="H170" s="49"/>
      <c r="I170" s="49"/>
      <c r="O170" s="13"/>
      <c r="P170" s="13"/>
      <c r="Q170" s="13"/>
      <c r="R170" s="13"/>
    </row>
    <row r="171" spans="3:18" ht="14.25" customHeight="1" x14ac:dyDescent="0.25">
      <c r="C171" s="26"/>
      <c r="E171" s="49"/>
      <c r="F171" s="49"/>
      <c r="H171" s="49"/>
      <c r="I171" s="49"/>
      <c r="O171" s="13"/>
      <c r="P171" s="13"/>
      <c r="Q171" s="13"/>
      <c r="R171" s="13"/>
    </row>
    <row r="172" spans="3:18" ht="14.25" customHeight="1" x14ac:dyDescent="0.25">
      <c r="C172" s="26"/>
      <c r="E172" s="49"/>
      <c r="F172" s="49"/>
      <c r="H172" s="49"/>
      <c r="I172" s="49"/>
      <c r="O172" s="13"/>
      <c r="P172" s="13"/>
      <c r="Q172" s="13"/>
      <c r="R172" s="13"/>
    </row>
    <row r="173" spans="3:18" ht="14.25" customHeight="1" x14ac:dyDescent="0.25">
      <c r="C173" s="26"/>
      <c r="E173" s="49"/>
      <c r="F173" s="49"/>
      <c r="H173" s="49"/>
      <c r="I173" s="49"/>
      <c r="O173" s="13"/>
      <c r="P173" s="13"/>
      <c r="Q173" s="13"/>
      <c r="R173" s="13"/>
    </row>
    <row r="174" spans="3:18" ht="14.25" customHeight="1" x14ac:dyDescent="0.25">
      <c r="C174" s="26"/>
      <c r="E174" s="49"/>
      <c r="F174" s="49"/>
      <c r="H174" s="49"/>
      <c r="I174" s="49"/>
      <c r="O174" s="13"/>
      <c r="P174" s="13"/>
      <c r="Q174" s="13"/>
      <c r="R174" s="13"/>
    </row>
    <row r="175" spans="3:18" ht="14.25" customHeight="1" x14ac:dyDescent="0.25">
      <c r="C175" s="26"/>
      <c r="E175" s="49"/>
      <c r="F175" s="49"/>
      <c r="H175" s="49"/>
      <c r="I175" s="49"/>
      <c r="O175" s="13"/>
      <c r="P175" s="13"/>
      <c r="Q175" s="13"/>
      <c r="R175" s="13"/>
    </row>
    <row r="176" spans="3:18" ht="14.25" customHeight="1" x14ac:dyDescent="0.25">
      <c r="C176" s="26"/>
      <c r="E176" s="49"/>
      <c r="F176" s="49"/>
      <c r="H176" s="49"/>
      <c r="I176" s="49"/>
      <c r="O176" s="13"/>
      <c r="P176" s="13"/>
      <c r="Q176" s="13"/>
      <c r="R176" s="13"/>
    </row>
    <row r="177" spans="3:18" ht="14.25" customHeight="1" x14ac:dyDescent="0.25">
      <c r="C177" s="26"/>
      <c r="E177" s="49"/>
      <c r="F177" s="49"/>
      <c r="H177" s="49"/>
      <c r="I177" s="49"/>
      <c r="O177" s="13"/>
      <c r="P177" s="13"/>
      <c r="Q177" s="13"/>
      <c r="R177" s="13"/>
    </row>
    <row r="178" spans="3:18" ht="14.25" customHeight="1" x14ac:dyDescent="0.25">
      <c r="C178" s="26"/>
      <c r="E178" s="49"/>
      <c r="F178" s="49"/>
      <c r="H178" s="49"/>
      <c r="I178" s="49"/>
      <c r="O178" s="13"/>
      <c r="P178" s="13"/>
      <c r="Q178" s="13"/>
      <c r="R178" s="13"/>
    </row>
    <row r="179" spans="3:18" ht="14.25" customHeight="1" x14ac:dyDescent="0.25">
      <c r="C179" s="26"/>
      <c r="E179" s="49"/>
      <c r="F179" s="49"/>
      <c r="H179" s="49"/>
      <c r="I179" s="49"/>
      <c r="O179" s="13"/>
      <c r="P179" s="13"/>
      <c r="Q179" s="13"/>
      <c r="R179" s="13"/>
    </row>
    <row r="180" spans="3:18" ht="14.25" customHeight="1" x14ac:dyDescent="0.25">
      <c r="C180" s="26"/>
      <c r="E180" s="49"/>
      <c r="F180" s="49"/>
      <c r="H180" s="49"/>
      <c r="I180" s="49"/>
      <c r="O180" s="13"/>
      <c r="P180" s="13"/>
      <c r="Q180" s="13"/>
      <c r="R180" s="13"/>
    </row>
    <row r="181" spans="3:18" ht="14.25" customHeight="1" x14ac:dyDescent="0.25">
      <c r="C181" s="26"/>
      <c r="E181" s="49"/>
      <c r="F181" s="49"/>
      <c r="H181" s="49"/>
      <c r="I181" s="49"/>
      <c r="O181" s="13"/>
      <c r="P181" s="13"/>
      <c r="Q181" s="13"/>
      <c r="R181" s="13"/>
    </row>
    <row r="182" spans="3:18" ht="14.25" customHeight="1" x14ac:dyDescent="0.25">
      <c r="C182" s="26"/>
      <c r="E182" s="49"/>
      <c r="F182" s="49"/>
      <c r="H182" s="49"/>
      <c r="I182" s="49"/>
      <c r="O182" s="13"/>
      <c r="P182" s="13"/>
      <c r="Q182" s="13"/>
      <c r="R182" s="13"/>
    </row>
    <row r="183" spans="3:18" ht="14.25" customHeight="1" x14ac:dyDescent="0.25">
      <c r="C183" s="26"/>
      <c r="E183" s="49"/>
      <c r="F183" s="49"/>
      <c r="H183" s="49"/>
      <c r="I183" s="49"/>
      <c r="O183" s="13"/>
      <c r="P183" s="13"/>
      <c r="Q183" s="13"/>
      <c r="R183" s="13"/>
    </row>
    <row r="184" spans="3:18" ht="14.25" customHeight="1" x14ac:dyDescent="0.25">
      <c r="C184" s="26"/>
      <c r="E184" s="49"/>
      <c r="F184" s="49"/>
      <c r="H184" s="49"/>
      <c r="I184" s="49"/>
      <c r="O184" s="13"/>
      <c r="P184" s="13"/>
      <c r="Q184" s="13"/>
      <c r="R184" s="13"/>
    </row>
    <row r="185" spans="3:18" ht="14.25" customHeight="1" x14ac:dyDescent="0.25">
      <c r="C185" s="26"/>
      <c r="E185" s="49"/>
      <c r="F185" s="49"/>
      <c r="H185" s="49"/>
      <c r="I185" s="49"/>
      <c r="O185" s="13"/>
      <c r="P185" s="13"/>
      <c r="Q185" s="13"/>
      <c r="R185" s="13"/>
    </row>
    <row r="186" spans="3:18" ht="14.25" customHeight="1" x14ac:dyDescent="0.25">
      <c r="C186" s="26"/>
      <c r="E186" s="49"/>
      <c r="F186" s="49"/>
      <c r="H186" s="49"/>
      <c r="I186" s="49"/>
      <c r="O186" s="13"/>
      <c r="P186" s="13"/>
      <c r="Q186" s="13"/>
      <c r="R186" s="13"/>
    </row>
    <row r="187" spans="3:18" ht="14.25" customHeight="1" x14ac:dyDescent="0.25">
      <c r="C187" s="26"/>
      <c r="E187" s="49"/>
      <c r="F187" s="49"/>
      <c r="H187" s="49"/>
      <c r="I187" s="49"/>
      <c r="O187" s="13"/>
      <c r="P187" s="13"/>
      <c r="Q187" s="13"/>
      <c r="R187" s="13"/>
    </row>
    <row r="188" spans="3:18" ht="14.25" customHeight="1" x14ac:dyDescent="0.25">
      <c r="C188" s="26"/>
      <c r="E188" s="49"/>
      <c r="F188" s="49"/>
      <c r="H188" s="49"/>
      <c r="I188" s="49"/>
      <c r="O188" s="13"/>
      <c r="P188" s="13"/>
      <c r="Q188" s="13"/>
      <c r="R188" s="13"/>
    </row>
    <row r="189" spans="3:18" ht="14.25" customHeight="1" x14ac:dyDescent="0.25">
      <c r="C189" s="26"/>
      <c r="E189" s="49"/>
      <c r="F189" s="49"/>
      <c r="H189" s="49"/>
      <c r="I189" s="49"/>
      <c r="O189" s="13"/>
      <c r="P189" s="13"/>
      <c r="Q189" s="13"/>
      <c r="R189" s="13"/>
    </row>
    <row r="190" spans="3:18" ht="14.25" customHeight="1" x14ac:dyDescent="0.25">
      <c r="C190" s="26"/>
      <c r="E190" s="49"/>
      <c r="F190" s="49"/>
      <c r="H190" s="49"/>
      <c r="I190" s="49"/>
      <c r="O190" s="13"/>
      <c r="P190" s="13"/>
      <c r="Q190" s="13"/>
      <c r="R190" s="13"/>
    </row>
    <row r="191" spans="3:18" ht="14.25" customHeight="1" x14ac:dyDescent="0.25">
      <c r="C191" s="26"/>
      <c r="E191" s="49"/>
      <c r="F191" s="49"/>
      <c r="H191" s="49"/>
      <c r="I191" s="49"/>
      <c r="O191" s="13"/>
      <c r="P191" s="13"/>
      <c r="Q191" s="13"/>
      <c r="R191" s="13"/>
    </row>
    <row r="192" spans="3:18" ht="14.25" customHeight="1" x14ac:dyDescent="0.25">
      <c r="C192" s="26"/>
      <c r="E192" s="49"/>
      <c r="F192" s="49"/>
      <c r="H192" s="49"/>
      <c r="I192" s="49"/>
      <c r="O192" s="13"/>
      <c r="P192" s="13"/>
      <c r="Q192" s="13"/>
      <c r="R192" s="13"/>
    </row>
    <row r="193" spans="3:18" ht="14.25" customHeight="1" x14ac:dyDescent="0.25">
      <c r="C193" s="26"/>
      <c r="E193" s="49"/>
      <c r="F193" s="49"/>
      <c r="H193" s="49"/>
      <c r="I193" s="49"/>
      <c r="O193" s="13"/>
      <c r="P193" s="13"/>
      <c r="Q193" s="13"/>
      <c r="R193" s="13"/>
    </row>
    <row r="194" spans="3:18" ht="14.25" customHeight="1" x14ac:dyDescent="0.25">
      <c r="C194" s="26"/>
      <c r="E194" s="49"/>
      <c r="F194" s="49"/>
      <c r="H194" s="49"/>
      <c r="I194" s="49"/>
      <c r="O194" s="13"/>
      <c r="P194" s="13"/>
      <c r="Q194" s="13"/>
      <c r="R194" s="13"/>
    </row>
    <row r="195" spans="3:18" ht="14.25" customHeight="1" x14ac:dyDescent="0.25">
      <c r="C195" s="26"/>
      <c r="E195" s="49"/>
      <c r="F195" s="49"/>
      <c r="H195" s="49"/>
      <c r="I195" s="49"/>
      <c r="O195" s="13"/>
      <c r="P195" s="13"/>
      <c r="Q195" s="13"/>
      <c r="R195" s="13"/>
    </row>
    <row r="196" spans="3:18" ht="14.25" customHeight="1" x14ac:dyDescent="0.25">
      <c r="C196" s="26"/>
      <c r="E196" s="49"/>
      <c r="F196" s="49"/>
      <c r="H196" s="49"/>
      <c r="I196" s="49"/>
      <c r="O196" s="13"/>
      <c r="P196" s="13"/>
      <c r="Q196" s="13"/>
      <c r="R196" s="13"/>
    </row>
    <row r="197" spans="3:18" ht="14.25" customHeight="1" x14ac:dyDescent="0.25">
      <c r="C197" s="26"/>
      <c r="E197" s="49"/>
      <c r="F197" s="49"/>
      <c r="H197" s="49"/>
      <c r="I197" s="49"/>
      <c r="O197" s="13"/>
      <c r="P197" s="13"/>
      <c r="Q197" s="13"/>
      <c r="R197" s="13"/>
    </row>
    <row r="198" spans="3:18" ht="14.25" customHeight="1" x14ac:dyDescent="0.25">
      <c r="C198" s="26"/>
      <c r="E198" s="49"/>
      <c r="F198" s="49"/>
      <c r="H198" s="49"/>
      <c r="I198" s="49"/>
      <c r="O198" s="13"/>
      <c r="P198" s="13"/>
      <c r="Q198" s="13"/>
      <c r="R198" s="13"/>
    </row>
    <row r="199" spans="3:18" ht="14.25" customHeight="1" x14ac:dyDescent="0.25">
      <c r="C199" s="26"/>
      <c r="E199" s="49"/>
      <c r="F199" s="49"/>
      <c r="H199" s="49"/>
      <c r="I199" s="49"/>
      <c r="O199" s="13"/>
      <c r="P199" s="13"/>
      <c r="Q199" s="13"/>
      <c r="R199" s="13"/>
    </row>
    <row r="200" spans="3:18" ht="14.25" customHeight="1" x14ac:dyDescent="0.25">
      <c r="C200" s="26"/>
      <c r="E200" s="49"/>
      <c r="F200" s="49"/>
      <c r="H200" s="49"/>
      <c r="I200" s="49"/>
      <c r="O200" s="13"/>
      <c r="P200" s="13"/>
      <c r="Q200" s="13"/>
      <c r="R200" s="13"/>
    </row>
    <row r="201" spans="3:18" ht="14.25" customHeight="1" x14ac:dyDescent="0.25">
      <c r="C201" s="26"/>
      <c r="E201" s="49"/>
      <c r="F201" s="49"/>
      <c r="H201" s="49"/>
      <c r="I201" s="49"/>
      <c r="O201" s="13"/>
      <c r="P201" s="13"/>
      <c r="Q201" s="13"/>
      <c r="R201" s="13"/>
    </row>
    <row r="202" spans="3:18" ht="14.25" customHeight="1" x14ac:dyDescent="0.25">
      <c r="C202" s="26"/>
      <c r="E202" s="49"/>
      <c r="F202" s="49"/>
      <c r="H202" s="49"/>
      <c r="I202" s="49"/>
      <c r="O202" s="13"/>
      <c r="P202" s="13"/>
      <c r="Q202" s="13"/>
      <c r="R202" s="13"/>
    </row>
    <row r="203" spans="3:18" ht="14.25" customHeight="1" x14ac:dyDescent="0.25">
      <c r="C203" s="26"/>
      <c r="E203" s="49"/>
      <c r="F203" s="49"/>
      <c r="H203" s="49"/>
      <c r="I203" s="49"/>
      <c r="O203" s="13"/>
      <c r="P203" s="13"/>
      <c r="Q203" s="13"/>
      <c r="R203" s="13"/>
    </row>
    <row r="204" spans="3:18" ht="14.25" customHeight="1" x14ac:dyDescent="0.25">
      <c r="C204" s="26"/>
      <c r="E204" s="49"/>
      <c r="F204" s="49"/>
      <c r="H204" s="49"/>
      <c r="I204" s="49"/>
      <c r="O204" s="13"/>
      <c r="P204" s="13"/>
      <c r="Q204" s="13"/>
      <c r="R204" s="13"/>
    </row>
    <row r="205" spans="3:18" ht="14.25" customHeight="1" x14ac:dyDescent="0.25">
      <c r="C205" s="26"/>
      <c r="E205" s="49"/>
      <c r="F205" s="49"/>
      <c r="H205" s="49"/>
      <c r="I205" s="49"/>
      <c r="O205" s="13"/>
      <c r="P205" s="13"/>
      <c r="Q205" s="13"/>
      <c r="R205" s="13"/>
    </row>
    <row r="206" spans="3:18" ht="14.25" customHeight="1" x14ac:dyDescent="0.25">
      <c r="C206" s="26"/>
      <c r="E206" s="49"/>
      <c r="F206" s="49"/>
      <c r="H206" s="49"/>
      <c r="I206" s="49"/>
      <c r="O206" s="13"/>
      <c r="P206" s="13"/>
      <c r="Q206" s="13"/>
      <c r="R206" s="13"/>
    </row>
    <row r="207" spans="3:18" ht="14.25" customHeight="1" x14ac:dyDescent="0.25">
      <c r="C207" s="26"/>
      <c r="E207" s="49"/>
      <c r="F207" s="49"/>
      <c r="H207" s="49"/>
      <c r="I207" s="49"/>
      <c r="O207" s="13"/>
      <c r="P207" s="13"/>
      <c r="Q207" s="13"/>
      <c r="R207" s="13"/>
    </row>
    <row r="208" spans="3:18" ht="14.25" customHeight="1" x14ac:dyDescent="0.25">
      <c r="C208" s="26"/>
      <c r="E208" s="49"/>
      <c r="F208" s="49"/>
      <c r="H208" s="49"/>
      <c r="I208" s="49"/>
      <c r="O208" s="13"/>
      <c r="P208" s="13"/>
      <c r="Q208" s="13"/>
      <c r="R208" s="13"/>
    </row>
    <row r="209" spans="3:18" ht="14.25" customHeight="1" x14ac:dyDescent="0.25">
      <c r="C209" s="26"/>
      <c r="E209" s="49"/>
      <c r="F209" s="49"/>
      <c r="H209" s="49"/>
      <c r="I209" s="49"/>
      <c r="O209" s="13"/>
      <c r="P209" s="13"/>
      <c r="Q209" s="13"/>
      <c r="R209" s="13"/>
    </row>
    <row r="210" spans="3:18" ht="14.25" customHeight="1" x14ac:dyDescent="0.25">
      <c r="C210" s="26"/>
      <c r="E210" s="49"/>
      <c r="F210" s="49"/>
      <c r="H210" s="49"/>
      <c r="I210" s="49"/>
      <c r="O210" s="13"/>
      <c r="P210" s="13"/>
      <c r="Q210" s="13"/>
      <c r="R210" s="13"/>
    </row>
    <row r="211" spans="3:18" ht="14.25" customHeight="1" x14ac:dyDescent="0.25">
      <c r="C211" s="26"/>
      <c r="E211" s="49"/>
      <c r="F211" s="49"/>
      <c r="H211" s="49"/>
      <c r="I211" s="49"/>
      <c r="O211" s="13"/>
      <c r="P211" s="13"/>
      <c r="Q211" s="13"/>
      <c r="R211" s="13"/>
    </row>
    <row r="212" spans="3:18" ht="14.25" customHeight="1" x14ac:dyDescent="0.25">
      <c r="C212" s="26"/>
      <c r="E212" s="49"/>
      <c r="F212" s="49"/>
      <c r="H212" s="49"/>
      <c r="I212" s="49"/>
      <c r="O212" s="13"/>
      <c r="P212" s="13"/>
      <c r="Q212" s="13"/>
      <c r="R212" s="13"/>
    </row>
    <row r="213" spans="3:18" ht="14.25" customHeight="1" x14ac:dyDescent="0.25">
      <c r="C213" s="26"/>
      <c r="E213" s="49"/>
      <c r="F213" s="49"/>
      <c r="H213" s="49"/>
      <c r="I213" s="49"/>
      <c r="O213" s="13"/>
      <c r="P213" s="13"/>
      <c r="Q213" s="13"/>
      <c r="R213" s="13"/>
    </row>
    <row r="214" spans="3:18" ht="14.25" customHeight="1" x14ac:dyDescent="0.25">
      <c r="C214" s="26"/>
      <c r="E214" s="49"/>
      <c r="F214" s="49"/>
      <c r="H214" s="49"/>
      <c r="I214" s="49"/>
      <c r="O214" s="13"/>
      <c r="P214" s="13"/>
      <c r="Q214" s="13"/>
      <c r="R214" s="13"/>
    </row>
    <row r="215" spans="3:18" ht="14.25" customHeight="1" x14ac:dyDescent="0.25">
      <c r="C215" s="26"/>
      <c r="E215" s="49"/>
      <c r="F215" s="49"/>
      <c r="H215" s="49"/>
      <c r="I215" s="49"/>
      <c r="O215" s="13"/>
      <c r="P215" s="13"/>
      <c r="Q215" s="13"/>
      <c r="R215" s="13"/>
    </row>
    <row r="216" spans="3:18" ht="14.25" customHeight="1" x14ac:dyDescent="0.25">
      <c r="C216" s="26"/>
      <c r="E216" s="49"/>
      <c r="F216" s="49"/>
      <c r="H216" s="49"/>
      <c r="I216" s="49"/>
      <c r="O216" s="13"/>
      <c r="P216" s="13"/>
      <c r="Q216" s="13"/>
      <c r="R216" s="13"/>
    </row>
    <row r="217" spans="3:18" ht="14.25" customHeight="1" x14ac:dyDescent="0.25">
      <c r="C217" s="26"/>
      <c r="E217" s="49"/>
      <c r="F217" s="49"/>
      <c r="H217" s="49"/>
      <c r="I217" s="49"/>
      <c r="O217" s="13"/>
      <c r="P217" s="13"/>
      <c r="Q217" s="13"/>
      <c r="R217" s="13"/>
    </row>
    <row r="218" spans="3:18" ht="14.25" customHeight="1" x14ac:dyDescent="0.25">
      <c r="C218" s="26"/>
      <c r="E218" s="49"/>
      <c r="F218" s="49"/>
      <c r="H218" s="49"/>
      <c r="I218" s="49"/>
      <c r="O218" s="13"/>
      <c r="P218" s="13"/>
      <c r="Q218" s="13"/>
      <c r="R218" s="13"/>
    </row>
    <row r="219" spans="3:18" ht="14.25" customHeight="1" x14ac:dyDescent="0.25">
      <c r="C219" s="26"/>
      <c r="E219" s="49"/>
      <c r="F219" s="49"/>
      <c r="H219" s="49"/>
      <c r="I219" s="49"/>
      <c r="O219" s="13"/>
      <c r="P219" s="13"/>
      <c r="Q219" s="13"/>
      <c r="R219" s="13"/>
    </row>
    <row r="220" spans="3:18" ht="14.25" customHeight="1" x14ac:dyDescent="0.25">
      <c r="C220" s="26"/>
      <c r="E220" s="49"/>
      <c r="F220" s="49"/>
      <c r="H220" s="49"/>
      <c r="I220" s="49"/>
      <c r="O220" s="13"/>
      <c r="P220" s="13"/>
      <c r="Q220" s="13"/>
      <c r="R220" s="13"/>
    </row>
    <row r="221" spans="3:18" ht="14.25" customHeight="1" x14ac:dyDescent="0.25">
      <c r="C221" s="26"/>
      <c r="E221" s="49"/>
      <c r="F221" s="49"/>
      <c r="H221" s="49"/>
      <c r="I221" s="49"/>
      <c r="O221" s="13"/>
      <c r="P221" s="13"/>
      <c r="Q221" s="13"/>
      <c r="R221" s="13"/>
    </row>
    <row r="222" spans="3:18" ht="14.25" customHeight="1" x14ac:dyDescent="0.25">
      <c r="C222" s="26"/>
      <c r="E222" s="49"/>
      <c r="F222" s="49"/>
      <c r="H222" s="49"/>
      <c r="I222" s="49"/>
      <c r="O222" s="13"/>
      <c r="P222" s="13"/>
      <c r="Q222" s="13"/>
      <c r="R222" s="13"/>
    </row>
    <row r="223" spans="3:18" ht="14.25" customHeight="1" x14ac:dyDescent="0.25">
      <c r="C223" s="26"/>
      <c r="E223" s="49"/>
      <c r="F223" s="49"/>
      <c r="H223" s="49"/>
      <c r="I223" s="49"/>
      <c r="O223" s="13"/>
      <c r="P223" s="13"/>
      <c r="Q223" s="13"/>
      <c r="R223" s="13"/>
    </row>
    <row r="224" spans="3:18" ht="14.25" customHeight="1" x14ac:dyDescent="0.25">
      <c r="C224" s="26"/>
      <c r="E224" s="49"/>
      <c r="F224" s="49"/>
      <c r="H224" s="49"/>
      <c r="I224" s="49"/>
      <c r="O224" s="13"/>
      <c r="P224" s="13"/>
      <c r="Q224" s="13"/>
      <c r="R224" s="13"/>
    </row>
    <row r="225" spans="3:18" ht="14.25" customHeight="1" x14ac:dyDescent="0.25">
      <c r="C225" s="26"/>
      <c r="E225" s="49"/>
      <c r="F225" s="49"/>
      <c r="H225" s="49"/>
      <c r="I225" s="49"/>
      <c r="O225" s="13"/>
      <c r="P225" s="13"/>
      <c r="Q225" s="13"/>
      <c r="R225" s="13"/>
    </row>
    <row r="226" spans="3:18" ht="14.25" customHeight="1" x14ac:dyDescent="0.25">
      <c r="C226" s="26"/>
      <c r="E226" s="49"/>
      <c r="F226" s="49"/>
      <c r="H226" s="49"/>
      <c r="I226" s="49"/>
      <c r="O226" s="13"/>
      <c r="P226" s="13"/>
      <c r="Q226" s="13"/>
      <c r="R226" s="13"/>
    </row>
    <row r="227" spans="3:18" ht="14.25" customHeight="1" x14ac:dyDescent="0.25">
      <c r="C227" s="26"/>
      <c r="E227" s="49"/>
      <c r="F227" s="49"/>
      <c r="H227" s="49"/>
      <c r="I227" s="49"/>
      <c r="O227" s="13"/>
      <c r="P227" s="13"/>
      <c r="Q227" s="13"/>
      <c r="R227" s="13"/>
    </row>
    <row r="228" spans="3:18" ht="14.25" customHeight="1" x14ac:dyDescent="0.25">
      <c r="C228" s="26"/>
      <c r="E228" s="49"/>
      <c r="F228" s="49"/>
      <c r="H228" s="49"/>
      <c r="I228" s="49"/>
      <c r="O228" s="13"/>
      <c r="P228" s="13"/>
      <c r="Q228" s="13"/>
      <c r="R228" s="13"/>
    </row>
    <row r="229" spans="3:18" ht="14.25" customHeight="1" x14ac:dyDescent="0.25">
      <c r="C229" s="26"/>
      <c r="E229" s="49"/>
      <c r="F229" s="49"/>
      <c r="H229" s="49"/>
      <c r="I229" s="49"/>
      <c r="O229" s="13"/>
      <c r="P229" s="13"/>
      <c r="Q229" s="13"/>
      <c r="R229" s="13"/>
    </row>
    <row r="230" spans="3:18" ht="14.25" customHeight="1" x14ac:dyDescent="0.25">
      <c r="C230" s="26"/>
      <c r="E230" s="49"/>
      <c r="F230" s="49"/>
      <c r="H230" s="49"/>
      <c r="I230" s="49"/>
      <c r="O230" s="13"/>
      <c r="P230" s="13"/>
      <c r="Q230" s="13"/>
      <c r="R230" s="13"/>
    </row>
    <row r="231" spans="3:18" ht="14.25" customHeight="1" x14ac:dyDescent="0.25">
      <c r="C231" s="26"/>
      <c r="E231" s="49"/>
      <c r="F231" s="49"/>
      <c r="H231" s="49"/>
      <c r="I231" s="49"/>
      <c r="O231" s="13"/>
      <c r="P231" s="13"/>
      <c r="Q231" s="13"/>
      <c r="R231" s="13"/>
    </row>
    <row r="232" spans="3:18" ht="14.25" customHeight="1" x14ac:dyDescent="0.25">
      <c r="C232" s="26"/>
      <c r="E232" s="49"/>
      <c r="F232" s="49"/>
      <c r="H232" s="49"/>
      <c r="I232" s="49"/>
      <c r="O232" s="13"/>
      <c r="P232" s="13"/>
      <c r="Q232" s="13"/>
      <c r="R232" s="13"/>
    </row>
    <row r="233" spans="3:18" ht="14.25" customHeight="1" x14ac:dyDescent="0.25">
      <c r="C233" s="26"/>
      <c r="E233" s="49"/>
      <c r="F233" s="49"/>
      <c r="H233" s="49"/>
      <c r="I233" s="49"/>
      <c r="O233" s="13"/>
      <c r="P233" s="13"/>
      <c r="Q233" s="13"/>
      <c r="R233" s="13"/>
    </row>
    <row r="234" spans="3:18" ht="14.25" customHeight="1" x14ac:dyDescent="0.25">
      <c r="C234" s="26"/>
      <c r="E234" s="49"/>
      <c r="F234" s="49"/>
      <c r="H234" s="49"/>
      <c r="I234" s="49"/>
      <c r="O234" s="13"/>
      <c r="P234" s="13"/>
      <c r="Q234" s="13"/>
      <c r="R234" s="13"/>
    </row>
    <row r="235" spans="3:18" ht="14.25" customHeight="1" x14ac:dyDescent="0.25">
      <c r="C235" s="26"/>
      <c r="E235" s="49"/>
      <c r="F235" s="49"/>
      <c r="H235" s="49"/>
      <c r="I235" s="49"/>
      <c r="O235" s="13"/>
      <c r="P235" s="13"/>
      <c r="Q235" s="13"/>
      <c r="R235" s="13"/>
    </row>
    <row r="236" spans="3:18" ht="14.25" customHeight="1" x14ac:dyDescent="0.25">
      <c r="C236" s="26"/>
      <c r="E236" s="49"/>
      <c r="F236" s="49"/>
      <c r="H236" s="49"/>
      <c r="I236" s="49"/>
      <c r="O236" s="13"/>
      <c r="P236" s="13"/>
      <c r="Q236" s="13"/>
      <c r="R236" s="13"/>
    </row>
    <row r="237" spans="3:18" ht="14.25" customHeight="1" x14ac:dyDescent="0.25">
      <c r="C237" s="26"/>
      <c r="E237" s="49"/>
      <c r="F237" s="49"/>
      <c r="H237" s="49"/>
      <c r="I237" s="49"/>
      <c r="O237" s="13"/>
      <c r="P237" s="13"/>
      <c r="Q237" s="13"/>
      <c r="R237" s="13"/>
    </row>
    <row r="238" spans="3:18" ht="14.25" customHeight="1" x14ac:dyDescent="0.25">
      <c r="C238" s="26"/>
      <c r="E238" s="49"/>
      <c r="F238" s="49"/>
      <c r="H238" s="49"/>
      <c r="I238" s="49"/>
      <c r="O238" s="13"/>
      <c r="P238" s="13"/>
      <c r="Q238" s="13"/>
      <c r="R238" s="13"/>
    </row>
    <row r="239" spans="3:18" ht="14.25" customHeight="1" x14ac:dyDescent="0.25">
      <c r="C239" s="26"/>
      <c r="E239" s="49"/>
      <c r="F239" s="49"/>
      <c r="H239" s="49"/>
      <c r="I239" s="49"/>
      <c r="O239" s="13"/>
      <c r="P239" s="13"/>
      <c r="Q239" s="13"/>
      <c r="R239" s="13"/>
    </row>
    <row r="240" spans="3:18" ht="14.25" customHeight="1" x14ac:dyDescent="0.25">
      <c r="C240" s="26"/>
      <c r="E240" s="49"/>
      <c r="F240" s="49"/>
      <c r="H240" s="49"/>
      <c r="I240" s="49"/>
      <c r="O240" s="13"/>
      <c r="P240" s="13"/>
      <c r="Q240" s="13"/>
      <c r="R240" s="13"/>
    </row>
    <row r="241" spans="3:18" ht="14.25" customHeight="1" x14ac:dyDescent="0.25">
      <c r="C241" s="26"/>
      <c r="E241" s="49"/>
      <c r="F241" s="49"/>
      <c r="H241" s="49"/>
      <c r="I241" s="49"/>
      <c r="O241" s="13"/>
      <c r="P241" s="13"/>
      <c r="Q241" s="13"/>
      <c r="R241" s="13"/>
    </row>
    <row r="242" spans="3:18" ht="14.25" customHeight="1" x14ac:dyDescent="0.25">
      <c r="C242" s="26"/>
      <c r="E242" s="49"/>
      <c r="F242" s="49"/>
      <c r="H242" s="49"/>
      <c r="I242" s="49"/>
      <c r="O242" s="13"/>
      <c r="P242" s="13"/>
      <c r="Q242" s="13"/>
      <c r="R242" s="13"/>
    </row>
    <row r="243" spans="3:18" ht="14.25" customHeight="1" x14ac:dyDescent="0.25">
      <c r="C243" s="26"/>
      <c r="E243" s="49"/>
      <c r="F243" s="49"/>
      <c r="H243" s="49"/>
      <c r="I243" s="49"/>
      <c r="O243" s="13"/>
      <c r="P243" s="13"/>
      <c r="Q243" s="13"/>
      <c r="R243" s="13"/>
    </row>
    <row r="244" spans="3:18" ht="14.25" customHeight="1" x14ac:dyDescent="0.25">
      <c r="C244" s="26"/>
      <c r="E244" s="49"/>
      <c r="F244" s="49"/>
      <c r="H244" s="49"/>
      <c r="I244" s="49"/>
      <c r="O244" s="13"/>
      <c r="P244" s="13"/>
      <c r="Q244" s="13"/>
      <c r="R244" s="13"/>
    </row>
    <row r="245" spans="3:18" ht="14.25" customHeight="1" x14ac:dyDescent="0.25">
      <c r="C245" s="26"/>
      <c r="E245" s="49"/>
      <c r="F245" s="49"/>
      <c r="H245" s="49"/>
      <c r="I245" s="49"/>
      <c r="O245" s="13"/>
      <c r="P245" s="13"/>
      <c r="Q245" s="13"/>
      <c r="R245" s="13"/>
    </row>
    <row r="246" spans="3:18" ht="14.25" customHeight="1" x14ac:dyDescent="0.25">
      <c r="C246" s="26"/>
      <c r="E246" s="49"/>
      <c r="F246" s="49"/>
      <c r="H246" s="49"/>
      <c r="I246" s="49"/>
      <c r="O246" s="13"/>
      <c r="P246" s="13"/>
      <c r="Q246" s="13"/>
      <c r="R246" s="13"/>
    </row>
    <row r="247" spans="3:18" ht="14.25" customHeight="1" x14ac:dyDescent="0.25">
      <c r="C247" s="26"/>
      <c r="E247" s="49"/>
      <c r="F247" s="49"/>
      <c r="H247" s="49"/>
      <c r="I247" s="49"/>
      <c r="O247" s="13"/>
      <c r="P247" s="13"/>
      <c r="Q247" s="13"/>
      <c r="R247" s="13"/>
    </row>
    <row r="248" spans="3:18" ht="14.25" customHeight="1" x14ac:dyDescent="0.25">
      <c r="C248" s="26"/>
      <c r="E248" s="49"/>
      <c r="F248" s="49"/>
      <c r="H248" s="49"/>
      <c r="I248" s="49"/>
      <c r="O248" s="13"/>
      <c r="P248" s="13"/>
      <c r="Q248" s="13"/>
      <c r="R248" s="13"/>
    </row>
    <row r="249" spans="3:18" ht="14.25" customHeight="1" x14ac:dyDescent="0.25">
      <c r="C249" s="26"/>
      <c r="E249" s="49"/>
      <c r="F249" s="49"/>
      <c r="H249" s="49"/>
      <c r="I249" s="49"/>
      <c r="O249" s="13"/>
      <c r="P249" s="13"/>
      <c r="Q249" s="13"/>
      <c r="R249" s="13"/>
    </row>
    <row r="250" spans="3:18" ht="14.25" customHeight="1" x14ac:dyDescent="0.25">
      <c r="C250" s="26"/>
      <c r="E250" s="49"/>
      <c r="F250" s="49"/>
      <c r="H250" s="49"/>
      <c r="I250" s="49"/>
      <c r="O250" s="13"/>
      <c r="P250" s="13"/>
      <c r="Q250" s="13"/>
      <c r="R250" s="13"/>
    </row>
    <row r="251" spans="3:18" ht="14.25" customHeight="1" x14ac:dyDescent="0.25">
      <c r="C251" s="26"/>
      <c r="E251" s="49"/>
      <c r="F251" s="49"/>
      <c r="H251" s="49"/>
      <c r="I251" s="49"/>
      <c r="O251" s="13"/>
      <c r="P251" s="13"/>
      <c r="Q251" s="13"/>
      <c r="R251" s="13"/>
    </row>
    <row r="252" spans="3:18" ht="14.25" customHeight="1" x14ac:dyDescent="0.25">
      <c r="C252" s="26"/>
      <c r="E252" s="49"/>
      <c r="F252" s="49"/>
      <c r="H252" s="49"/>
      <c r="I252" s="49"/>
      <c r="O252" s="13"/>
      <c r="P252" s="13"/>
      <c r="Q252" s="13"/>
      <c r="R252" s="13"/>
    </row>
    <row r="253" spans="3:18" ht="14.25" customHeight="1" x14ac:dyDescent="0.25">
      <c r="C253" s="26"/>
      <c r="E253" s="49"/>
      <c r="F253" s="49"/>
      <c r="H253" s="49"/>
      <c r="I253" s="49"/>
      <c r="O253" s="13"/>
      <c r="P253" s="13"/>
      <c r="Q253" s="13"/>
      <c r="R253" s="13"/>
    </row>
    <row r="254" spans="3:18" ht="14.25" customHeight="1" x14ac:dyDescent="0.25">
      <c r="C254" s="26"/>
      <c r="E254" s="49"/>
      <c r="F254" s="49"/>
      <c r="H254" s="49"/>
      <c r="I254" s="49"/>
      <c r="O254" s="13"/>
      <c r="P254" s="13"/>
      <c r="Q254" s="13"/>
      <c r="R254" s="13"/>
    </row>
    <row r="255" spans="3:18" ht="14.25" customHeight="1" x14ac:dyDescent="0.25">
      <c r="C255" s="26"/>
      <c r="E255" s="49"/>
      <c r="F255" s="49"/>
      <c r="H255" s="49"/>
      <c r="I255" s="49"/>
      <c r="O255" s="13"/>
      <c r="P255" s="13"/>
      <c r="Q255" s="13"/>
      <c r="R255" s="13"/>
    </row>
    <row r="256" spans="3:18" ht="14.25" customHeight="1" x14ac:dyDescent="0.25">
      <c r="C256" s="26"/>
      <c r="E256" s="49"/>
      <c r="F256" s="49"/>
      <c r="H256" s="49"/>
      <c r="I256" s="49"/>
      <c r="O256" s="13"/>
      <c r="P256" s="13"/>
      <c r="Q256" s="13"/>
      <c r="R256" s="13"/>
    </row>
    <row r="257" spans="3:18" ht="14.25" customHeight="1" x14ac:dyDescent="0.25">
      <c r="C257" s="26"/>
      <c r="E257" s="49"/>
      <c r="F257" s="49"/>
      <c r="H257" s="49"/>
      <c r="I257" s="49"/>
      <c r="O257" s="13"/>
      <c r="P257" s="13"/>
      <c r="Q257" s="13"/>
      <c r="R257" s="13"/>
    </row>
    <row r="258" spans="3:18" ht="15.75" customHeight="1" x14ac:dyDescent="0.25">
      <c r="C258" s="26"/>
      <c r="O258" s="13"/>
      <c r="P258" s="13"/>
      <c r="Q258" s="13"/>
      <c r="R258" s="13"/>
    </row>
    <row r="259" spans="3:18" ht="15.75" customHeight="1" x14ac:dyDescent="0.25">
      <c r="C259" s="26"/>
      <c r="O259" s="13"/>
      <c r="P259" s="13"/>
      <c r="Q259" s="13"/>
      <c r="R259" s="13"/>
    </row>
    <row r="260" spans="3:18" ht="15.75" customHeight="1" x14ac:dyDescent="0.25">
      <c r="C260" s="26"/>
      <c r="O260" s="13"/>
      <c r="P260" s="13"/>
      <c r="Q260" s="13"/>
      <c r="R260" s="13"/>
    </row>
    <row r="261" spans="3:18" ht="15.75" customHeight="1" x14ac:dyDescent="0.25">
      <c r="C261" s="26"/>
      <c r="O261" s="13"/>
      <c r="P261" s="13"/>
      <c r="Q261" s="13"/>
      <c r="R261" s="13"/>
    </row>
    <row r="262" spans="3:18" ht="15.75" customHeight="1" x14ac:dyDescent="0.25">
      <c r="C262" s="26"/>
      <c r="O262" s="13"/>
      <c r="P262" s="13"/>
      <c r="Q262" s="13"/>
      <c r="R262" s="13"/>
    </row>
    <row r="263" spans="3:18" ht="15.75" customHeight="1" x14ac:dyDescent="0.25">
      <c r="C263" s="26"/>
      <c r="O263" s="13"/>
      <c r="P263" s="13"/>
      <c r="Q263" s="13"/>
      <c r="R263" s="13"/>
    </row>
    <row r="264" spans="3:18" ht="15.75" customHeight="1" x14ac:dyDescent="0.25">
      <c r="C264" s="26"/>
      <c r="O264" s="13"/>
      <c r="P264" s="13"/>
      <c r="Q264" s="13"/>
      <c r="R264" s="13"/>
    </row>
    <row r="265" spans="3:18" ht="15.75" customHeight="1" x14ac:dyDescent="0.25">
      <c r="C265" s="26"/>
      <c r="O265" s="13"/>
      <c r="P265" s="13"/>
      <c r="Q265" s="13"/>
      <c r="R265" s="13"/>
    </row>
    <row r="266" spans="3:18" ht="15.75" customHeight="1" x14ac:dyDescent="0.25">
      <c r="C266" s="26"/>
      <c r="O266" s="13"/>
      <c r="P266" s="13"/>
      <c r="Q266" s="13"/>
      <c r="R266" s="13"/>
    </row>
    <row r="267" spans="3:18" ht="15.75" customHeight="1" x14ac:dyDescent="0.25">
      <c r="C267" s="26"/>
      <c r="O267" s="13"/>
      <c r="P267" s="13"/>
      <c r="Q267" s="13"/>
      <c r="R267" s="13"/>
    </row>
    <row r="268" spans="3:18" ht="15.75" customHeight="1" x14ac:dyDescent="0.25">
      <c r="C268" s="26"/>
      <c r="O268" s="13"/>
      <c r="P268" s="13"/>
      <c r="Q268" s="13"/>
      <c r="R268" s="13"/>
    </row>
    <row r="269" spans="3:18" ht="15.75" customHeight="1" x14ac:dyDescent="0.25">
      <c r="C269" s="26"/>
      <c r="O269" s="13"/>
      <c r="P269" s="13"/>
      <c r="Q269" s="13"/>
      <c r="R269" s="13"/>
    </row>
    <row r="270" spans="3:18" ht="15.75" customHeight="1" x14ac:dyDescent="0.25">
      <c r="C270" s="26"/>
      <c r="O270" s="13"/>
      <c r="P270" s="13"/>
      <c r="Q270" s="13"/>
      <c r="R270" s="13"/>
    </row>
    <row r="271" spans="3:18" ht="15.75" customHeight="1" x14ac:dyDescent="0.25">
      <c r="C271" s="26"/>
      <c r="O271" s="13"/>
      <c r="P271" s="13"/>
      <c r="Q271" s="13"/>
      <c r="R271" s="13"/>
    </row>
    <row r="272" spans="3:18" ht="15.75" customHeight="1" x14ac:dyDescent="0.25">
      <c r="C272" s="26"/>
      <c r="O272" s="13"/>
      <c r="P272" s="13"/>
      <c r="Q272" s="13"/>
      <c r="R272" s="13"/>
    </row>
    <row r="273" spans="3:18" ht="15.75" customHeight="1" x14ac:dyDescent="0.25">
      <c r="C273" s="26"/>
      <c r="O273" s="13"/>
      <c r="P273" s="13"/>
      <c r="Q273" s="13"/>
      <c r="R273" s="13"/>
    </row>
    <row r="274" spans="3:18" ht="15.75" customHeight="1" x14ac:dyDescent="0.25">
      <c r="C274" s="26"/>
      <c r="O274" s="13"/>
      <c r="P274" s="13"/>
      <c r="Q274" s="13"/>
      <c r="R274" s="13"/>
    </row>
    <row r="275" spans="3:18" ht="15.75" customHeight="1" x14ac:dyDescent="0.25">
      <c r="C275" s="26"/>
      <c r="O275" s="13"/>
      <c r="P275" s="13"/>
      <c r="Q275" s="13"/>
      <c r="R275" s="13"/>
    </row>
    <row r="276" spans="3:18" ht="15.75" customHeight="1" x14ac:dyDescent="0.25">
      <c r="C276" s="26"/>
      <c r="O276" s="13"/>
      <c r="P276" s="13"/>
      <c r="Q276" s="13"/>
      <c r="R276" s="13"/>
    </row>
    <row r="277" spans="3:18" ht="15.75" customHeight="1" x14ac:dyDescent="0.25">
      <c r="C277" s="26"/>
      <c r="O277" s="13"/>
      <c r="P277" s="13"/>
      <c r="Q277" s="13"/>
      <c r="R277" s="13"/>
    </row>
    <row r="278" spans="3:18" ht="15.75" customHeight="1" x14ac:dyDescent="0.25">
      <c r="C278" s="26"/>
      <c r="O278" s="13"/>
      <c r="P278" s="13"/>
      <c r="Q278" s="13"/>
      <c r="R278" s="13"/>
    </row>
    <row r="279" spans="3:18" ht="15.75" customHeight="1" x14ac:dyDescent="0.25">
      <c r="C279" s="26"/>
      <c r="O279" s="13"/>
      <c r="P279" s="13"/>
      <c r="Q279" s="13"/>
      <c r="R279" s="13"/>
    </row>
    <row r="280" spans="3:18" ht="15.75" customHeight="1" x14ac:dyDescent="0.25">
      <c r="C280" s="26"/>
      <c r="O280" s="13"/>
      <c r="P280" s="13"/>
      <c r="Q280" s="13"/>
      <c r="R280" s="13"/>
    </row>
    <row r="281" spans="3:18" ht="15.75" customHeight="1" x14ac:dyDescent="0.25">
      <c r="C281" s="26"/>
      <c r="O281" s="13"/>
      <c r="P281" s="13"/>
      <c r="Q281" s="13"/>
      <c r="R281" s="13"/>
    </row>
    <row r="282" spans="3:18" ht="15.75" customHeight="1" x14ac:dyDescent="0.25">
      <c r="C282" s="26"/>
      <c r="O282" s="13"/>
      <c r="P282" s="13"/>
      <c r="Q282" s="13"/>
      <c r="R282" s="13"/>
    </row>
    <row r="283" spans="3:18" ht="15.75" customHeight="1" x14ac:dyDescent="0.25">
      <c r="C283" s="26"/>
      <c r="O283" s="13"/>
      <c r="P283" s="13"/>
      <c r="Q283" s="13"/>
      <c r="R283" s="13"/>
    </row>
    <row r="284" spans="3:18" ht="15.75" customHeight="1" x14ac:dyDescent="0.25">
      <c r="C284" s="26"/>
      <c r="O284" s="13"/>
      <c r="P284" s="13"/>
      <c r="Q284" s="13"/>
      <c r="R284" s="13"/>
    </row>
    <row r="285" spans="3:18" ht="15.75" customHeight="1" x14ac:dyDescent="0.25">
      <c r="C285" s="26"/>
      <c r="O285" s="13"/>
      <c r="P285" s="13"/>
      <c r="Q285" s="13"/>
      <c r="R285" s="13"/>
    </row>
    <row r="286" spans="3:18" ht="15.75" customHeight="1" x14ac:dyDescent="0.25">
      <c r="C286" s="26"/>
      <c r="O286" s="13"/>
      <c r="P286" s="13"/>
      <c r="Q286" s="13"/>
      <c r="R286" s="13"/>
    </row>
    <row r="287" spans="3:18" ht="15.75" customHeight="1" x14ac:dyDescent="0.25">
      <c r="C287" s="26"/>
      <c r="O287" s="13"/>
      <c r="P287" s="13"/>
      <c r="Q287" s="13"/>
      <c r="R287" s="13"/>
    </row>
    <row r="288" spans="3:18" ht="15.75" customHeight="1" x14ac:dyDescent="0.25">
      <c r="C288" s="26"/>
      <c r="O288" s="13"/>
      <c r="P288" s="13"/>
      <c r="Q288" s="13"/>
      <c r="R288" s="13"/>
    </row>
    <row r="289" spans="3:18" ht="15.75" customHeight="1" x14ac:dyDescent="0.25">
      <c r="C289" s="26"/>
      <c r="O289" s="13"/>
      <c r="P289" s="13"/>
      <c r="Q289" s="13"/>
      <c r="R289" s="13"/>
    </row>
    <row r="290" spans="3:18" ht="15.75" customHeight="1" x14ac:dyDescent="0.25">
      <c r="C290" s="26"/>
      <c r="O290" s="13"/>
      <c r="P290" s="13"/>
      <c r="Q290" s="13"/>
      <c r="R290" s="13"/>
    </row>
    <row r="291" spans="3:18" ht="15.75" customHeight="1" x14ac:dyDescent="0.25">
      <c r="C291" s="26"/>
      <c r="O291" s="13"/>
      <c r="P291" s="13"/>
      <c r="Q291" s="13"/>
      <c r="R291" s="13"/>
    </row>
    <row r="292" spans="3:18" ht="15.75" customHeight="1" x14ac:dyDescent="0.25">
      <c r="C292" s="26"/>
      <c r="O292" s="13"/>
      <c r="P292" s="13"/>
      <c r="Q292" s="13"/>
      <c r="R292" s="13"/>
    </row>
    <row r="293" spans="3:18" ht="15.75" customHeight="1" x14ac:dyDescent="0.25">
      <c r="C293" s="26"/>
      <c r="O293" s="13"/>
      <c r="P293" s="13"/>
      <c r="Q293" s="13"/>
      <c r="R293" s="13"/>
    </row>
    <row r="294" spans="3:18" ht="15.75" customHeight="1" x14ac:dyDescent="0.25">
      <c r="C294" s="26"/>
      <c r="O294" s="13"/>
      <c r="P294" s="13"/>
      <c r="Q294" s="13"/>
      <c r="R294" s="13"/>
    </row>
    <row r="295" spans="3:18" ht="15.75" customHeight="1" x14ac:dyDescent="0.25">
      <c r="C295" s="26"/>
      <c r="O295" s="13"/>
      <c r="P295" s="13"/>
      <c r="Q295" s="13"/>
      <c r="R295" s="13"/>
    </row>
    <row r="296" spans="3:18" ht="15.75" customHeight="1" x14ac:dyDescent="0.25">
      <c r="C296" s="26"/>
      <c r="O296" s="13"/>
      <c r="P296" s="13"/>
      <c r="Q296" s="13"/>
      <c r="R296" s="13"/>
    </row>
    <row r="297" spans="3:18" ht="15.75" customHeight="1" x14ac:dyDescent="0.25">
      <c r="C297" s="26"/>
      <c r="O297" s="13"/>
      <c r="P297" s="13"/>
      <c r="Q297" s="13"/>
      <c r="R297" s="13"/>
    </row>
    <row r="298" spans="3:18" ht="15.75" customHeight="1" x14ac:dyDescent="0.25">
      <c r="C298" s="26"/>
      <c r="O298" s="13"/>
      <c r="P298" s="13"/>
      <c r="Q298" s="13"/>
      <c r="R298" s="13"/>
    </row>
    <row r="299" spans="3:18" ht="15.75" customHeight="1" x14ac:dyDescent="0.25">
      <c r="C299" s="26"/>
      <c r="O299" s="13"/>
      <c r="P299" s="13"/>
      <c r="Q299" s="13"/>
      <c r="R299" s="13"/>
    </row>
    <row r="300" spans="3:18" ht="15.75" customHeight="1" x14ac:dyDescent="0.25">
      <c r="C300" s="26"/>
      <c r="O300" s="13"/>
      <c r="P300" s="13"/>
      <c r="Q300" s="13"/>
      <c r="R300" s="13"/>
    </row>
    <row r="301" spans="3:18" ht="15.75" customHeight="1" x14ac:dyDescent="0.25">
      <c r="C301" s="26"/>
      <c r="O301" s="13"/>
      <c r="P301" s="13"/>
      <c r="Q301" s="13"/>
      <c r="R301" s="13"/>
    </row>
    <row r="302" spans="3:18" ht="15.75" customHeight="1" x14ac:dyDescent="0.25">
      <c r="C302" s="26"/>
      <c r="O302" s="13"/>
      <c r="P302" s="13"/>
      <c r="Q302" s="13"/>
      <c r="R302" s="13"/>
    </row>
    <row r="303" spans="3:18" ht="15.75" customHeight="1" x14ac:dyDescent="0.25">
      <c r="C303" s="26"/>
      <c r="O303" s="13"/>
      <c r="P303" s="13"/>
      <c r="Q303" s="13"/>
      <c r="R303" s="13"/>
    </row>
    <row r="304" spans="3:18" ht="15.75" customHeight="1" x14ac:dyDescent="0.25">
      <c r="C304" s="26"/>
      <c r="O304" s="13"/>
      <c r="P304" s="13"/>
      <c r="Q304" s="13"/>
      <c r="R304" s="13"/>
    </row>
    <row r="305" spans="3:18" ht="15.75" customHeight="1" x14ac:dyDescent="0.25">
      <c r="C305" s="26"/>
      <c r="O305" s="13"/>
      <c r="P305" s="13"/>
      <c r="Q305" s="13"/>
      <c r="R305" s="13"/>
    </row>
    <row r="306" spans="3:18" ht="15.75" customHeight="1" x14ac:dyDescent="0.25">
      <c r="C306" s="26"/>
      <c r="O306" s="13"/>
      <c r="P306" s="13"/>
      <c r="Q306" s="13"/>
      <c r="R306" s="13"/>
    </row>
    <row r="307" spans="3:18" ht="15.75" customHeight="1" x14ac:dyDescent="0.25">
      <c r="C307" s="26"/>
      <c r="O307" s="13"/>
      <c r="P307" s="13"/>
      <c r="Q307" s="13"/>
      <c r="R307" s="13"/>
    </row>
    <row r="308" spans="3:18" ht="15.75" customHeight="1" x14ac:dyDescent="0.25">
      <c r="C308" s="26"/>
      <c r="O308" s="13"/>
      <c r="P308" s="13"/>
      <c r="Q308" s="13"/>
      <c r="R308" s="13"/>
    </row>
    <row r="309" spans="3:18" ht="15.75" customHeight="1" x14ac:dyDescent="0.25">
      <c r="C309" s="26"/>
      <c r="O309" s="13"/>
      <c r="P309" s="13"/>
      <c r="Q309" s="13"/>
      <c r="R309" s="13"/>
    </row>
    <row r="310" spans="3:18" ht="15.75" customHeight="1" x14ac:dyDescent="0.25">
      <c r="C310" s="26"/>
      <c r="O310" s="13"/>
      <c r="P310" s="13"/>
      <c r="Q310" s="13"/>
      <c r="R310" s="13"/>
    </row>
    <row r="311" spans="3:18" ht="15.75" customHeight="1" x14ac:dyDescent="0.25">
      <c r="C311" s="26"/>
      <c r="O311" s="13"/>
      <c r="P311" s="13"/>
      <c r="Q311" s="13"/>
      <c r="R311" s="13"/>
    </row>
    <row r="312" spans="3:18" ht="15.75" customHeight="1" x14ac:dyDescent="0.25">
      <c r="C312" s="26"/>
      <c r="O312" s="13"/>
      <c r="P312" s="13"/>
      <c r="Q312" s="13"/>
      <c r="R312" s="13"/>
    </row>
    <row r="313" spans="3:18" ht="15.75" customHeight="1" x14ac:dyDescent="0.25">
      <c r="C313" s="26"/>
      <c r="O313" s="13"/>
      <c r="P313" s="13"/>
      <c r="Q313" s="13"/>
      <c r="R313" s="13"/>
    </row>
    <row r="314" spans="3:18" ht="15.75" customHeight="1" x14ac:dyDescent="0.25">
      <c r="C314" s="26"/>
      <c r="O314" s="13"/>
      <c r="P314" s="13"/>
      <c r="Q314" s="13"/>
      <c r="R314" s="13"/>
    </row>
    <row r="315" spans="3:18" ht="15.75" customHeight="1" x14ac:dyDescent="0.25">
      <c r="C315" s="26"/>
      <c r="O315" s="13"/>
      <c r="P315" s="13"/>
      <c r="Q315" s="13"/>
      <c r="R315" s="13"/>
    </row>
    <row r="316" spans="3:18" ht="15.75" customHeight="1" x14ac:dyDescent="0.25">
      <c r="C316" s="26"/>
      <c r="O316" s="13"/>
      <c r="P316" s="13"/>
      <c r="Q316" s="13"/>
      <c r="R316" s="13"/>
    </row>
    <row r="317" spans="3:18" ht="15.75" customHeight="1" x14ac:dyDescent="0.25">
      <c r="C317" s="26"/>
      <c r="O317" s="13"/>
      <c r="P317" s="13"/>
      <c r="Q317" s="13"/>
      <c r="R317" s="13"/>
    </row>
    <row r="318" spans="3:18" ht="15.75" customHeight="1" x14ac:dyDescent="0.25">
      <c r="C318" s="26"/>
      <c r="O318" s="13"/>
      <c r="P318" s="13"/>
      <c r="Q318" s="13"/>
      <c r="R318" s="13"/>
    </row>
    <row r="319" spans="3:18" ht="15.75" customHeight="1" x14ac:dyDescent="0.25">
      <c r="C319" s="26"/>
      <c r="O319" s="13"/>
      <c r="P319" s="13"/>
      <c r="Q319" s="13"/>
      <c r="R319" s="13"/>
    </row>
    <row r="320" spans="3:18" ht="15.75" customHeight="1" x14ac:dyDescent="0.25">
      <c r="C320" s="26"/>
      <c r="O320" s="13"/>
      <c r="P320" s="13"/>
      <c r="Q320" s="13"/>
      <c r="R320" s="13"/>
    </row>
    <row r="321" spans="3:18" ht="15.75" customHeight="1" x14ac:dyDescent="0.25">
      <c r="C321" s="26"/>
      <c r="O321" s="13"/>
      <c r="P321" s="13"/>
      <c r="Q321" s="13"/>
      <c r="R321" s="13"/>
    </row>
    <row r="322" spans="3:18" ht="15.75" customHeight="1" x14ac:dyDescent="0.25">
      <c r="C322" s="26"/>
      <c r="O322" s="13"/>
      <c r="P322" s="13"/>
      <c r="Q322" s="13"/>
      <c r="R322" s="13"/>
    </row>
    <row r="323" spans="3:18" ht="15.75" customHeight="1" x14ac:dyDescent="0.25">
      <c r="C323" s="26"/>
      <c r="O323" s="13"/>
      <c r="P323" s="13"/>
      <c r="Q323" s="13"/>
      <c r="R323" s="13"/>
    </row>
    <row r="324" spans="3:18" ht="15.75" customHeight="1" x14ac:dyDescent="0.25">
      <c r="C324" s="26"/>
      <c r="O324" s="13"/>
      <c r="P324" s="13"/>
      <c r="Q324" s="13"/>
      <c r="R324" s="13"/>
    </row>
    <row r="325" spans="3:18" ht="15.75" customHeight="1" x14ac:dyDescent="0.25">
      <c r="C325" s="26"/>
      <c r="O325" s="13"/>
      <c r="P325" s="13"/>
      <c r="Q325" s="13"/>
      <c r="R325" s="13"/>
    </row>
    <row r="326" spans="3:18" ht="15.75" customHeight="1" x14ac:dyDescent="0.25">
      <c r="C326" s="26"/>
      <c r="O326" s="13"/>
      <c r="P326" s="13"/>
      <c r="Q326" s="13"/>
      <c r="R326" s="13"/>
    </row>
    <row r="327" spans="3:18" ht="15.75" customHeight="1" x14ac:dyDescent="0.25">
      <c r="C327" s="26"/>
      <c r="O327" s="13"/>
      <c r="P327" s="13"/>
      <c r="Q327" s="13"/>
      <c r="R327" s="13"/>
    </row>
    <row r="328" spans="3:18" ht="15.75" customHeight="1" x14ac:dyDescent="0.25">
      <c r="C328" s="26"/>
      <c r="O328" s="13"/>
      <c r="P328" s="13"/>
      <c r="Q328" s="13"/>
      <c r="R328" s="13"/>
    </row>
    <row r="329" spans="3:18" ht="15.75" customHeight="1" x14ac:dyDescent="0.25">
      <c r="C329" s="26"/>
      <c r="O329" s="13"/>
      <c r="P329" s="13"/>
      <c r="Q329" s="13"/>
      <c r="R329" s="13"/>
    </row>
    <row r="330" spans="3:18" ht="15.75" customHeight="1" x14ac:dyDescent="0.25">
      <c r="C330" s="26"/>
      <c r="O330" s="13"/>
      <c r="P330" s="13"/>
      <c r="Q330" s="13"/>
      <c r="R330" s="13"/>
    </row>
    <row r="331" spans="3:18" ht="15.75" customHeight="1" x14ac:dyDescent="0.25">
      <c r="C331" s="26"/>
      <c r="O331" s="13"/>
      <c r="P331" s="13"/>
      <c r="Q331" s="13"/>
      <c r="R331" s="13"/>
    </row>
    <row r="332" spans="3:18" ht="15.75" customHeight="1" x14ac:dyDescent="0.25">
      <c r="C332" s="26"/>
      <c r="O332" s="13"/>
      <c r="P332" s="13"/>
      <c r="Q332" s="13"/>
      <c r="R332" s="13"/>
    </row>
    <row r="333" spans="3:18" ht="15.75" customHeight="1" x14ac:dyDescent="0.25">
      <c r="C333" s="26"/>
      <c r="O333" s="13"/>
      <c r="P333" s="13"/>
      <c r="Q333" s="13"/>
      <c r="R333" s="13"/>
    </row>
    <row r="334" spans="3:18" ht="15.75" customHeight="1" x14ac:dyDescent="0.25">
      <c r="C334" s="26"/>
      <c r="O334" s="13"/>
      <c r="P334" s="13"/>
      <c r="Q334" s="13"/>
      <c r="R334" s="13"/>
    </row>
    <row r="335" spans="3:18" ht="15.75" customHeight="1" x14ac:dyDescent="0.25">
      <c r="C335" s="26"/>
      <c r="O335" s="13"/>
      <c r="P335" s="13"/>
      <c r="Q335" s="13"/>
      <c r="R335" s="13"/>
    </row>
    <row r="336" spans="3:18" ht="15.75" customHeight="1" x14ac:dyDescent="0.25">
      <c r="C336" s="26"/>
      <c r="O336" s="13"/>
      <c r="P336" s="13"/>
      <c r="Q336" s="13"/>
      <c r="R336" s="13"/>
    </row>
    <row r="337" spans="3:18" ht="15.75" customHeight="1" x14ac:dyDescent="0.25">
      <c r="C337" s="26"/>
      <c r="O337" s="13"/>
      <c r="P337" s="13"/>
      <c r="Q337" s="13"/>
      <c r="R337" s="13"/>
    </row>
    <row r="338" spans="3:18" ht="15.75" customHeight="1" x14ac:dyDescent="0.25">
      <c r="C338" s="26"/>
      <c r="O338" s="13"/>
      <c r="P338" s="13"/>
      <c r="Q338" s="13"/>
      <c r="R338" s="13"/>
    </row>
    <row r="339" spans="3:18" ht="15.75" customHeight="1" x14ac:dyDescent="0.25">
      <c r="C339" s="26"/>
      <c r="O339" s="13"/>
      <c r="P339" s="13"/>
      <c r="Q339" s="13"/>
      <c r="R339" s="13"/>
    </row>
    <row r="340" spans="3:18" ht="15.75" customHeight="1" x14ac:dyDescent="0.25">
      <c r="C340" s="26"/>
      <c r="O340" s="13"/>
      <c r="P340" s="13"/>
      <c r="Q340" s="13"/>
      <c r="R340" s="13"/>
    </row>
    <row r="341" spans="3:18" ht="15.75" customHeight="1" x14ac:dyDescent="0.25">
      <c r="C341" s="26"/>
      <c r="O341" s="13"/>
      <c r="P341" s="13"/>
      <c r="Q341" s="13"/>
      <c r="R341" s="13"/>
    </row>
    <row r="342" spans="3:18" ht="15.75" customHeight="1" x14ac:dyDescent="0.25">
      <c r="C342" s="26"/>
      <c r="O342" s="13"/>
      <c r="P342" s="13"/>
      <c r="Q342" s="13"/>
      <c r="R342" s="13"/>
    </row>
    <row r="343" spans="3:18" ht="15.75" customHeight="1" x14ac:dyDescent="0.25">
      <c r="C343" s="26"/>
      <c r="O343" s="13"/>
      <c r="P343" s="13"/>
      <c r="Q343" s="13"/>
      <c r="R343" s="13"/>
    </row>
    <row r="344" spans="3:18" ht="15.75" customHeight="1" x14ac:dyDescent="0.25">
      <c r="C344" s="26"/>
      <c r="O344" s="13"/>
      <c r="P344" s="13"/>
      <c r="Q344" s="13"/>
      <c r="R344" s="13"/>
    </row>
    <row r="345" spans="3:18" ht="15.75" customHeight="1" x14ac:dyDescent="0.25">
      <c r="C345" s="26"/>
      <c r="O345" s="13"/>
      <c r="P345" s="13"/>
      <c r="Q345" s="13"/>
      <c r="R345" s="13"/>
    </row>
    <row r="346" spans="3:18" ht="15.75" customHeight="1" x14ac:dyDescent="0.25">
      <c r="C346" s="26"/>
      <c r="O346" s="13"/>
      <c r="P346" s="13"/>
      <c r="Q346" s="13"/>
      <c r="R346" s="13"/>
    </row>
    <row r="347" spans="3:18" ht="15.75" customHeight="1" x14ac:dyDescent="0.25">
      <c r="C347" s="26"/>
      <c r="O347" s="13"/>
      <c r="P347" s="13"/>
      <c r="Q347" s="13"/>
      <c r="R347" s="13"/>
    </row>
    <row r="348" spans="3:18" ht="15.75" customHeight="1" x14ac:dyDescent="0.25">
      <c r="C348" s="26"/>
      <c r="O348" s="13"/>
      <c r="P348" s="13"/>
      <c r="Q348" s="13"/>
      <c r="R348" s="13"/>
    </row>
    <row r="349" spans="3:18" ht="15.75" customHeight="1" x14ac:dyDescent="0.25">
      <c r="C349" s="26"/>
      <c r="O349" s="13"/>
      <c r="P349" s="13"/>
      <c r="Q349" s="13"/>
      <c r="R349" s="13"/>
    </row>
    <row r="350" spans="3:18" ht="15.75" customHeight="1" x14ac:dyDescent="0.25">
      <c r="C350" s="26"/>
      <c r="O350" s="13"/>
      <c r="P350" s="13"/>
      <c r="Q350" s="13"/>
      <c r="R350" s="13"/>
    </row>
    <row r="351" spans="3:18" ht="15.75" customHeight="1" x14ac:dyDescent="0.25">
      <c r="C351" s="26"/>
      <c r="O351" s="13"/>
      <c r="P351" s="13"/>
      <c r="Q351" s="13"/>
      <c r="R351" s="13"/>
    </row>
    <row r="352" spans="3:18" ht="15.75" customHeight="1" x14ac:dyDescent="0.25">
      <c r="C352" s="26"/>
      <c r="O352" s="13"/>
      <c r="P352" s="13"/>
      <c r="Q352" s="13"/>
      <c r="R352" s="13"/>
    </row>
    <row r="353" spans="3:18" ht="15.75" customHeight="1" x14ac:dyDescent="0.25">
      <c r="C353" s="26"/>
      <c r="O353" s="13"/>
      <c r="P353" s="13"/>
      <c r="Q353" s="13"/>
      <c r="R353" s="13"/>
    </row>
    <row r="354" spans="3:18" ht="15.75" customHeight="1" x14ac:dyDescent="0.25">
      <c r="C354" s="26"/>
      <c r="O354" s="13"/>
      <c r="P354" s="13"/>
      <c r="Q354" s="13"/>
      <c r="R354" s="13"/>
    </row>
    <row r="355" spans="3:18" ht="15.75" customHeight="1" x14ac:dyDescent="0.25">
      <c r="C355" s="26"/>
      <c r="O355" s="13"/>
      <c r="P355" s="13"/>
      <c r="Q355" s="13"/>
      <c r="R355" s="13"/>
    </row>
    <row r="356" spans="3:18" ht="15.75" customHeight="1" x14ac:dyDescent="0.25">
      <c r="C356" s="26"/>
      <c r="O356" s="13"/>
      <c r="P356" s="13"/>
      <c r="Q356" s="13"/>
      <c r="R356" s="13"/>
    </row>
    <row r="357" spans="3:18" ht="15.75" customHeight="1" x14ac:dyDescent="0.25">
      <c r="C357" s="26"/>
      <c r="O357" s="13"/>
      <c r="P357" s="13"/>
      <c r="Q357" s="13"/>
      <c r="R357" s="13"/>
    </row>
    <row r="358" spans="3:18" ht="15.75" customHeight="1" x14ac:dyDescent="0.25">
      <c r="C358" s="26"/>
      <c r="O358" s="13"/>
      <c r="P358" s="13"/>
      <c r="Q358" s="13"/>
      <c r="R358" s="13"/>
    </row>
    <row r="359" spans="3:18" ht="15.75" customHeight="1" x14ac:dyDescent="0.25">
      <c r="C359" s="26"/>
      <c r="O359" s="13"/>
      <c r="P359" s="13"/>
      <c r="Q359" s="13"/>
      <c r="R359" s="13"/>
    </row>
    <row r="360" spans="3:18" ht="15.75" customHeight="1" x14ac:dyDescent="0.25">
      <c r="C360" s="26"/>
      <c r="O360" s="13"/>
      <c r="P360" s="13"/>
      <c r="Q360" s="13"/>
      <c r="R360" s="13"/>
    </row>
    <row r="361" spans="3:18" ht="15.75" customHeight="1" x14ac:dyDescent="0.25">
      <c r="C361" s="26"/>
      <c r="O361" s="13"/>
      <c r="P361" s="13"/>
      <c r="Q361" s="13"/>
      <c r="R361" s="13"/>
    </row>
    <row r="362" spans="3:18" ht="15.75" customHeight="1" x14ac:dyDescent="0.25">
      <c r="C362" s="26"/>
      <c r="O362" s="13"/>
      <c r="P362" s="13"/>
      <c r="Q362" s="13"/>
      <c r="R362" s="13"/>
    </row>
    <row r="363" spans="3:18" ht="15.75" customHeight="1" x14ac:dyDescent="0.25">
      <c r="C363" s="26"/>
      <c r="O363" s="13"/>
      <c r="P363" s="13"/>
      <c r="Q363" s="13"/>
      <c r="R363" s="13"/>
    </row>
    <row r="364" spans="3:18" ht="15.75" customHeight="1" x14ac:dyDescent="0.25">
      <c r="C364" s="26"/>
      <c r="O364" s="13"/>
      <c r="P364" s="13"/>
      <c r="Q364" s="13"/>
      <c r="R364" s="13"/>
    </row>
    <row r="365" spans="3:18" ht="15.75" customHeight="1" x14ac:dyDescent="0.25">
      <c r="C365" s="26"/>
      <c r="O365" s="13"/>
      <c r="P365" s="13"/>
      <c r="Q365" s="13"/>
      <c r="R365" s="13"/>
    </row>
    <row r="366" spans="3:18" ht="15.75" customHeight="1" x14ac:dyDescent="0.25">
      <c r="C366" s="26"/>
      <c r="O366" s="13"/>
      <c r="P366" s="13"/>
      <c r="Q366" s="13"/>
      <c r="R366" s="13"/>
    </row>
    <row r="367" spans="3:18" ht="15.75" customHeight="1" x14ac:dyDescent="0.25">
      <c r="C367" s="26"/>
      <c r="O367" s="13"/>
      <c r="P367" s="13"/>
      <c r="Q367" s="13"/>
      <c r="R367" s="13"/>
    </row>
    <row r="368" spans="3:18" ht="15.75" customHeight="1" x14ac:dyDescent="0.25">
      <c r="C368" s="26"/>
      <c r="O368" s="13"/>
      <c r="P368" s="13"/>
      <c r="Q368" s="13"/>
      <c r="R368" s="13"/>
    </row>
    <row r="369" spans="3:18" ht="15.75" customHeight="1" x14ac:dyDescent="0.25">
      <c r="C369" s="26"/>
      <c r="O369" s="13"/>
      <c r="P369" s="13"/>
      <c r="Q369" s="13"/>
      <c r="R369" s="13"/>
    </row>
    <row r="370" spans="3:18" ht="15.75" customHeight="1" x14ac:dyDescent="0.25">
      <c r="C370" s="26"/>
      <c r="O370" s="13"/>
      <c r="P370" s="13"/>
      <c r="Q370" s="13"/>
      <c r="R370" s="13"/>
    </row>
    <row r="371" spans="3:18" ht="15.75" customHeight="1" x14ac:dyDescent="0.25">
      <c r="C371" s="26"/>
      <c r="O371" s="13"/>
      <c r="P371" s="13"/>
      <c r="Q371" s="13"/>
      <c r="R371" s="13"/>
    </row>
    <row r="372" spans="3:18" ht="15.75" customHeight="1" x14ac:dyDescent="0.25">
      <c r="C372" s="26"/>
      <c r="O372" s="13"/>
      <c r="P372" s="13"/>
      <c r="Q372" s="13"/>
      <c r="R372" s="13"/>
    </row>
    <row r="373" spans="3:18" ht="15.75" customHeight="1" x14ac:dyDescent="0.25">
      <c r="C373" s="26"/>
      <c r="O373" s="13"/>
      <c r="P373" s="13"/>
      <c r="Q373" s="13"/>
      <c r="R373" s="13"/>
    </row>
    <row r="374" spans="3:18" ht="15.75" customHeight="1" x14ac:dyDescent="0.25">
      <c r="C374" s="26"/>
      <c r="O374" s="13"/>
      <c r="P374" s="13"/>
      <c r="Q374" s="13"/>
      <c r="R374" s="13"/>
    </row>
    <row r="375" spans="3:18" ht="15.75" customHeight="1" x14ac:dyDescent="0.25">
      <c r="C375" s="26"/>
      <c r="O375" s="13"/>
      <c r="P375" s="13"/>
      <c r="Q375" s="13"/>
      <c r="R375" s="13"/>
    </row>
    <row r="376" spans="3:18" ht="15.75" customHeight="1" x14ac:dyDescent="0.25">
      <c r="C376" s="26"/>
      <c r="O376" s="13"/>
      <c r="P376" s="13"/>
      <c r="Q376" s="13"/>
      <c r="R376" s="13"/>
    </row>
    <row r="377" spans="3:18" ht="15.75" customHeight="1" x14ac:dyDescent="0.25">
      <c r="C377" s="26"/>
      <c r="O377" s="13"/>
      <c r="P377" s="13"/>
      <c r="Q377" s="13"/>
      <c r="R377" s="13"/>
    </row>
    <row r="378" spans="3:18" ht="15.75" customHeight="1" x14ac:dyDescent="0.25">
      <c r="C378" s="26"/>
      <c r="O378" s="13"/>
      <c r="P378" s="13"/>
      <c r="Q378" s="13"/>
      <c r="R378" s="13"/>
    </row>
    <row r="379" spans="3:18" ht="15.75" customHeight="1" x14ac:dyDescent="0.25">
      <c r="C379" s="26"/>
      <c r="O379" s="13"/>
      <c r="P379" s="13"/>
      <c r="Q379" s="13"/>
      <c r="R379" s="13"/>
    </row>
    <row r="380" spans="3:18" ht="15.75" customHeight="1" x14ac:dyDescent="0.25">
      <c r="C380" s="26"/>
      <c r="O380" s="13"/>
      <c r="P380" s="13"/>
      <c r="Q380" s="13"/>
      <c r="R380" s="13"/>
    </row>
    <row r="381" spans="3:18" ht="15.75" customHeight="1" x14ac:dyDescent="0.25">
      <c r="C381" s="26"/>
      <c r="O381" s="13"/>
      <c r="P381" s="13"/>
      <c r="Q381" s="13"/>
      <c r="R381" s="13"/>
    </row>
    <row r="382" spans="3:18" ht="15.75" customHeight="1" x14ac:dyDescent="0.25">
      <c r="C382" s="26"/>
      <c r="O382" s="13"/>
      <c r="P382" s="13"/>
      <c r="Q382" s="13"/>
      <c r="R382" s="13"/>
    </row>
    <row r="383" spans="3:18" ht="15.75" customHeight="1" x14ac:dyDescent="0.25">
      <c r="C383" s="26"/>
      <c r="O383" s="13"/>
      <c r="P383" s="13"/>
      <c r="Q383" s="13"/>
      <c r="R383" s="13"/>
    </row>
    <row r="384" spans="3:18" ht="15.75" customHeight="1" x14ac:dyDescent="0.25">
      <c r="C384" s="26"/>
      <c r="O384" s="13"/>
      <c r="P384" s="13"/>
      <c r="Q384" s="13"/>
      <c r="R384" s="13"/>
    </row>
    <row r="385" spans="3:18" ht="15.75" customHeight="1" x14ac:dyDescent="0.25">
      <c r="C385" s="26"/>
      <c r="O385" s="13"/>
      <c r="P385" s="13"/>
      <c r="Q385" s="13"/>
      <c r="R385" s="13"/>
    </row>
    <row r="386" spans="3:18" ht="15.75" customHeight="1" x14ac:dyDescent="0.25">
      <c r="C386" s="26"/>
      <c r="O386" s="13"/>
      <c r="P386" s="13"/>
      <c r="Q386" s="13"/>
      <c r="R386" s="13"/>
    </row>
    <row r="387" spans="3:18" ht="15.75" customHeight="1" x14ac:dyDescent="0.25">
      <c r="C387" s="26"/>
      <c r="O387" s="13"/>
      <c r="P387" s="13"/>
      <c r="Q387" s="13"/>
      <c r="R387" s="13"/>
    </row>
    <row r="388" spans="3:18" ht="15.75" customHeight="1" x14ac:dyDescent="0.25">
      <c r="C388" s="26"/>
      <c r="O388" s="13"/>
      <c r="P388" s="13"/>
      <c r="Q388" s="13"/>
      <c r="R388" s="13"/>
    </row>
    <row r="389" spans="3:18" ht="15.75" customHeight="1" x14ac:dyDescent="0.25">
      <c r="C389" s="26"/>
      <c r="O389" s="13"/>
      <c r="P389" s="13"/>
      <c r="Q389" s="13"/>
      <c r="R389" s="13"/>
    </row>
    <row r="390" spans="3:18" ht="15.75" customHeight="1" x14ac:dyDescent="0.25">
      <c r="C390" s="26"/>
      <c r="O390" s="13"/>
      <c r="P390" s="13"/>
      <c r="Q390" s="13"/>
      <c r="R390" s="13"/>
    </row>
    <row r="391" spans="3:18" ht="15.75" customHeight="1" x14ac:dyDescent="0.25">
      <c r="C391" s="26"/>
      <c r="O391" s="13"/>
      <c r="P391" s="13"/>
      <c r="Q391" s="13"/>
      <c r="R391" s="13"/>
    </row>
    <row r="392" spans="3:18" ht="15.75" customHeight="1" x14ac:dyDescent="0.25">
      <c r="C392" s="26"/>
      <c r="O392" s="13"/>
      <c r="P392" s="13"/>
      <c r="Q392" s="13"/>
      <c r="R392" s="13"/>
    </row>
    <row r="393" spans="3:18" ht="15.75" customHeight="1" x14ac:dyDescent="0.25">
      <c r="C393" s="26"/>
      <c r="O393" s="13"/>
      <c r="P393" s="13"/>
      <c r="Q393" s="13"/>
      <c r="R393" s="13"/>
    </row>
    <row r="394" spans="3:18" ht="15.75" customHeight="1" x14ac:dyDescent="0.25">
      <c r="C394" s="26"/>
      <c r="O394" s="13"/>
      <c r="P394" s="13"/>
      <c r="Q394" s="13"/>
      <c r="R394" s="13"/>
    </row>
    <row r="395" spans="3:18" ht="15.75" customHeight="1" x14ac:dyDescent="0.25">
      <c r="C395" s="26"/>
      <c r="O395" s="13"/>
      <c r="P395" s="13"/>
      <c r="Q395" s="13"/>
      <c r="R395" s="13"/>
    </row>
    <row r="396" spans="3:18" ht="15.75" customHeight="1" x14ac:dyDescent="0.25">
      <c r="C396" s="26"/>
      <c r="O396" s="13"/>
      <c r="P396" s="13"/>
      <c r="Q396" s="13"/>
      <c r="R396" s="13"/>
    </row>
    <row r="397" spans="3:18" ht="15.75" customHeight="1" x14ac:dyDescent="0.25">
      <c r="C397" s="26"/>
      <c r="O397" s="13"/>
      <c r="P397" s="13"/>
      <c r="Q397" s="13"/>
      <c r="R397" s="13"/>
    </row>
    <row r="398" spans="3:18" ht="15.75" customHeight="1" x14ac:dyDescent="0.25">
      <c r="C398" s="26"/>
      <c r="O398" s="13"/>
      <c r="P398" s="13"/>
      <c r="Q398" s="13"/>
      <c r="R398" s="13"/>
    </row>
    <row r="399" spans="3:18" ht="15.75" customHeight="1" x14ac:dyDescent="0.25">
      <c r="C399" s="26"/>
      <c r="O399" s="13"/>
      <c r="P399" s="13"/>
      <c r="Q399" s="13"/>
      <c r="R399" s="13"/>
    </row>
    <row r="400" spans="3:18" ht="15.75" customHeight="1" x14ac:dyDescent="0.25">
      <c r="C400" s="26"/>
      <c r="O400" s="13"/>
      <c r="P400" s="13"/>
      <c r="Q400" s="13"/>
      <c r="R400" s="13"/>
    </row>
    <row r="401" spans="3:18" ht="15.75" customHeight="1" x14ac:dyDescent="0.25">
      <c r="C401" s="26"/>
      <c r="O401" s="13"/>
      <c r="P401" s="13"/>
      <c r="Q401" s="13"/>
      <c r="R401" s="13"/>
    </row>
    <row r="402" spans="3:18" ht="15.75" customHeight="1" x14ac:dyDescent="0.25">
      <c r="C402" s="26"/>
      <c r="O402" s="13"/>
      <c r="P402" s="13"/>
      <c r="Q402" s="13"/>
      <c r="R402" s="13"/>
    </row>
    <row r="403" spans="3:18" ht="15.75" customHeight="1" x14ac:dyDescent="0.25">
      <c r="C403" s="26"/>
      <c r="O403" s="13"/>
      <c r="P403" s="13"/>
      <c r="Q403" s="13"/>
      <c r="R403" s="13"/>
    </row>
    <row r="404" spans="3:18" ht="15.75" customHeight="1" x14ac:dyDescent="0.25">
      <c r="C404" s="26"/>
      <c r="O404" s="13"/>
      <c r="P404" s="13"/>
      <c r="Q404" s="13"/>
      <c r="R404" s="13"/>
    </row>
    <row r="405" spans="3:18" ht="15.75" customHeight="1" x14ac:dyDescent="0.25">
      <c r="C405" s="26"/>
      <c r="O405" s="13"/>
      <c r="P405" s="13"/>
      <c r="Q405" s="13"/>
      <c r="R405" s="13"/>
    </row>
    <row r="406" spans="3:18" ht="15.75" customHeight="1" x14ac:dyDescent="0.25">
      <c r="C406" s="26"/>
      <c r="O406" s="13"/>
      <c r="P406" s="13"/>
      <c r="Q406" s="13"/>
      <c r="R406" s="13"/>
    </row>
    <row r="407" spans="3:18" ht="15.75" customHeight="1" x14ac:dyDescent="0.25">
      <c r="C407" s="26"/>
      <c r="O407" s="13"/>
      <c r="P407" s="13"/>
      <c r="Q407" s="13"/>
      <c r="R407" s="13"/>
    </row>
    <row r="408" spans="3:18" ht="15.75" customHeight="1" x14ac:dyDescent="0.25">
      <c r="C408" s="26"/>
      <c r="O408" s="13"/>
      <c r="P408" s="13"/>
      <c r="Q408" s="13"/>
      <c r="R408" s="13"/>
    </row>
    <row r="409" spans="3:18" ht="15.75" customHeight="1" x14ac:dyDescent="0.25">
      <c r="C409" s="26"/>
      <c r="O409" s="13"/>
      <c r="P409" s="13"/>
      <c r="Q409" s="13"/>
      <c r="R409" s="13"/>
    </row>
    <row r="410" spans="3:18" ht="15.75" customHeight="1" x14ac:dyDescent="0.25">
      <c r="C410" s="26"/>
      <c r="O410" s="13"/>
      <c r="P410" s="13"/>
      <c r="Q410" s="13"/>
      <c r="R410" s="13"/>
    </row>
    <row r="411" spans="3:18" ht="15.75" customHeight="1" x14ac:dyDescent="0.25">
      <c r="C411" s="26"/>
      <c r="O411" s="13"/>
      <c r="P411" s="13"/>
      <c r="Q411" s="13"/>
      <c r="R411" s="13"/>
    </row>
    <row r="412" spans="3:18" ht="15.75" customHeight="1" x14ac:dyDescent="0.25">
      <c r="C412" s="26"/>
      <c r="O412" s="13"/>
      <c r="P412" s="13"/>
      <c r="Q412" s="13"/>
      <c r="R412" s="13"/>
    </row>
    <row r="413" spans="3:18" ht="15.75" customHeight="1" x14ac:dyDescent="0.25">
      <c r="C413" s="26"/>
      <c r="O413" s="13"/>
      <c r="P413" s="13"/>
      <c r="Q413" s="13"/>
      <c r="R413" s="13"/>
    </row>
    <row r="414" spans="3:18" ht="15.75" customHeight="1" x14ac:dyDescent="0.25">
      <c r="C414" s="26"/>
      <c r="O414" s="13"/>
      <c r="P414" s="13"/>
      <c r="Q414" s="13"/>
      <c r="R414" s="13"/>
    </row>
    <row r="415" spans="3:18" ht="15.75" customHeight="1" x14ac:dyDescent="0.25">
      <c r="C415" s="26"/>
      <c r="O415" s="13"/>
      <c r="P415" s="13"/>
      <c r="Q415" s="13"/>
      <c r="R415" s="13"/>
    </row>
    <row r="416" spans="3:18" ht="15.75" customHeight="1" x14ac:dyDescent="0.25">
      <c r="C416" s="26"/>
      <c r="O416" s="13"/>
      <c r="P416" s="13"/>
      <c r="Q416" s="13"/>
      <c r="R416" s="13"/>
    </row>
    <row r="417" spans="3:18" ht="15.75" customHeight="1" x14ac:dyDescent="0.25">
      <c r="C417" s="26"/>
      <c r="O417" s="13"/>
      <c r="P417" s="13"/>
      <c r="Q417" s="13"/>
      <c r="R417" s="13"/>
    </row>
    <row r="418" spans="3:18" ht="15.75" customHeight="1" x14ac:dyDescent="0.25">
      <c r="C418" s="26"/>
      <c r="O418" s="13"/>
      <c r="P418" s="13"/>
      <c r="Q418" s="13"/>
      <c r="R418" s="13"/>
    </row>
    <row r="419" spans="3:18" ht="15.75" customHeight="1" x14ac:dyDescent="0.25">
      <c r="C419" s="26"/>
      <c r="O419" s="13"/>
      <c r="P419" s="13"/>
      <c r="Q419" s="13"/>
      <c r="R419" s="13"/>
    </row>
    <row r="420" spans="3:18" ht="15.75" customHeight="1" x14ac:dyDescent="0.25">
      <c r="C420" s="26"/>
      <c r="O420" s="13"/>
      <c r="P420" s="13"/>
      <c r="Q420" s="13"/>
      <c r="R420" s="13"/>
    </row>
    <row r="421" spans="3:18" ht="15.75" customHeight="1" x14ac:dyDescent="0.25">
      <c r="C421" s="26"/>
      <c r="O421" s="13"/>
      <c r="P421" s="13"/>
      <c r="Q421" s="13"/>
      <c r="R421" s="13"/>
    </row>
    <row r="422" spans="3:18" ht="15.75" customHeight="1" x14ac:dyDescent="0.25">
      <c r="C422" s="26"/>
      <c r="O422" s="13"/>
      <c r="P422" s="13"/>
      <c r="Q422" s="13"/>
      <c r="R422" s="13"/>
    </row>
    <row r="423" spans="3:18" ht="15.75" customHeight="1" x14ac:dyDescent="0.25">
      <c r="C423" s="26"/>
      <c r="O423" s="13"/>
      <c r="P423" s="13"/>
      <c r="Q423" s="13"/>
      <c r="R423" s="13"/>
    </row>
    <row r="424" spans="3:18" ht="15.75" customHeight="1" x14ac:dyDescent="0.25">
      <c r="C424" s="26"/>
      <c r="O424" s="13"/>
      <c r="P424" s="13"/>
      <c r="Q424" s="13"/>
      <c r="R424" s="13"/>
    </row>
    <row r="425" spans="3:18" ht="15.75" customHeight="1" x14ac:dyDescent="0.25">
      <c r="C425" s="26"/>
      <c r="O425" s="13"/>
      <c r="P425" s="13"/>
      <c r="Q425" s="13"/>
      <c r="R425" s="13"/>
    </row>
    <row r="426" spans="3:18" ht="15.75" customHeight="1" x14ac:dyDescent="0.25">
      <c r="C426" s="26"/>
      <c r="O426" s="13"/>
      <c r="P426" s="13"/>
      <c r="Q426" s="13"/>
      <c r="R426" s="13"/>
    </row>
    <row r="427" spans="3:18" ht="15.75" customHeight="1" x14ac:dyDescent="0.25">
      <c r="C427" s="26"/>
      <c r="O427" s="13"/>
      <c r="P427" s="13"/>
      <c r="Q427" s="13"/>
      <c r="R427" s="13"/>
    </row>
    <row r="428" spans="3:18" ht="15.75" customHeight="1" x14ac:dyDescent="0.25">
      <c r="C428" s="26"/>
      <c r="O428" s="13"/>
      <c r="P428" s="13"/>
      <c r="Q428" s="13"/>
      <c r="R428" s="13"/>
    </row>
    <row r="429" spans="3:18" ht="15.75" customHeight="1" x14ac:dyDescent="0.25">
      <c r="C429" s="26"/>
      <c r="O429" s="13"/>
      <c r="P429" s="13"/>
      <c r="Q429" s="13"/>
      <c r="R429" s="13"/>
    </row>
    <row r="430" spans="3:18" ht="15.75" customHeight="1" x14ac:dyDescent="0.25">
      <c r="C430" s="26"/>
      <c r="O430" s="13"/>
      <c r="P430" s="13"/>
      <c r="Q430" s="13"/>
      <c r="R430" s="13"/>
    </row>
    <row r="431" spans="3:18" ht="15.75" customHeight="1" x14ac:dyDescent="0.25">
      <c r="C431" s="26"/>
      <c r="O431" s="13"/>
      <c r="P431" s="13"/>
      <c r="Q431" s="13"/>
      <c r="R431" s="13"/>
    </row>
    <row r="432" spans="3:18" ht="15.75" customHeight="1" x14ac:dyDescent="0.25">
      <c r="C432" s="26"/>
      <c r="O432" s="13"/>
      <c r="P432" s="13"/>
      <c r="Q432" s="13"/>
      <c r="R432" s="13"/>
    </row>
    <row r="433" spans="3:18" ht="15.75" customHeight="1" x14ac:dyDescent="0.25">
      <c r="C433" s="26"/>
      <c r="O433" s="13"/>
      <c r="P433" s="13"/>
      <c r="Q433" s="13"/>
      <c r="R433" s="13"/>
    </row>
    <row r="434" spans="3:18" ht="15.75" customHeight="1" x14ac:dyDescent="0.25">
      <c r="C434" s="26"/>
      <c r="O434" s="13"/>
      <c r="P434" s="13"/>
      <c r="Q434" s="13"/>
      <c r="R434" s="13"/>
    </row>
    <row r="435" spans="3:18" ht="15.75" customHeight="1" x14ac:dyDescent="0.25">
      <c r="C435" s="26"/>
      <c r="O435" s="13"/>
      <c r="P435" s="13"/>
      <c r="Q435" s="13"/>
      <c r="R435" s="13"/>
    </row>
    <row r="436" spans="3:18" ht="15.75" customHeight="1" x14ac:dyDescent="0.25">
      <c r="C436" s="26"/>
      <c r="O436" s="13"/>
      <c r="P436" s="13"/>
      <c r="Q436" s="13"/>
      <c r="R436" s="13"/>
    </row>
    <row r="437" spans="3:18" ht="15.75" customHeight="1" x14ac:dyDescent="0.25">
      <c r="C437" s="26"/>
      <c r="O437" s="13"/>
      <c r="P437" s="13"/>
      <c r="Q437" s="13"/>
      <c r="R437" s="13"/>
    </row>
    <row r="438" spans="3:18" ht="15.75" customHeight="1" x14ac:dyDescent="0.25">
      <c r="C438" s="26"/>
      <c r="O438" s="13"/>
      <c r="P438" s="13"/>
      <c r="Q438" s="13"/>
      <c r="R438" s="13"/>
    </row>
    <row r="439" spans="3:18" ht="15.75" customHeight="1" x14ac:dyDescent="0.25">
      <c r="C439" s="26"/>
      <c r="O439" s="13"/>
      <c r="P439" s="13"/>
      <c r="Q439" s="13"/>
      <c r="R439" s="13"/>
    </row>
    <row r="440" spans="3:18" ht="15.75" customHeight="1" x14ac:dyDescent="0.25">
      <c r="C440" s="26"/>
      <c r="O440" s="13"/>
      <c r="P440" s="13"/>
      <c r="Q440" s="13"/>
      <c r="R440" s="13"/>
    </row>
    <row r="441" spans="3:18" ht="15.75" customHeight="1" x14ac:dyDescent="0.25">
      <c r="C441" s="26"/>
      <c r="O441" s="13"/>
      <c r="P441" s="13"/>
      <c r="Q441" s="13"/>
      <c r="R441" s="13"/>
    </row>
    <row r="442" spans="3:18" ht="15.75" customHeight="1" x14ac:dyDescent="0.25">
      <c r="C442" s="26"/>
      <c r="O442" s="13"/>
      <c r="P442" s="13"/>
      <c r="Q442" s="13"/>
      <c r="R442" s="13"/>
    </row>
    <row r="443" spans="3:18" ht="15.75" customHeight="1" x14ac:dyDescent="0.25">
      <c r="C443" s="26"/>
      <c r="O443" s="13"/>
      <c r="P443" s="13"/>
      <c r="Q443" s="13"/>
      <c r="R443" s="13"/>
    </row>
    <row r="444" spans="3:18" ht="15.75" customHeight="1" x14ac:dyDescent="0.25">
      <c r="C444" s="26"/>
      <c r="O444" s="13"/>
      <c r="P444" s="13"/>
      <c r="Q444" s="13"/>
      <c r="R444" s="13"/>
    </row>
    <row r="445" spans="3:18" ht="15.75" customHeight="1" x14ac:dyDescent="0.25">
      <c r="C445" s="26"/>
      <c r="O445" s="13"/>
      <c r="P445" s="13"/>
      <c r="Q445" s="13"/>
      <c r="R445" s="13"/>
    </row>
    <row r="446" spans="3:18" ht="15.75" customHeight="1" x14ac:dyDescent="0.25">
      <c r="C446" s="26"/>
      <c r="O446" s="13"/>
      <c r="P446" s="13"/>
      <c r="Q446" s="13"/>
      <c r="R446" s="13"/>
    </row>
    <row r="447" spans="3:18" ht="15.75" customHeight="1" x14ac:dyDescent="0.25">
      <c r="C447" s="26"/>
      <c r="O447" s="13"/>
      <c r="P447" s="13"/>
      <c r="Q447" s="13"/>
      <c r="R447" s="13"/>
    </row>
    <row r="448" spans="3:18" ht="15.75" customHeight="1" x14ac:dyDescent="0.25">
      <c r="C448" s="26"/>
      <c r="O448" s="13"/>
      <c r="P448" s="13"/>
      <c r="Q448" s="13"/>
      <c r="R448" s="13"/>
    </row>
    <row r="449" spans="3:18" ht="15.75" customHeight="1" x14ac:dyDescent="0.25">
      <c r="C449" s="26"/>
      <c r="O449" s="13"/>
      <c r="P449" s="13"/>
      <c r="Q449" s="13"/>
      <c r="R449" s="13"/>
    </row>
    <row r="450" spans="3:18" ht="15.75" customHeight="1" x14ac:dyDescent="0.25">
      <c r="C450" s="26"/>
      <c r="O450" s="13"/>
      <c r="P450" s="13"/>
      <c r="Q450" s="13"/>
      <c r="R450" s="13"/>
    </row>
    <row r="451" spans="3:18" ht="15.75" customHeight="1" x14ac:dyDescent="0.25">
      <c r="C451" s="26"/>
      <c r="O451" s="13"/>
      <c r="P451" s="13"/>
      <c r="Q451" s="13"/>
      <c r="R451" s="13"/>
    </row>
    <row r="452" spans="3:18" ht="15.75" customHeight="1" x14ac:dyDescent="0.25">
      <c r="C452" s="26"/>
      <c r="O452" s="13"/>
      <c r="P452" s="13"/>
      <c r="Q452" s="13"/>
      <c r="R452" s="13"/>
    </row>
    <row r="453" spans="3:18" ht="15.75" customHeight="1" x14ac:dyDescent="0.25">
      <c r="C453" s="26"/>
      <c r="O453" s="13"/>
      <c r="P453" s="13"/>
      <c r="Q453" s="13"/>
      <c r="R453" s="13"/>
    </row>
    <row r="454" spans="3:18" ht="15.75" customHeight="1" x14ac:dyDescent="0.25">
      <c r="C454" s="26"/>
      <c r="O454" s="13"/>
      <c r="P454" s="13"/>
      <c r="Q454" s="13"/>
      <c r="R454" s="13"/>
    </row>
    <row r="455" spans="3:18" ht="15.75" customHeight="1" x14ac:dyDescent="0.25">
      <c r="C455" s="26"/>
      <c r="O455" s="13"/>
      <c r="P455" s="13"/>
      <c r="Q455" s="13"/>
      <c r="R455" s="13"/>
    </row>
    <row r="456" spans="3:18" ht="15.75" customHeight="1" x14ac:dyDescent="0.25">
      <c r="C456" s="26"/>
      <c r="O456" s="13"/>
      <c r="P456" s="13"/>
      <c r="Q456" s="13"/>
      <c r="R456" s="13"/>
    </row>
    <row r="457" spans="3:18" ht="15.75" customHeight="1" x14ac:dyDescent="0.25">
      <c r="C457" s="26"/>
      <c r="O457" s="13"/>
      <c r="P457" s="13"/>
      <c r="Q457" s="13"/>
      <c r="R457" s="13"/>
    </row>
    <row r="458" spans="3:18" ht="15.75" customHeight="1" x14ac:dyDescent="0.25">
      <c r="C458" s="26"/>
      <c r="O458" s="13"/>
      <c r="P458" s="13"/>
      <c r="Q458" s="13"/>
      <c r="R458" s="13"/>
    </row>
    <row r="459" spans="3:18" ht="15.75" customHeight="1" x14ac:dyDescent="0.25">
      <c r="C459" s="26"/>
      <c r="O459" s="13"/>
      <c r="P459" s="13"/>
      <c r="Q459" s="13"/>
      <c r="R459" s="13"/>
    </row>
    <row r="460" spans="3:18" ht="15.75" customHeight="1" x14ac:dyDescent="0.25">
      <c r="C460" s="26"/>
      <c r="O460" s="13"/>
      <c r="P460" s="13"/>
      <c r="Q460" s="13"/>
      <c r="R460" s="13"/>
    </row>
    <row r="461" spans="3:18" ht="15.75" customHeight="1" x14ac:dyDescent="0.25">
      <c r="C461" s="26"/>
      <c r="O461" s="13"/>
      <c r="P461" s="13"/>
      <c r="Q461" s="13"/>
      <c r="R461" s="13"/>
    </row>
    <row r="462" spans="3:18" ht="15.75" customHeight="1" x14ac:dyDescent="0.25">
      <c r="C462" s="26"/>
      <c r="O462" s="13"/>
      <c r="P462" s="13"/>
      <c r="Q462" s="13"/>
      <c r="R462" s="13"/>
    </row>
    <row r="463" spans="3:18" ht="15.75" customHeight="1" x14ac:dyDescent="0.25">
      <c r="C463" s="26"/>
      <c r="O463" s="13"/>
      <c r="P463" s="13"/>
      <c r="Q463" s="13"/>
      <c r="R463" s="13"/>
    </row>
    <row r="464" spans="3:18" ht="15.75" customHeight="1" x14ac:dyDescent="0.25">
      <c r="C464" s="26"/>
      <c r="O464" s="13"/>
      <c r="P464" s="13"/>
      <c r="Q464" s="13"/>
      <c r="R464" s="13"/>
    </row>
    <row r="465" spans="3:18" ht="15.75" customHeight="1" x14ac:dyDescent="0.25">
      <c r="C465" s="26"/>
      <c r="O465" s="13"/>
      <c r="P465" s="13"/>
      <c r="Q465" s="13"/>
      <c r="R465" s="13"/>
    </row>
    <row r="466" spans="3:18" ht="15.75" customHeight="1" x14ac:dyDescent="0.25">
      <c r="C466" s="26"/>
      <c r="O466" s="13"/>
      <c r="P466" s="13"/>
      <c r="Q466" s="13"/>
      <c r="R466" s="13"/>
    </row>
    <row r="467" spans="3:18" ht="15.75" customHeight="1" x14ac:dyDescent="0.25">
      <c r="C467" s="26"/>
      <c r="O467" s="13"/>
      <c r="P467" s="13"/>
      <c r="Q467" s="13"/>
      <c r="R467" s="13"/>
    </row>
    <row r="468" spans="3:18" ht="15.75" customHeight="1" x14ac:dyDescent="0.25">
      <c r="C468" s="26"/>
      <c r="O468" s="13"/>
      <c r="P468" s="13"/>
      <c r="Q468" s="13"/>
      <c r="R468" s="13"/>
    </row>
    <row r="469" spans="3:18" ht="15.75" customHeight="1" x14ac:dyDescent="0.25">
      <c r="C469" s="26"/>
      <c r="O469" s="13"/>
      <c r="P469" s="13"/>
      <c r="Q469" s="13"/>
      <c r="R469" s="13"/>
    </row>
    <row r="470" spans="3:18" ht="15.75" customHeight="1" x14ac:dyDescent="0.25">
      <c r="C470" s="26"/>
      <c r="O470" s="13"/>
      <c r="P470" s="13"/>
      <c r="Q470" s="13"/>
      <c r="R470" s="13"/>
    </row>
    <row r="471" spans="3:18" ht="15.75" customHeight="1" x14ac:dyDescent="0.25">
      <c r="C471" s="26"/>
      <c r="O471" s="13"/>
      <c r="P471" s="13"/>
      <c r="Q471" s="13"/>
      <c r="R471" s="13"/>
    </row>
    <row r="472" spans="3:18" ht="15.75" customHeight="1" x14ac:dyDescent="0.25">
      <c r="C472" s="26"/>
      <c r="O472" s="13"/>
      <c r="P472" s="13"/>
      <c r="Q472" s="13"/>
      <c r="R472" s="13"/>
    </row>
    <row r="473" spans="3:18" ht="15.75" customHeight="1" x14ac:dyDescent="0.25">
      <c r="C473" s="26"/>
      <c r="O473" s="13"/>
      <c r="P473" s="13"/>
      <c r="Q473" s="13"/>
      <c r="R473" s="13"/>
    </row>
    <row r="474" spans="3:18" ht="15.75" customHeight="1" x14ac:dyDescent="0.25">
      <c r="C474" s="26"/>
      <c r="O474" s="13"/>
      <c r="P474" s="13"/>
      <c r="Q474" s="13"/>
      <c r="R474" s="13"/>
    </row>
    <row r="475" spans="3:18" ht="15.75" customHeight="1" x14ac:dyDescent="0.25">
      <c r="C475" s="26"/>
      <c r="O475" s="13"/>
      <c r="P475" s="13"/>
      <c r="Q475" s="13"/>
      <c r="R475" s="13"/>
    </row>
    <row r="476" spans="3:18" ht="15.75" customHeight="1" x14ac:dyDescent="0.25">
      <c r="C476" s="26"/>
      <c r="O476" s="13"/>
      <c r="P476" s="13"/>
      <c r="Q476" s="13"/>
      <c r="R476" s="13"/>
    </row>
    <row r="477" spans="3:18" ht="15.75" customHeight="1" x14ac:dyDescent="0.25">
      <c r="C477" s="26"/>
      <c r="O477" s="13"/>
      <c r="P477" s="13"/>
      <c r="Q477" s="13"/>
      <c r="R477" s="13"/>
    </row>
    <row r="478" spans="3:18" ht="15.75" customHeight="1" x14ac:dyDescent="0.25">
      <c r="C478" s="26"/>
      <c r="O478" s="13"/>
      <c r="P478" s="13"/>
      <c r="Q478" s="13"/>
      <c r="R478" s="13"/>
    </row>
    <row r="479" spans="3:18" ht="15.75" customHeight="1" x14ac:dyDescent="0.25">
      <c r="C479" s="26"/>
      <c r="O479" s="13"/>
      <c r="P479" s="13"/>
      <c r="Q479" s="13"/>
      <c r="R479" s="13"/>
    </row>
    <row r="480" spans="3:18" ht="15.75" customHeight="1" x14ac:dyDescent="0.25">
      <c r="C480" s="26"/>
      <c r="O480" s="13"/>
      <c r="P480" s="13"/>
      <c r="Q480" s="13"/>
      <c r="R480" s="13"/>
    </row>
    <row r="481" spans="3:18" ht="15.75" customHeight="1" x14ac:dyDescent="0.25">
      <c r="C481" s="26"/>
      <c r="O481" s="13"/>
      <c r="P481" s="13"/>
      <c r="Q481" s="13"/>
      <c r="R481" s="13"/>
    </row>
    <row r="482" spans="3:18" ht="15.75" customHeight="1" x14ac:dyDescent="0.25">
      <c r="C482" s="26"/>
      <c r="O482" s="13"/>
      <c r="P482" s="13"/>
      <c r="Q482" s="13"/>
      <c r="R482" s="13"/>
    </row>
    <row r="483" spans="3:18" ht="15.75" customHeight="1" x14ac:dyDescent="0.25">
      <c r="C483" s="26"/>
      <c r="O483" s="13"/>
      <c r="P483" s="13"/>
      <c r="Q483" s="13"/>
      <c r="R483" s="13"/>
    </row>
    <row r="484" spans="3:18" ht="15.75" customHeight="1" x14ac:dyDescent="0.25">
      <c r="C484" s="26"/>
      <c r="O484" s="13"/>
      <c r="P484" s="13"/>
      <c r="Q484" s="13"/>
      <c r="R484" s="13"/>
    </row>
    <row r="485" spans="3:18" ht="15.75" customHeight="1" x14ac:dyDescent="0.25">
      <c r="C485" s="26"/>
      <c r="O485" s="13"/>
      <c r="P485" s="13"/>
      <c r="Q485" s="13"/>
      <c r="R485" s="13"/>
    </row>
    <row r="486" spans="3:18" ht="15.75" customHeight="1" x14ac:dyDescent="0.25">
      <c r="C486" s="26"/>
      <c r="O486" s="13"/>
      <c r="P486" s="13"/>
      <c r="Q486" s="13"/>
      <c r="R486" s="13"/>
    </row>
    <row r="487" spans="3:18" ht="15.75" customHeight="1" x14ac:dyDescent="0.25">
      <c r="C487" s="26"/>
      <c r="O487" s="13"/>
      <c r="P487" s="13"/>
      <c r="Q487" s="13"/>
      <c r="R487" s="13"/>
    </row>
    <row r="488" spans="3:18" ht="15.75" customHeight="1" x14ac:dyDescent="0.25">
      <c r="C488" s="26"/>
      <c r="O488" s="13"/>
      <c r="P488" s="13"/>
      <c r="Q488" s="13"/>
      <c r="R488" s="13"/>
    </row>
    <row r="489" spans="3:18" ht="15.75" customHeight="1" x14ac:dyDescent="0.25">
      <c r="C489" s="26"/>
      <c r="O489" s="13"/>
      <c r="P489" s="13"/>
      <c r="Q489" s="13"/>
      <c r="R489" s="13"/>
    </row>
    <row r="490" spans="3:18" ht="15.75" customHeight="1" x14ac:dyDescent="0.25">
      <c r="C490" s="26"/>
      <c r="O490" s="13"/>
      <c r="P490" s="13"/>
      <c r="Q490" s="13"/>
      <c r="R490" s="13"/>
    </row>
    <row r="491" spans="3:18" ht="15.75" customHeight="1" x14ac:dyDescent="0.25">
      <c r="C491" s="26"/>
      <c r="O491" s="13"/>
      <c r="P491" s="13"/>
      <c r="Q491" s="13"/>
      <c r="R491" s="13"/>
    </row>
    <row r="492" spans="3:18" ht="15.75" customHeight="1" x14ac:dyDescent="0.25">
      <c r="C492" s="26"/>
      <c r="O492" s="13"/>
      <c r="P492" s="13"/>
      <c r="Q492" s="13"/>
      <c r="R492" s="13"/>
    </row>
    <row r="493" spans="3:18" ht="15.75" customHeight="1" x14ac:dyDescent="0.25">
      <c r="C493" s="26"/>
      <c r="O493" s="13"/>
      <c r="P493" s="13"/>
      <c r="Q493" s="13"/>
      <c r="R493" s="13"/>
    </row>
    <row r="494" spans="3:18" ht="15.75" customHeight="1" x14ac:dyDescent="0.25">
      <c r="C494" s="26"/>
      <c r="O494" s="13"/>
      <c r="P494" s="13"/>
      <c r="Q494" s="13"/>
      <c r="R494" s="13"/>
    </row>
    <row r="495" spans="3:18" ht="15.75" customHeight="1" x14ac:dyDescent="0.25">
      <c r="C495" s="26"/>
      <c r="O495" s="13"/>
      <c r="P495" s="13"/>
      <c r="Q495" s="13"/>
      <c r="R495" s="13"/>
    </row>
    <row r="496" spans="3:18" ht="15.75" customHeight="1" x14ac:dyDescent="0.25">
      <c r="C496" s="26"/>
      <c r="O496" s="13"/>
      <c r="P496" s="13"/>
      <c r="Q496" s="13"/>
      <c r="R496" s="13"/>
    </row>
    <row r="497" spans="3:18" ht="15.75" customHeight="1" x14ac:dyDescent="0.25">
      <c r="C497" s="26"/>
      <c r="O497" s="13"/>
      <c r="P497" s="13"/>
      <c r="Q497" s="13"/>
      <c r="R497" s="13"/>
    </row>
    <row r="498" spans="3:18" ht="15.75" customHeight="1" x14ac:dyDescent="0.25">
      <c r="C498" s="26"/>
      <c r="O498" s="13"/>
      <c r="P498" s="13"/>
      <c r="Q498" s="13"/>
      <c r="R498" s="13"/>
    </row>
    <row r="499" spans="3:18" ht="15.75" customHeight="1" x14ac:dyDescent="0.25">
      <c r="C499" s="26"/>
      <c r="O499" s="13"/>
      <c r="P499" s="13"/>
      <c r="Q499" s="13"/>
      <c r="R499" s="13"/>
    </row>
    <row r="500" spans="3:18" ht="15.75" customHeight="1" x14ac:dyDescent="0.25">
      <c r="C500" s="26"/>
      <c r="O500" s="13"/>
      <c r="P500" s="13"/>
      <c r="Q500" s="13"/>
      <c r="R500" s="13"/>
    </row>
    <row r="501" spans="3:18" ht="15.75" customHeight="1" x14ac:dyDescent="0.25">
      <c r="C501" s="26"/>
      <c r="O501" s="13"/>
      <c r="P501" s="13"/>
      <c r="Q501" s="13"/>
      <c r="R501" s="13"/>
    </row>
    <row r="502" spans="3:18" ht="15.75" customHeight="1" x14ac:dyDescent="0.25">
      <c r="C502" s="26"/>
      <c r="O502" s="13"/>
      <c r="P502" s="13"/>
      <c r="Q502" s="13"/>
      <c r="R502" s="13"/>
    </row>
    <row r="503" spans="3:18" ht="15.75" customHeight="1" x14ac:dyDescent="0.25">
      <c r="C503" s="26"/>
      <c r="O503" s="13"/>
      <c r="P503" s="13"/>
      <c r="Q503" s="13"/>
      <c r="R503" s="13"/>
    </row>
    <row r="504" spans="3:18" ht="15.75" customHeight="1" x14ac:dyDescent="0.25">
      <c r="C504" s="26"/>
      <c r="O504" s="13"/>
      <c r="P504" s="13"/>
      <c r="Q504" s="13"/>
      <c r="R504" s="13"/>
    </row>
    <row r="505" spans="3:18" ht="15.75" customHeight="1" x14ac:dyDescent="0.25">
      <c r="C505" s="26"/>
      <c r="O505" s="13"/>
      <c r="P505" s="13"/>
      <c r="Q505" s="13"/>
      <c r="R505" s="13"/>
    </row>
    <row r="506" spans="3:18" ht="15.75" customHeight="1" x14ac:dyDescent="0.25">
      <c r="C506" s="26"/>
      <c r="O506" s="13"/>
      <c r="P506" s="13"/>
      <c r="Q506" s="13"/>
      <c r="R506" s="13"/>
    </row>
    <row r="507" spans="3:18" ht="15.75" customHeight="1" x14ac:dyDescent="0.25">
      <c r="C507" s="26"/>
      <c r="O507" s="13"/>
      <c r="P507" s="13"/>
      <c r="Q507" s="13"/>
      <c r="R507" s="13"/>
    </row>
    <row r="508" spans="3:18" ht="15.75" customHeight="1" x14ac:dyDescent="0.25">
      <c r="C508" s="26"/>
      <c r="O508" s="13"/>
      <c r="P508" s="13"/>
      <c r="Q508" s="13"/>
      <c r="R508" s="13"/>
    </row>
    <row r="509" spans="3:18" ht="15.75" customHeight="1" x14ac:dyDescent="0.25">
      <c r="C509" s="26"/>
      <c r="O509" s="13"/>
      <c r="P509" s="13"/>
      <c r="Q509" s="13"/>
      <c r="R509" s="13"/>
    </row>
    <row r="510" spans="3:18" ht="15.75" customHeight="1" x14ac:dyDescent="0.25">
      <c r="C510" s="26"/>
      <c r="O510" s="13"/>
      <c r="P510" s="13"/>
      <c r="Q510" s="13"/>
      <c r="R510" s="13"/>
    </row>
    <row r="511" spans="3:18" ht="15.75" customHeight="1" x14ac:dyDescent="0.25">
      <c r="C511" s="26"/>
      <c r="O511" s="13"/>
      <c r="P511" s="13"/>
      <c r="Q511" s="13"/>
      <c r="R511" s="13"/>
    </row>
    <row r="512" spans="3:18" ht="15.75" customHeight="1" x14ac:dyDescent="0.25">
      <c r="C512" s="26"/>
      <c r="O512" s="13"/>
      <c r="P512" s="13"/>
      <c r="Q512" s="13"/>
      <c r="R512" s="13"/>
    </row>
    <row r="513" spans="3:18" ht="15.75" customHeight="1" x14ac:dyDescent="0.25">
      <c r="C513" s="26"/>
      <c r="O513" s="13"/>
      <c r="P513" s="13"/>
      <c r="Q513" s="13"/>
      <c r="R513" s="13"/>
    </row>
    <row r="514" spans="3:18" ht="15.75" customHeight="1" x14ac:dyDescent="0.25">
      <c r="C514" s="26"/>
      <c r="O514" s="13"/>
      <c r="P514" s="13"/>
      <c r="Q514" s="13"/>
      <c r="R514" s="13"/>
    </row>
    <row r="515" spans="3:18" ht="15.75" customHeight="1" x14ac:dyDescent="0.25">
      <c r="C515" s="26"/>
      <c r="O515" s="13"/>
      <c r="P515" s="13"/>
      <c r="Q515" s="13"/>
      <c r="R515" s="13"/>
    </row>
    <row r="516" spans="3:18" ht="15.75" customHeight="1" x14ac:dyDescent="0.25">
      <c r="C516" s="26"/>
      <c r="O516" s="13"/>
      <c r="P516" s="13"/>
      <c r="Q516" s="13"/>
      <c r="R516" s="13"/>
    </row>
    <row r="517" spans="3:18" ht="15.75" customHeight="1" x14ac:dyDescent="0.25">
      <c r="C517" s="26"/>
      <c r="O517" s="13"/>
      <c r="P517" s="13"/>
      <c r="Q517" s="13"/>
      <c r="R517" s="13"/>
    </row>
    <row r="518" spans="3:18" ht="15.75" customHeight="1" x14ac:dyDescent="0.25">
      <c r="C518" s="26"/>
      <c r="O518" s="13"/>
      <c r="P518" s="13"/>
      <c r="Q518" s="13"/>
      <c r="R518" s="13"/>
    </row>
    <row r="519" spans="3:18" ht="15.75" customHeight="1" x14ac:dyDescent="0.25">
      <c r="C519" s="26"/>
      <c r="O519" s="13"/>
      <c r="P519" s="13"/>
      <c r="Q519" s="13"/>
      <c r="R519" s="13"/>
    </row>
    <row r="520" spans="3:18" ht="15.75" customHeight="1" x14ac:dyDescent="0.25">
      <c r="C520" s="26"/>
      <c r="O520" s="13"/>
      <c r="P520" s="13"/>
      <c r="Q520" s="13"/>
      <c r="R520" s="13"/>
    </row>
    <row r="521" spans="3:18" ht="15.75" customHeight="1" x14ac:dyDescent="0.25">
      <c r="C521" s="26"/>
      <c r="O521" s="13"/>
      <c r="P521" s="13"/>
      <c r="Q521" s="13"/>
      <c r="R521" s="13"/>
    </row>
    <row r="522" spans="3:18" ht="15.75" customHeight="1" x14ac:dyDescent="0.25">
      <c r="C522" s="26"/>
      <c r="O522" s="13"/>
      <c r="P522" s="13"/>
      <c r="Q522" s="13"/>
      <c r="R522" s="13"/>
    </row>
    <row r="523" spans="3:18" ht="15.75" customHeight="1" x14ac:dyDescent="0.25">
      <c r="C523" s="26"/>
      <c r="O523" s="13"/>
      <c r="P523" s="13"/>
      <c r="Q523" s="13"/>
      <c r="R523" s="13"/>
    </row>
    <row r="524" spans="3:18" ht="15.75" customHeight="1" x14ac:dyDescent="0.25">
      <c r="C524" s="26"/>
      <c r="O524" s="13"/>
      <c r="P524" s="13"/>
      <c r="Q524" s="13"/>
      <c r="R524" s="13"/>
    </row>
    <row r="525" spans="3:18" ht="15.75" customHeight="1" x14ac:dyDescent="0.25">
      <c r="C525" s="26"/>
      <c r="O525" s="13"/>
      <c r="P525" s="13"/>
      <c r="Q525" s="13"/>
      <c r="R525" s="13"/>
    </row>
    <row r="526" spans="3:18" ht="15.75" customHeight="1" x14ac:dyDescent="0.25">
      <c r="C526" s="26"/>
      <c r="O526" s="13"/>
      <c r="P526" s="13"/>
      <c r="Q526" s="13"/>
      <c r="R526" s="13"/>
    </row>
    <row r="527" spans="3:18" ht="15.75" customHeight="1" x14ac:dyDescent="0.25">
      <c r="C527" s="26"/>
      <c r="O527" s="13"/>
      <c r="P527" s="13"/>
      <c r="Q527" s="13"/>
      <c r="R527" s="13"/>
    </row>
    <row r="528" spans="3:18" ht="15.75" customHeight="1" x14ac:dyDescent="0.25">
      <c r="C528" s="26"/>
      <c r="O528" s="13"/>
      <c r="P528" s="13"/>
      <c r="Q528" s="13"/>
      <c r="R528" s="13"/>
    </row>
    <row r="529" spans="3:18" ht="15.75" customHeight="1" x14ac:dyDescent="0.25">
      <c r="C529" s="26"/>
      <c r="O529" s="13"/>
      <c r="P529" s="13"/>
      <c r="Q529" s="13"/>
      <c r="R529" s="13"/>
    </row>
    <row r="530" spans="3:18" ht="15.75" customHeight="1" x14ac:dyDescent="0.25">
      <c r="C530" s="26"/>
      <c r="O530" s="13"/>
      <c r="P530" s="13"/>
      <c r="Q530" s="13"/>
      <c r="R530" s="13"/>
    </row>
    <row r="531" spans="3:18" ht="15.75" customHeight="1" x14ac:dyDescent="0.25">
      <c r="C531" s="26"/>
      <c r="O531" s="13"/>
      <c r="P531" s="13"/>
      <c r="Q531" s="13"/>
      <c r="R531" s="13"/>
    </row>
    <row r="532" spans="3:18" ht="15.75" customHeight="1" x14ac:dyDescent="0.25">
      <c r="C532" s="26"/>
      <c r="O532" s="13"/>
      <c r="P532" s="13"/>
      <c r="Q532" s="13"/>
      <c r="R532" s="13"/>
    </row>
    <row r="533" spans="3:18" ht="15.75" customHeight="1" x14ac:dyDescent="0.25">
      <c r="C533" s="26"/>
      <c r="O533" s="13"/>
      <c r="P533" s="13"/>
      <c r="Q533" s="13"/>
      <c r="R533" s="13"/>
    </row>
    <row r="534" spans="3:18" ht="15.75" customHeight="1" x14ac:dyDescent="0.25">
      <c r="C534" s="26"/>
      <c r="O534" s="13"/>
      <c r="P534" s="13"/>
      <c r="Q534" s="13"/>
      <c r="R534" s="13"/>
    </row>
    <row r="535" spans="3:18" ht="15.75" customHeight="1" x14ac:dyDescent="0.25">
      <c r="C535" s="26"/>
      <c r="O535" s="13"/>
      <c r="P535" s="13"/>
      <c r="Q535" s="13"/>
      <c r="R535" s="13"/>
    </row>
    <row r="536" spans="3:18" ht="15.75" customHeight="1" x14ac:dyDescent="0.25">
      <c r="C536" s="26"/>
      <c r="O536" s="13"/>
      <c r="P536" s="13"/>
      <c r="Q536" s="13"/>
      <c r="R536" s="13"/>
    </row>
    <row r="537" spans="3:18" ht="15.75" customHeight="1" x14ac:dyDescent="0.25">
      <c r="C537" s="26"/>
      <c r="O537" s="13"/>
      <c r="P537" s="13"/>
      <c r="Q537" s="13"/>
      <c r="R537" s="13"/>
    </row>
    <row r="538" spans="3:18" ht="15.75" customHeight="1" x14ac:dyDescent="0.25">
      <c r="C538" s="26"/>
      <c r="O538" s="13"/>
      <c r="P538" s="13"/>
      <c r="Q538" s="13"/>
      <c r="R538" s="13"/>
    </row>
    <row r="539" spans="3:18" ht="15.75" customHeight="1" x14ac:dyDescent="0.25">
      <c r="C539" s="26"/>
      <c r="O539" s="13"/>
      <c r="P539" s="13"/>
      <c r="Q539" s="13"/>
      <c r="R539" s="13"/>
    </row>
    <row r="540" spans="3:18" ht="15.75" customHeight="1" x14ac:dyDescent="0.25">
      <c r="C540" s="26"/>
      <c r="O540" s="13"/>
      <c r="P540" s="13"/>
      <c r="Q540" s="13"/>
      <c r="R540" s="13"/>
    </row>
    <row r="541" spans="3:18" ht="15.75" customHeight="1" x14ac:dyDescent="0.25">
      <c r="C541" s="26"/>
      <c r="O541" s="13"/>
      <c r="P541" s="13"/>
      <c r="Q541" s="13"/>
      <c r="R541" s="13"/>
    </row>
    <row r="542" spans="3:18" ht="15.75" customHeight="1" x14ac:dyDescent="0.25">
      <c r="C542" s="26"/>
      <c r="O542" s="13"/>
      <c r="P542" s="13"/>
      <c r="Q542" s="13"/>
      <c r="R542" s="13"/>
    </row>
    <row r="543" spans="3:18" ht="15.75" customHeight="1" x14ac:dyDescent="0.25">
      <c r="C543" s="26"/>
      <c r="O543" s="13"/>
      <c r="P543" s="13"/>
      <c r="Q543" s="13"/>
      <c r="R543" s="13"/>
    </row>
    <row r="544" spans="3:18" ht="15.75" customHeight="1" x14ac:dyDescent="0.25">
      <c r="C544" s="26"/>
      <c r="O544" s="13"/>
      <c r="P544" s="13"/>
      <c r="Q544" s="13"/>
      <c r="R544" s="13"/>
    </row>
    <row r="545" spans="3:18" ht="15.75" customHeight="1" x14ac:dyDescent="0.25">
      <c r="C545" s="26"/>
      <c r="O545" s="13"/>
      <c r="P545" s="13"/>
      <c r="Q545" s="13"/>
      <c r="R545" s="13"/>
    </row>
    <row r="546" spans="3:18" ht="15.75" customHeight="1" x14ac:dyDescent="0.25">
      <c r="C546" s="26"/>
      <c r="O546" s="13"/>
      <c r="P546" s="13"/>
      <c r="Q546" s="13"/>
      <c r="R546" s="13"/>
    </row>
    <row r="547" spans="3:18" ht="15.75" customHeight="1" x14ac:dyDescent="0.25">
      <c r="C547" s="26"/>
      <c r="O547" s="13"/>
      <c r="P547" s="13"/>
      <c r="Q547" s="13"/>
      <c r="R547" s="13"/>
    </row>
    <row r="548" spans="3:18" ht="15.75" customHeight="1" x14ac:dyDescent="0.25">
      <c r="C548" s="26"/>
      <c r="O548" s="13"/>
      <c r="P548" s="13"/>
      <c r="Q548" s="13"/>
      <c r="R548" s="13"/>
    </row>
    <row r="549" spans="3:18" ht="15.75" customHeight="1" x14ac:dyDescent="0.25">
      <c r="C549" s="26"/>
      <c r="O549" s="13"/>
      <c r="P549" s="13"/>
      <c r="Q549" s="13"/>
      <c r="R549" s="13"/>
    </row>
    <row r="550" spans="3:18" ht="15.75" customHeight="1" x14ac:dyDescent="0.25">
      <c r="C550" s="26"/>
      <c r="O550" s="13"/>
      <c r="P550" s="13"/>
      <c r="Q550" s="13"/>
      <c r="R550" s="13"/>
    </row>
    <row r="551" spans="3:18" ht="15.75" customHeight="1" x14ac:dyDescent="0.25">
      <c r="C551" s="26"/>
      <c r="O551" s="13"/>
      <c r="P551" s="13"/>
      <c r="Q551" s="13"/>
      <c r="R551" s="13"/>
    </row>
    <row r="552" spans="3:18" ht="15.75" customHeight="1" x14ac:dyDescent="0.25">
      <c r="C552" s="26"/>
      <c r="O552" s="13"/>
      <c r="P552" s="13"/>
      <c r="Q552" s="13"/>
      <c r="R552" s="13"/>
    </row>
    <row r="553" spans="3:18" ht="15.75" customHeight="1" x14ac:dyDescent="0.25">
      <c r="C553" s="26"/>
      <c r="O553" s="13"/>
      <c r="P553" s="13"/>
      <c r="Q553" s="13"/>
      <c r="R553" s="13"/>
    </row>
    <row r="554" spans="3:18" ht="15.75" customHeight="1" x14ac:dyDescent="0.25">
      <c r="C554" s="26"/>
      <c r="O554" s="13"/>
      <c r="P554" s="13"/>
      <c r="Q554" s="13"/>
      <c r="R554" s="13"/>
    </row>
    <row r="555" spans="3:18" ht="15.75" customHeight="1" x14ac:dyDescent="0.25">
      <c r="C555" s="26"/>
      <c r="O555" s="13"/>
      <c r="P555" s="13"/>
      <c r="Q555" s="13"/>
      <c r="R555" s="13"/>
    </row>
    <row r="556" spans="3:18" ht="15.75" customHeight="1" x14ac:dyDescent="0.25">
      <c r="C556" s="26"/>
      <c r="O556" s="13"/>
      <c r="P556" s="13"/>
      <c r="Q556" s="13"/>
      <c r="R556" s="13"/>
    </row>
    <row r="557" spans="3:18" ht="15.75" customHeight="1" x14ac:dyDescent="0.25">
      <c r="C557" s="26"/>
      <c r="O557" s="13"/>
      <c r="P557" s="13"/>
      <c r="Q557" s="13"/>
      <c r="R557" s="13"/>
    </row>
    <row r="558" spans="3:18" ht="15.75" customHeight="1" x14ac:dyDescent="0.25">
      <c r="C558" s="26"/>
      <c r="O558" s="13"/>
      <c r="P558" s="13"/>
      <c r="Q558" s="13"/>
      <c r="R558" s="13"/>
    </row>
    <row r="559" spans="3:18" ht="15.75" customHeight="1" x14ac:dyDescent="0.25">
      <c r="C559" s="26"/>
      <c r="O559" s="13"/>
      <c r="P559" s="13"/>
      <c r="Q559" s="13"/>
      <c r="R559" s="13"/>
    </row>
    <row r="560" spans="3:18" ht="15.75" customHeight="1" x14ac:dyDescent="0.25">
      <c r="C560" s="26"/>
      <c r="O560" s="13"/>
      <c r="P560" s="13"/>
      <c r="Q560" s="13"/>
      <c r="R560" s="13"/>
    </row>
    <row r="561" spans="3:18" ht="15.75" customHeight="1" x14ac:dyDescent="0.25">
      <c r="C561" s="26"/>
      <c r="O561" s="13"/>
      <c r="P561" s="13"/>
      <c r="Q561" s="13"/>
      <c r="R561" s="13"/>
    </row>
    <row r="562" spans="3:18" ht="15.75" customHeight="1" x14ac:dyDescent="0.25">
      <c r="C562" s="26"/>
      <c r="O562" s="13"/>
      <c r="P562" s="13"/>
      <c r="Q562" s="13"/>
      <c r="R562" s="13"/>
    </row>
    <row r="563" spans="3:18" ht="15.75" customHeight="1" x14ac:dyDescent="0.25">
      <c r="C563" s="26"/>
      <c r="O563" s="13"/>
      <c r="P563" s="13"/>
      <c r="Q563" s="13"/>
      <c r="R563" s="13"/>
    </row>
    <row r="564" spans="3:18" ht="15.75" customHeight="1" x14ac:dyDescent="0.25">
      <c r="C564" s="26"/>
      <c r="O564" s="13"/>
      <c r="P564" s="13"/>
      <c r="Q564" s="13"/>
      <c r="R564" s="13"/>
    </row>
    <row r="565" spans="3:18" ht="15.75" customHeight="1" x14ac:dyDescent="0.25">
      <c r="C565" s="26"/>
      <c r="O565" s="13"/>
      <c r="P565" s="13"/>
      <c r="Q565" s="13"/>
      <c r="R565" s="13"/>
    </row>
    <row r="566" spans="3:18" ht="15.75" customHeight="1" x14ac:dyDescent="0.25">
      <c r="C566" s="26"/>
      <c r="O566" s="13"/>
      <c r="P566" s="13"/>
      <c r="Q566" s="13"/>
      <c r="R566" s="13"/>
    </row>
    <row r="567" spans="3:18" ht="15.75" customHeight="1" x14ac:dyDescent="0.25">
      <c r="C567" s="26"/>
      <c r="O567" s="13"/>
      <c r="P567" s="13"/>
      <c r="Q567" s="13"/>
      <c r="R567" s="13"/>
    </row>
    <row r="568" spans="3:18" ht="15.75" customHeight="1" x14ac:dyDescent="0.25">
      <c r="C568" s="26"/>
      <c r="O568" s="13"/>
      <c r="P568" s="13"/>
      <c r="Q568" s="13"/>
      <c r="R568" s="13"/>
    </row>
    <row r="569" spans="3:18" ht="15.75" customHeight="1" x14ac:dyDescent="0.25">
      <c r="C569" s="26"/>
      <c r="O569" s="13"/>
      <c r="P569" s="13"/>
      <c r="Q569" s="13"/>
      <c r="R569" s="13"/>
    </row>
    <row r="570" spans="3:18" ht="15.75" customHeight="1" x14ac:dyDescent="0.25">
      <c r="C570" s="26"/>
      <c r="O570" s="13"/>
      <c r="P570" s="13"/>
      <c r="Q570" s="13"/>
      <c r="R570" s="13"/>
    </row>
    <row r="571" spans="3:18" ht="15.75" customHeight="1" x14ac:dyDescent="0.25">
      <c r="C571" s="26"/>
      <c r="O571" s="13"/>
      <c r="P571" s="13"/>
      <c r="Q571" s="13"/>
      <c r="R571" s="13"/>
    </row>
    <row r="572" spans="3:18" ht="15.75" customHeight="1" x14ac:dyDescent="0.25">
      <c r="C572" s="26"/>
      <c r="O572" s="13"/>
      <c r="P572" s="13"/>
      <c r="Q572" s="13"/>
      <c r="R572" s="13"/>
    </row>
    <row r="573" spans="3:18" ht="15.75" customHeight="1" x14ac:dyDescent="0.25">
      <c r="C573" s="26"/>
      <c r="O573" s="13"/>
      <c r="P573" s="13"/>
      <c r="Q573" s="13"/>
      <c r="R573" s="13"/>
    </row>
    <row r="574" spans="3:18" ht="15.75" customHeight="1" x14ac:dyDescent="0.25">
      <c r="C574" s="26"/>
      <c r="O574" s="13"/>
      <c r="P574" s="13"/>
      <c r="Q574" s="13"/>
      <c r="R574" s="13"/>
    </row>
    <row r="575" spans="3:18" ht="15.75" customHeight="1" x14ac:dyDescent="0.25">
      <c r="C575" s="26"/>
      <c r="O575" s="13"/>
      <c r="P575" s="13"/>
      <c r="Q575" s="13"/>
      <c r="R575" s="13"/>
    </row>
    <row r="576" spans="3:18" ht="15.75" customHeight="1" x14ac:dyDescent="0.25">
      <c r="C576" s="26"/>
      <c r="O576" s="13"/>
      <c r="P576" s="13"/>
      <c r="Q576" s="13"/>
      <c r="R576" s="13"/>
    </row>
    <row r="577" spans="3:18" ht="15.75" customHeight="1" x14ac:dyDescent="0.25">
      <c r="C577" s="26"/>
      <c r="O577" s="13"/>
      <c r="P577" s="13"/>
      <c r="Q577" s="13"/>
      <c r="R577" s="13"/>
    </row>
    <row r="578" spans="3:18" ht="15.75" customHeight="1" x14ac:dyDescent="0.25">
      <c r="C578" s="26"/>
      <c r="O578" s="13"/>
      <c r="P578" s="13"/>
      <c r="Q578" s="13"/>
      <c r="R578" s="13"/>
    </row>
    <row r="579" spans="3:18" ht="15.75" customHeight="1" x14ac:dyDescent="0.25">
      <c r="C579" s="26"/>
      <c r="O579" s="13"/>
      <c r="P579" s="13"/>
      <c r="Q579" s="13"/>
      <c r="R579" s="13"/>
    </row>
    <row r="580" spans="3:18" ht="15.75" customHeight="1" x14ac:dyDescent="0.25">
      <c r="C580" s="26"/>
      <c r="O580" s="13"/>
      <c r="P580" s="13"/>
      <c r="Q580" s="13"/>
      <c r="R580" s="13"/>
    </row>
    <row r="581" spans="3:18" ht="15.75" customHeight="1" x14ac:dyDescent="0.25">
      <c r="C581" s="26"/>
      <c r="O581" s="13"/>
      <c r="P581" s="13"/>
      <c r="Q581" s="13"/>
      <c r="R581" s="13"/>
    </row>
    <row r="582" spans="3:18" ht="15.75" customHeight="1" x14ac:dyDescent="0.25">
      <c r="C582" s="26"/>
      <c r="O582" s="13"/>
      <c r="P582" s="13"/>
      <c r="Q582" s="13"/>
      <c r="R582" s="13"/>
    </row>
    <row r="583" spans="3:18" ht="15.75" customHeight="1" x14ac:dyDescent="0.25">
      <c r="C583" s="26"/>
      <c r="O583" s="13"/>
      <c r="P583" s="13"/>
      <c r="Q583" s="13"/>
      <c r="R583" s="13"/>
    </row>
    <row r="584" spans="3:18" ht="15.75" customHeight="1" x14ac:dyDescent="0.25">
      <c r="C584" s="26"/>
      <c r="O584" s="13"/>
      <c r="P584" s="13"/>
      <c r="Q584" s="13"/>
      <c r="R584" s="13"/>
    </row>
    <row r="585" spans="3:18" ht="15.75" customHeight="1" x14ac:dyDescent="0.25">
      <c r="C585" s="26"/>
      <c r="O585" s="13"/>
      <c r="P585" s="13"/>
      <c r="Q585" s="13"/>
      <c r="R585" s="13"/>
    </row>
    <row r="586" spans="3:18" ht="15.75" customHeight="1" x14ac:dyDescent="0.25">
      <c r="C586" s="26"/>
      <c r="O586" s="13"/>
      <c r="P586" s="13"/>
      <c r="Q586" s="13"/>
      <c r="R586" s="13"/>
    </row>
    <row r="587" spans="3:18" ht="15.75" customHeight="1" x14ac:dyDescent="0.25">
      <c r="C587" s="26"/>
      <c r="O587" s="13"/>
      <c r="P587" s="13"/>
      <c r="Q587" s="13"/>
      <c r="R587" s="13"/>
    </row>
    <row r="588" spans="3:18" ht="15.75" customHeight="1" x14ac:dyDescent="0.25">
      <c r="C588" s="26"/>
      <c r="O588" s="13"/>
      <c r="P588" s="13"/>
      <c r="Q588" s="13"/>
      <c r="R588" s="13"/>
    </row>
    <row r="589" spans="3:18" ht="15.75" customHeight="1" x14ac:dyDescent="0.25">
      <c r="C589" s="26"/>
      <c r="O589" s="13"/>
      <c r="P589" s="13"/>
      <c r="Q589" s="13"/>
      <c r="R589" s="13"/>
    </row>
    <row r="590" spans="3:18" ht="15.75" customHeight="1" x14ac:dyDescent="0.25">
      <c r="C590" s="26"/>
      <c r="O590" s="13"/>
      <c r="P590" s="13"/>
      <c r="Q590" s="13"/>
      <c r="R590" s="13"/>
    </row>
    <row r="591" spans="3:18" ht="15.75" customHeight="1" x14ac:dyDescent="0.25">
      <c r="C591" s="26"/>
      <c r="O591" s="13"/>
      <c r="P591" s="13"/>
      <c r="Q591" s="13"/>
      <c r="R591" s="13"/>
    </row>
    <row r="592" spans="3:18" ht="15.75" customHeight="1" x14ac:dyDescent="0.25">
      <c r="C592" s="26"/>
      <c r="O592" s="13"/>
      <c r="P592" s="13"/>
      <c r="Q592" s="13"/>
      <c r="R592" s="13"/>
    </row>
    <row r="593" spans="3:18" ht="15.75" customHeight="1" x14ac:dyDescent="0.25">
      <c r="C593" s="26"/>
      <c r="O593" s="13"/>
      <c r="P593" s="13"/>
      <c r="Q593" s="13"/>
      <c r="R593" s="13"/>
    </row>
    <row r="594" spans="3:18" ht="15.75" customHeight="1" x14ac:dyDescent="0.25">
      <c r="C594" s="26"/>
      <c r="O594" s="13"/>
      <c r="P594" s="13"/>
      <c r="Q594" s="13"/>
      <c r="R594" s="13"/>
    </row>
    <row r="595" spans="3:18" ht="15.75" customHeight="1" x14ac:dyDescent="0.25">
      <c r="C595" s="26"/>
      <c r="O595" s="13"/>
      <c r="P595" s="13"/>
      <c r="Q595" s="13"/>
      <c r="R595" s="13"/>
    </row>
    <row r="596" spans="3:18" ht="15.75" customHeight="1" x14ac:dyDescent="0.25">
      <c r="C596" s="26"/>
      <c r="O596" s="13"/>
      <c r="P596" s="13"/>
      <c r="Q596" s="13"/>
      <c r="R596" s="13"/>
    </row>
    <row r="597" spans="3:18" ht="15.75" customHeight="1" x14ac:dyDescent="0.25">
      <c r="C597" s="26"/>
      <c r="O597" s="13"/>
      <c r="P597" s="13"/>
      <c r="Q597" s="13"/>
      <c r="R597" s="13"/>
    </row>
    <row r="598" spans="3:18" ht="15.75" customHeight="1" x14ac:dyDescent="0.25">
      <c r="C598" s="26"/>
      <c r="O598" s="13"/>
      <c r="P598" s="13"/>
      <c r="Q598" s="13"/>
      <c r="R598" s="13"/>
    </row>
    <row r="599" spans="3:18" ht="15.75" customHeight="1" x14ac:dyDescent="0.25">
      <c r="C599" s="26"/>
      <c r="O599" s="13"/>
      <c r="P599" s="13"/>
      <c r="Q599" s="13"/>
      <c r="R599" s="13"/>
    </row>
    <row r="600" spans="3:18" ht="15.75" customHeight="1" x14ac:dyDescent="0.25">
      <c r="C600" s="26"/>
      <c r="O600" s="13"/>
      <c r="P600" s="13"/>
      <c r="Q600" s="13"/>
      <c r="R600" s="13"/>
    </row>
    <row r="601" spans="3:18" ht="15.75" customHeight="1" x14ac:dyDescent="0.25">
      <c r="C601" s="26"/>
      <c r="O601" s="13"/>
      <c r="P601" s="13"/>
      <c r="Q601" s="13"/>
      <c r="R601" s="13"/>
    </row>
    <row r="602" spans="3:18" ht="15.75" customHeight="1" x14ac:dyDescent="0.25">
      <c r="C602" s="26"/>
      <c r="O602" s="13"/>
      <c r="P602" s="13"/>
      <c r="Q602" s="13"/>
      <c r="R602" s="13"/>
    </row>
    <row r="603" spans="3:18" ht="15.75" customHeight="1" x14ac:dyDescent="0.25">
      <c r="C603" s="26"/>
      <c r="O603" s="13"/>
      <c r="P603" s="13"/>
      <c r="Q603" s="13"/>
      <c r="R603" s="13"/>
    </row>
    <row r="604" spans="3:18" ht="15.75" customHeight="1" x14ac:dyDescent="0.25">
      <c r="C604" s="26"/>
      <c r="O604" s="13"/>
      <c r="P604" s="13"/>
      <c r="Q604" s="13"/>
      <c r="R604" s="13"/>
    </row>
    <row r="605" spans="3:18" ht="15.75" customHeight="1" x14ac:dyDescent="0.25">
      <c r="C605" s="26"/>
      <c r="O605" s="13"/>
      <c r="P605" s="13"/>
      <c r="Q605" s="13"/>
      <c r="R605" s="13"/>
    </row>
    <row r="606" spans="3:18" ht="15.75" customHeight="1" x14ac:dyDescent="0.25">
      <c r="C606" s="26"/>
      <c r="O606" s="13"/>
      <c r="P606" s="13"/>
      <c r="Q606" s="13"/>
      <c r="R606" s="13"/>
    </row>
    <row r="607" spans="3:18" ht="15.75" customHeight="1" x14ac:dyDescent="0.25">
      <c r="C607" s="26"/>
      <c r="O607" s="13"/>
      <c r="P607" s="13"/>
      <c r="Q607" s="13"/>
      <c r="R607" s="13"/>
    </row>
    <row r="608" spans="3:18" ht="15.75" customHeight="1" x14ac:dyDescent="0.25">
      <c r="C608" s="26"/>
      <c r="O608" s="13"/>
      <c r="P608" s="13"/>
      <c r="Q608" s="13"/>
      <c r="R608" s="13"/>
    </row>
    <row r="609" spans="3:18" ht="15.75" customHeight="1" x14ac:dyDescent="0.25">
      <c r="C609" s="26"/>
      <c r="O609" s="13"/>
      <c r="P609" s="13"/>
      <c r="Q609" s="13"/>
      <c r="R609" s="13"/>
    </row>
    <row r="610" spans="3:18" ht="15.75" customHeight="1" x14ac:dyDescent="0.25">
      <c r="C610" s="26"/>
      <c r="O610" s="13"/>
      <c r="P610" s="13"/>
      <c r="Q610" s="13"/>
      <c r="R610" s="13"/>
    </row>
    <row r="611" spans="3:18" ht="15.75" customHeight="1" x14ac:dyDescent="0.25">
      <c r="C611" s="26"/>
      <c r="O611" s="13"/>
      <c r="P611" s="13"/>
      <c r="Q611" s="13"/>
      <c r="R611" s="13"/>
    </row>
    <row r="612" spans="3:18" ht="15.75" customHeight="1" x14ac:dyDescent="0.25">
      <c r="C612" s="26"/>
      <c r="O612" s="13"/>
      <c r="P612" s="13"/>
      <c r="Q612" s="13"/>
      <c r="R612" s="13"/>
    </row>
    <row r="613" spans="3:18" ht="15.75" customHeight="1" x14ac:dyDescent="0.25">
      <c r="C613" s="26"/>
      <c r="O613" s="13"/>
      <c r="P613" s="13"/>
      <c r="Q613" s="13"/>
      <c r="R613" s="13"/>
    </row>
    <row r="614" spans="3:18" ht="15.75" customHeight="1" x14ac:dyDescent="0.25">
      <c r="C614" s="26"/>
      <c r="O614" s="13"/>
      <c r="P614" s="13"/>
      <c r="Q614" s="13"/>
      <c r="R614" s="13"/>
    </row>
    <row r="615" spans="3:18" ht="15.75" customHeight="1" x14ac:dyDescent="0.25">
      <c r="C615" s="26"/>
      <c r="O615" s="13"/>
      <c r="P615" s="13"/>
      <c r="Q615" s="13"/>
      <c r="R615" s="13"/>
    </row>
    <row r="616" spans="3:18" ht="15.75" customHeight="1" x14ac:dyDescent="0.25">
      <c r="C616" s="26"/>
      <c r="O616" s="13"/>
      <c r="P616" s="13"/>
      <c r="Q616" s="13"/>
      <c r="R616" s="13"/>
    </row>
    <row r="617" spans="3:18" ht="15.75" customHeight="1" x14ac:dyDescent="0.25">
      <c r="C617" s="26"/>
      <c r="O617" s="13"/>
      <c r="P617" s="13"/>
      <c r="Q617" s="13"/>
      <c r="R617" s="13"/>
    </row>
    <row r="618" spans="3:18" ht="15.75" customHeight="1" x14ac:dyDescent="0.25">
      <c r="C618" s="26"/>
      <c r="O618" s="13"/>
      <c r="P618" s="13"/>
      <c r="Q618" s="13"/>
      <c r="R618" s="13"/>
    </row>
    <row r="619" spans="3:18" ht="15.75" customHeight="1" x14ac:dyDescent="0.25">
      <c r="C619" s="26"/>
      <c r="O619" s="13"/>
      <c r="P619" s="13"/>
      <c r="Q619" s="13"/>
      <c r="R619" s="13"/>
    </row>
    <row r="620" spans="3:18" ht="15.75" customHeight="1" x14ac:dyDescent="0.25">
      <c r="C620" s="26"/>
      <c r="O620" s="13"/>
      <c r="P620" s="13"/>
      <c r="Q620" s="13"/>
      <c r="R620" s="13"/>
    </row>
    <row r="621" spans="3:18" ht="15.75" customHeight="1" x14ac:dyDescent="0.25">
      <c r="C621" s="26"/>
      <c r="O621" s="13"/>
      <c r="P621" s="13"/>
      <c r="Q621" s="13"/>
      <c r="R621" s="13"/>
    </row>
    <row r="622" spans="3:18" ht="15.75" customHeight="1" x14ac:dyDescent="0.25">
      <c r="C622" s="26"/>
      <c r="O622" s="13"/>
      <c r="P622" s="13"/>
      <c r="Q622" s="13"/>
      <c r="R622" s="13"/>
    </row>
    <row r="623" spans="3:18" ht="15.75" customHeight="1" x14ac:dyDescent="0.25">
      <c r="C623" s="26"/>
      <c r="O623" s="13"/>
      <c r="P623" s="13"/>
      <c r="Q623" s="13"/>
      <c r="R623" s="13"/>
    </row>
    <row r="624" spans="3:18" ht="15.75" customHeight="1" x14ac:dyDescent="0.25">
      <c r="C624" s="26"/>
      <c r="O624" s="13"/>
      <c r="P624" s="13"/>
      <c r="Q624" s="13"/>
      <c r="R624" s="13"/>
    </row>
    <row r="625" spans="3:18" ht="15.75" customHeight="1" x14ac:dyDescent="0.25">
      <c r="C625" s="26"/>
      <c r="O625" s="13"/>
      <c r="P625" s="13"/>
      <c r="Q625" s="13"/>
      <c r="R625" s="13"/>
    </row>
    <row r="626" spans="3:18" ht="15.75" customHeight="1" x14ac:dyDescent="0.25">
      <c r="C626" s="26"/>
      <c r="O626" s="13"/>
      <c r="P626" s="13"/>
      <c r="Q626" s="13"/>
      <c r="R626" s="13"/>
    </row>
    <row r="627" spans="3:18" ht="15.75" customHeight="1" x14ac:dyDescent="0.25">
      <c r="C627" s="26"/>
      <c r="O627" s="13"/>
      <c r="P627" s="13"/>
      <c r="Q627" s="13"/>
      <c r="R627" s="13"/>
    </row>
    <row r="628" spans="3:18" ht="15.75" customHeight="1" x14ac:dyDescent="0.25">
      <c r="C628" s="26"/>
      <c r="O628" s="13"/>
      <c r="P628" s="13"/>
      <c r="Q628" s="13"/>
      <c r="R628" s="13"/>
    </row>
    <row r="629" spans="3:18" ht="15.75" customHeight="1" x14ac:dyDescent="0.25">
      <c r="C629" s="26"/>
      <c r="O629" s="13"/>
      <c r="P629" s="13"/>
      <c r="Q629" s="13"/>
      <c r="R629" s="13"/>
    </row>
    <row r="630" spans="3:18" ht="15.75" customHeight="1" x14ac:dyDescent="0.25">
      <c r="C630" s="26"/>
      <c r="O630" s="13"/>
      <c r="P630" s="13"/>
      <c r="Q630" s="13"/>
      <c r="R630" s="13"/>
    </row>
    <row r="631" spans="3:18" ht="15.75" customHeight="1" x14ac:dyDescent="0.25">
      <c r="C631" s="26"/>
      <c r="O631" s="13"/>
      <c r="P631" s="13"/>
      <c r="Q631" s="13"/>
      <c r="R631" s="13"/>
    </row>
    <row r="632" spans="3:18" ht="15.75" customHeight="1" x14ac:dyDescent="0.25">
      <c r="C632" s="26"/>
      <c r="O632" s="13"/>
      <c r="P632" s="13"/>
      <c r="Q632" s="13"/>
      <c r="R632" s="13"/>
    </row>
    <row r="633" spans="3:18" ht="15.75" customHeight="1" x14ac:dyDescent="0.25">
      <c r="C633" s="26"/>
      <c r="O633" s="13"/>
      <c r="P633" s="13"/>
      <c r="Q633" s="13"/>
      <c r="R633" s="13"/>
    </row>
    <row r="634" spans="3:18" ht="15.75" customHeight="1" x14ac:dyDescent="0.25">
      <c r="C634" s="26"/>
      <c r="O634" s="13"/>
      <c r="P634" s="13"/>
      <c r="Q634" s="13"/>
      <c r="R634" s="13"/>
    </row>
    <row r="635" spans="3:18" ht="15.75" customHeight="1" x14ac:dyDescent="0.25">
      <c r="C635" s="26"/>
      <c r="O635" s="13"/>
      <c r="P635" s="13"/>
      <c r="Q635" s="13"/>
      <c r="R635" s="13"/>
    </row>
    <row r="636" spans="3:18" ht="15.75" customHeight="1" x14ac:dyDescent="0.25">
      <c r="C636" s="26"/>
      <c r="O636" s="13"/>
      <c r="P636" s="13"/>
      <c r="Q636" s="13"/>
      <c r="R636" s="13"/>
    </row>
    <row r="637" spans="3:18" ht="15.75" customHeight="1" x14ac:dyDescent="0.25">
      <c r="C637" s="26"/>
      <c r="O637" s="13"/>
      <c r="P637" s="13"/>
      <c r="Q637" s="13"/>
      <c r="R637" s="13"/>
    </row>
    <row r="638" spans="3:18" ht="15.75" customHeight="1" x14ac:dyDescent="0.25">
      <c r="C638" s="26"/>
      <c r="O638" s="13"/>
      <c r="P638" s="13"/>
      <c r="Q638" s="13"/>
      <c r="R638" s="13"/>
    </row>
    <row r="639" spans="3:18" ht="15.75" customHeight="1" x14ac:dyDescent="0.25">
      <c r="C639" s="26"/>
      <c r="O639" s="13"/>
      <c r="P639" s="13"/>
      <c r="Q639" s="13"/>
      <c r="R639" s="13"/>
    </row>
    <row r="640" spans="3:18" ht="15.75" customHeight="1" x14ac:dyDescent="0.25">
      <c r="C640" s="26"/>
      <c r="O640" s="13"/>
      <c r="P640" s="13"/>
      <c r="Q640" s="13"/>
      <c r="R640" s="13"/>
    </row>
    <row r="641" spans="3:18" ht="15.75" customHeight="1" x14ac:dyDescent="0.25">
      <c r="C641" s="26"/>
      <c r="O641" s="13"/>
      <c r="P641" s="13"/>
      <c r="Q641" s="13"/>
      <c r="R641" s="13"/>
    </row>
    <row r="642" spans="3:18" ht="15.75" customHeight="1" x14ac:dyDescent="0.25">
      <c r="C642" s="26"/>
      <c r="O642" s="13"/>
      <c r="P642" s="13"/>
      <c r="Q642" s="13"/>
      <c r="R642" s="13"/>
    </row>
    <row r="643" spans="3:18" ht="15.75" customHeight="1" x14ac:dyDescent="0.25">
      <c r="C643" s="26"/>
      <c r="O643" s="13"/>
      <c r="P643" s="13"/>
      <c r="Q643" s="13"/>
      <c r="R643" s="13"/>
    </row>
    <row r="644" spans="3:18" ht="15.75" customHeight="1" x14ac:dyDescent="0.25">
      <c r="C644" s="26"/>
      <c r="O644" s="13"/>
      <c r="P644" s="13"/>
      <c r="Q644" s="13"/>
      <c r="R644" s="13"/>
    </row>
    <row r="645" spans="3:18" ht="15.75" customHeight="1" x14ac:dyDescent="0.25">
      <c r="C645" s="26"/>
      <c r="O645" s="13"/>
      <c r="P645" s="13"/>
      <c r="Q645" s="13"/>
      <c r="R645" s="13"/>
    </row>
    <row r="646" spans="3:18" ht="15.75" customHeight="1" x14ac:dyDescent="0.25">
      <c r="C646" s="26"/>
      <c r="O646" s="13"/>
      <c r="P646" s="13"/>
      <c r="Q646" s="13"/>
      <c r="R646" s="13"/>
    </row>
    <row r="647" spans="3:18" ht="15.75" customHeight="1" x14ac:dyDescent="0.25">
      <c r="C647" s="26"/>
      <c r="O647" s="13"/>
      <c r="P647" s="13"/>
      <c r="Q647" s="13"/>
      <c r="R647" s="13"/>
    </row>
    <row r="648" spans="3:18" ht="15.75" customHeight="1" x14ac:dyDescent="0.25">
      <c r="C648" s="26"/>
      <c r="O648" s="13"/>
      <c r="P648" s="13"/>
      <c r="Q648" s="13"/>
      <c r="R648" s="13"/>
    </row>
    <row r="649" spans="3:18" ht="15.75" customHeight="1" x14ac:dyDescent="0.25">
      <c r="C649" s="26"/>
      <c r="O649" s="13"/>
      <c r="P649" s="13"/>
      <c r="Q649" s="13"/>
      <c r="R649" s="13"/>
    </row>
    <row r="650" spans="3:18" ht="15.75" customHeight="1" x14ac:dyDescent="0.25">
      <c r="C650" s="26"/>
      <c r="O650" s="13"/>
      <c r="P650" s="13"/>
      <c r="Q650" s="13"/>
      <c r="R650" s="13"/>
    </row>
    <row r="651" spans="3:18" ht="15.75" customHeight="1" x14ac:dyDescent="0.25">
      <c r="C651" s="26"/>
      <c r="O651" s="13"/>
      <c r="P651" s="13"/>
      <c r="Q651" s="13"/>
      <c r="R651" s="13"/>
    </row>
    <row r="652" spans="3:18" ht="15.75" customHeight="1" x14ac:dyDescent="0.25">
      <c r="C652" s="26"/>
      <c r="O652" s="13"/>
      <c r="P652" s="13"/>
      <c r="Q652" s="13"/>
      <c r="R652" s="13"/>
    </row>
    <row r="653" spans="3:18" ht="15.75" customHeight="1" x14ac:dyDescent="0.25">
      <c r="C653" s="26"/>
      <c r="O653" s="13"/>
      <c r="P653" s="13"/>
      <c r="Q653" s="13"/>
      <c r="R653" s="13"/>
    </row>
    <row r="654" spans="3:18" ht="15.75" customHeight="1" x14ac:dyDescent="0.25">
      <c r="C654" s="26"/>
      <c r="O654" s="13"/>
      <c r="P654" s="13"/>
      <c r="Q654" s="13"/>
      <c r="R654" s="13"/>
    </row>
    <row r="655" spans="3:18" ht="15.75" customHeight="1" x14ac:dyDescent="0.25">
      <c r="C655" s="26"/>
      <c r="O655" s="13"/>
      <c r="P655" s="13"/>
      <c r="Q655" s="13"/>
      <c r="R655" s="13"/>
    </row>
    <row r="656" spans="3:18" ht="15.75" customHeight="1" x14ac:dyDescent="0.25">
      <c r="C656" s="26"/>
      <c r="O656" s="13"/>
      <c r="P656" s="13"/>
      <c r="Q656" s="13"/>
      <c r="R656" s="13"/>
    </row>
    <row r="657" spans="3:18" ht="15.75" customHeight="1" x14ac:dyDescent="0.25">
      <c r="C657" s="26"/>
      <c r="O657" s="13"/>
      <c r="P657" s="13"/>
      <c r="Q657" s="13"/>
      <c r="R657" s="13"/>
    </row>
    <row r="658" spans="3:18" ht="15.75" customHeight="1" x14ac:dyDescent="0.25">
      <c r="C658" s="26"/>
      <c r="O658" s="13"/>
      <c r="P658" s="13"/>
      <c r="Q658" s="13"/>
      <c r="R658" s="13"/>
    </row>
    <row r="659" spans="3:18" ht="15.75" customHeight="1" x14ac:dyDescent="0.25">
      <c r="C659" s="26"/>
      <c r="O659" s="13"/>
      <c r="P659" s="13"/>
      <c r="Q659" s="13"/>
      <c r="R659" s="13"/>
    </row>
    <row r="660" spans="3:18" ht="15.75" customHeight="1" x14ac:dyDescent="0.25">
      <c r="C660" s="26"/>
      <c r="O660" s="13"/>
      <c r="P660" s="13"/>
      <c r="Q660" s="13"/>
      <c r="R660" s="13"/>
    </row>
    <row r="661" spans="3:18" ht="15.75" customHeight="1" x14ac:dyDescent="0.25">
      <c r="C661" s="26"/>
      <c r="O661" s="13"/>
      <c r="P661" s="13"/>
      <c r="Q661" s="13"/>
      <c r="R661" s="13"/>
    </row>
    <row r="662" spans="3:18" ht="15.75" customHeight="1" x14ac:dyDescent="0.25">
      <c r="C662" s="26"/>
      <c r="O662" s="13"/>
      <c r="P662" s="13"/>
      <c r="Q662" s="13"/>
      <c r="R662" s="13"/>
    </row>
    <row r="663" spans="3:18" ht="15.75" customHeight="1" x14ac:dyDescent="0.25">
      <c r="C663" s="26"/>
      <c r="O663" s="13"/>
      <c r="P663" s="13"/>
      <c r="Q663" s="13"/>
      <c r="R663" s="13"/>
    </row>
    <row r="664" spans="3:18" ht="15.75" customHeight="1" x14ac:dyDescent="0.25">
      <c r="C664" s="26"/>
      <c r="O664" s="13"/>
      <c r="P664" s="13"/>
      <c r="Q664" s="13"/>
      <c r="R664" s="13"/>
    </row>
    <row r="665" spans="3:18" ht="15.75" customHeight="1" x14ac:dyDescent="0.25">
      <c r="C665" s="26"/>
      <c r="O665" s="13"/>
      <c r="P665" s="13"/>
      <c r="Q665" s="13"/>
      <c r="R665" s="13"/>
    </row>
    <row r="666" spans="3:18" ht="15.75" customHeight="1" x14ac:dyDescent="0.25">
      <c r="C666" s="26"/>
      <c r="O666" s="13"/>
      <c r="P666" s="13"/>
      <c r="Q666" s="13"/>
      <c r="R666" s="13"/>
    </row>
    <row r="667" spans="3:18" ht="15.75" customHeight="1" x14ac:dyDescent="0.25">
      <c r="C667" s="26"/>
      <c r="O667" s="13"/>
      <c r="P667" s="13"/>
      <c r="Q667" s="13"/>
      <c r="R667" s="13"/>
    </row>
    <row r="668" spans="3:18" ht="15.75" customHeight="1" x14ac:dyDescent="0.25">
      <c r="C668" s="26"/>
      <c r="O668" s="13"/>
      <c r="P668" s="13"/>
      <c r="Q668" s="13"/>
      <c r="R668" s="13"/>
    </row>
    <row r="669" spans="3:18" ht="15.75" customHeight="1" x14ac:dyDescent="0.25">
      <c r="C669" s="26"/>
      <c r="O669" s="13"/>
      <c r="P669" s="13"/>
      <c r="Q669" s="13"/>
      <c r="R669" s="13"/>
    </row>
    <row r="670" spans="3:18" ht="15.75" customHeight="1" x14ac:dyDescent="0.25">
      <c r="C670" s="26"/>
      <c r="O670" s="13"/>
      <c r="P670" s="13"/>
      <c r="Q670" s="13"/>
      <c r="R670" s="13"/>
    </row>
    <row r="671" spans="3:18" ht="15.75" customHeight="1" x14ac:dyDescent="0.25">
      <c r="C671" s="26"/>
      <c r="O671" s="13"/>
      <c r="P671" s="13"/>
      <c r="Q671" s="13"/>
      <c r="R671" s="13"/>
    </row>
    <row r="672" spans="3:18" ht="15.75" customHeight="1" x14ac:dyDescent="0.25">
      <c r="C672" s="26"/>
      <c r="O672" s="13"/>
      <c r="P672" s="13"/>
      <c r="Q672" s="13"/>
      <c r="R672" s="13"/>
    </row>
    <row r="673" spans="3:18" ht="15.75" customHeight="1" x14ac:dyDescent="0.25">
      <c r="C673" s="26"/>
      <c r="O673" s="13"/>
      <c r="P673" s="13"/>
      <c r="Q673" s="13"/>
      <c r="R673" s="13"/>
    </row>
    <row r="674" spans="3:18" ht="15.75" customHeight="1" x14ac:dyDescent="0.25">
      <c r="C674" s="26"/>
      <c r="O674" s="13"/>
      <c r="P674" s="13"/>
      <c r="Q674" s="13"/>
      <c r="R674" s="13"/>
    </row>
    <row r="675" spans="3:18" ht="15.75" customHeight="1" x14ac:dyDescent="0.25">
      <c r="C675" s="26"/>
      <c r="O675" s="13"/>
      <c r="P675" s="13"/>
      <c r="Q675" s="13"/>
      <c r="R675" s="13"/>
    </row>
    <row r="676" spans="3:18" ht="15.75" customHeight="1" x14ac:dyDescent="0.25">
      <c r="C676" s="26"/>
      <c r="O676" s="13"/>
      <c r="P676" s="13"/>
      <c r="Q676" s="13"/>
      <c r="R676" s="13"/>
    </row>
    <row r="677" spans="3:18" ht="15.75" customHeight="1" x14ac:dyDescent="0.25">
      <c r="C677" s="26"/>
      <c r="O677" s="13"/>
      <c r="P677" s="13"/>
      <c r="Q677" s="13"/>
      <c r="R677" s="13"/>
    </row>
    <row r="678" spans="3:18" ht="15.75" customHeight="1" x14ac:dyDescent="0.25">
      <c r="C678" s="26"/>
      <c r="O678" s="13"/>
      <c r="P678" s="13"/>
      <c r="Q678" s="13"/>
      <c r="R678" s="13"/>
    </row>
    <row r="679" spans="3:18" ht="15.75" customHeight="1" x14ac:dyDescent="0.25">
      <c r="C679" s="26"/>
      <c r="O679" s="13"/>
      <c r="P679" s="13"/>
      <c r="Q679" s="13"/>
      <c r="R679" s="13"/>
    </row>
    <row r="680" spans="3:18" ht="15.75" customHeight="1" x14ac:dyDescent="0.25">
      <c r="C680" s="26"/>
      <c r="O680" s="13"/>
      <c r="P680" s="13"/>
      <c r="Q680" s="13"/>
      <c r="R680" s="13"/>
    </row>
    <row r="681" spans="3:18" ht="15.75" customHeight="1" x14ac:dyDescent="0.25">
      <c r="C681" s="26"/>
      <c r="O681" s="13"/>
      <c r="P681" s="13"/>
      <c r="Q681" s="13"/>
      <c r="R681" s="13"/>
    </row>
    <row r="682" spans="3:18" ht="15.75" customHeight="1" x14ac:dyDescent="0.25">
      <c r="C682" s="26"/>
      <c r="O682" s="13"/>
      <c r="P682" s="13"/>
      <c r="Q682" s="13"/>
      <c r="R682" s="13"/>
    </row>
    <row r="683" spans="3:18" ht="15.75" customHeight="1" x14ac:dyDescent="0.25">
      <c r="C683" s="26"/>
      <c r="O683" s="13"/>
      <c r="P683" s="13"/>
      <c r="Q683" s="13"/>
      <c r="R683" s="13"/>
    </row>
    <row r="684" spans="3:18" ht="15.75" customHeight="1" x14ac:dyDescent="0.25">
      <c r="C684" s="26"/>
      <c r="O684" s="13"/>
      <c r="P684" s="13"/>
      <c r="Q684" s="13"/>
      <c r="R684" s="13"/>
    </row>
    <row r="685" spans="3:18" ht="15.75" customHeight="1" x14ac:dyDescent="0.25">
      <c r="C685" s="26"/>
      <c r="O685" s="13"/>
      <c r="P685" s="13"/>
      <c r="Q685" s="13"/>
      <c r="R685" s="13"/>
    </row>
    <row r="686" spans="3:18" ht="15.75" customHeight="1" x14ac:dyDescent="0.25">
      <c r="C686" s="26"/>
      <c r="O686" s="13"/>
      <c r="P686" s="13"/>
      <c r="Q686" s="13"/>
      <c r="R686" s="13"/>
    </row>
    <row r="687" spans="3:18" ht="15.75" customHeight="1" x14ac:dyDescent="0.25">
      <c r="C687" s="26"/>
      <c r="O687" s="13"/>
      <c r="P687" s="13"/>
      <c r="Q687" s="13"/>
      <c r="R687" s="13"/>
    </row>
    <row r="688" spans="3:18" ht="15.75" customHeight="1" x14ac:dyDescent="0.25">
      <c r="C688" s="26"/>
      <c r="O688" s="13"/>
      <c r="P688" s="13"/>
      <c r="Q688" s="13"/>
      <c r="R688" s="13"/>
    </row>
    <row r="689" spans="3:18" ht="15.75" customHeight="1" x14ac:dyDescent="0.25">
      <c r="C689" s="26"/>
      <c r="O689" s="13"/>
      <c r="P689" s="13"/>
      <c r="Q689" s="13"/>
      <c r="R689" s="13"/>
    </row>
    <row r="690" spans="3:18" ht="15.75" customHeight="1" x14ac:dyDescent="0.25">
      <c r="C690" s="26"/>
      <c r="O690" s="13"/>
      <c r="P690" s="13"/>
      <c r="Q690" s="13"/>
      <c r="R690" s="13"/>
    </row>
    <row r="691" spans="3:18" ht="15.75" customHeight="1" x14ac:dyDescent="0.25">
      <c r="C691" s="26"/>
      <c r="O691" s="13"/>
      <c r="P691" s="13"/>
      <c r="Q691" s="13"/>
      <c r="R691" s="13"/>
    </row>
    <row r="692" spans="3:18" ht="15.75" customHeight="1" x14ac:dyDescent="0.25">
      <c r="C692" s="26"/>
      <c r="O692" s="13"/>
      <c r="P692" s="13"/>
      <c r="Q692" s="13"/>
      <c r="R692" s="13"/>
    </row>
    <row r="693" spans="3:18" ht="15.75" customHeight="1" x14ac:dyDescent="0.25">
      <c r="C693" s="26"/>
      <c r="O693" s="13"/>
      <c r="P693" s="13"/>
      <c r="Q693" s="13"/>
      <c r="R693" s="13"/>
    </row>
    <row r="694" spans="3:18" ht="15.75" customHeight="1" x14ac:dyDescent="0.25">
      <c r="C694" s="26"/>
      <c r="O694" s="13"/>
      <c r="P694" s="13"/>
      <c r="Q694" s="13"/>
      <c r="R694" s="13"/>
    </row>
    <row r="695" spans="3:18" ht="15.75" customHeight="1" x14ac:dyDescent="0.25">
      <c r="C695" s="26"/>
      <c r="O695" s="13"/>
      <c r="P695" s="13"/>
      <c r="Q695" s="13"/>
      <c r="R695" s="13"/>
    </row>
    <row r="696" spans="3:18" ht="15.75" customHeight="1" x14ac:dyDescent="0.25">
      <c r="C696" s="26"/>
      <c r="O696" s="13"/>
      <c r="P696" s="13"/>
      <c r="Q696" s="13"/>
      <c r="R696" s="13"/>
    </row>
    <row r="697" spans="3:18" ht="15.75" customHeight="1" x14ac:dyDescent="0.25">
      <c r="C697" s="26"/>
      <c r="O697" s="13"/>
      <c r="P697" s="13"/>
      <c r="Q697" s="13"/>
      <c r="R697" s="13"/>
    </row>
    <row r="698" spans="3:18" ht="15.75" customHeight="1" x14ac:dyDescent="0.25">
      <c r="C698" s="26"/>
      <c r="O698" s="13"/>
      <c r="P698" s="13"/>
      <c r="Q698" s="13"/>
      <c r="R698" s="13"/>
    </row>
    <row r="699" spans="3:18" ht="15.75" customHeight="1" x14ac:dyDescent="0.25">
      <c r="C699" s="26"/>
      <c r="O699" s="13"/>
      <c r="P699" s="13"/>
      <c r="Q699" s="13"/>
      <c r="R699" s="13"/>
    </row>
    <row r="700" spans="3:18" ht="15.75" customHeight="1" x14ac:dyDescent="0.25">
      <c r="C700" s="26"/>
      <c r="O700" s="13"/>
      <c r="P700" s="13"/>
      <c r="Q700" s="13"/>
      <c r="R700" s="13"/>
    </row>
    <row r="701" spans="3:18" ht="15.75" customHeight="1" x14ac:dyDescent="0.25">
      <c r="C701" s="26"/>
      <c r="O701" s="13"/>
      <c r="P701" s="13"/>
      <c r="Q701" s="13"/>
      <c r="R701" s="13"/>
    </row>
    <row r="702" spans="3:18" ht="15.75" customHeight="1" x14ac:dyDescent="0.25">
      <c r="C702" s="26"/>
      <c r="O702" s="13"/>
      <c r="P702" s="13"/>
      <c r="Q702" s="13"/>
      <c r="R702" s="13"/>
    </row>
    <row r="703" spans="3:18" ht="15.75" customHeight="1" x14ac:dyDescent="0.25">
      <c r="C703" s="26"/>
      <c r="O703" s="13"/>
      <c r="P703" s="13"/>
      <c r="Q703" s="13"/>
      <c r="R703" s="13"/>
    </row>
    <row r="704" spans="3:18" ht="15.75" customHeight="1" x14ac:dyDescent="0.25">
      <c r="C704" s="26"/>
      <c r="O704" s="13"/>
      <c r="P704" s="13"/>
      <c r="Q704" s="13"/>
      <c r="R704" s="13"/>
    </row>
    <row r="705" spans="3:18" ht="15.75" customHeight="1" x14ac:dyDescent="0.25">
      <c r="C705" s="26"/>
      <c r="O705" s="13"/>
      <c r="P705" s="13"/>
      <c r="Q705" s="13"/>
      <c r="R705" s="13"/>
    </row>
    <row r="706" spans="3:18" ht="15.75" customHeight="1" x14ac:dyDescent="0.25">
      <c r="C706" s="26"/>
      <c r="O706" s="13"/>
      <c r="P706" s="13"/>
      <c r="Q706" s="13"/>
      <c r="R706" s="13"/>
    </row>
    <row r="707" spans="3:18" ht="15.75" customHeight="1" x14ac:dyDescent="0.25">
      <c r="C707" s="26"/>
      <c r="O707" s="13"/>
      <c r="P707" s="13"/>
      <c r="Q707" s="13"/>
      <c r="R707" s="13"/>
    </row>
    <row r="708" spans="3:18" ht="15.75" customHeight="1" x14ac:dyDescent="0.25">
      <c r="C708" s="26"/>
      <c r="O708" s="13"/>
      <c r="P708" s="13"/>
      <c r="Q708" s="13"/>
      <c r="R708" s="13"/>
    </row>
    <row r="709" spans="3:18" ht="15.75" customHeight="1" x14ac:dyDescent="0.25">
      <c r="C709" s="26"/>
      <c r="O709" s="13"/>
      <c r="P709" s="13"/>
      <c r="Q709" s="13"/>
      <c r="R709" s="13"/>
    </row>
    <row r="710" spans="3:18" ht="15.75" customHeight="1" x14ac:dyDescent="0.25">
      <c r="C710" s="26"/>
      <c r="O710" s="13"/>
      <c r="P710" s="13"/>
      <c r="Q710" s="13"/>
      <c r="R710" s="13"/>
    </row>
    <row r="711" spans="3:18" ht="15.75" customHeight="1" x14ac:dyDescent="0.25">
      <c r="C711" s="26"/>
      <c r="O711" s="13"/>
      <c r="P711" s="13"/>
      <c r="Q711" s="13"/>
      <c r="R711" s="13"/>
    </row>
    <row r="712" spans="3:18" ht="15.75" customHeight="1" x14ac:dyDescent="0.25">
      <c r="C712" s="26"/>
      <c r="O712" s="13"/>
      <c r="P712" s="13"/>
      <c r="Q712" s="13"/>
      <c r="R712" s="13"/>
    </row>
    <row r="713" spans="3:18" ht="15.75" customHeight="1" x14ac:dyDescent="0.25">
      <c r="C713" s="26"/>
      <c r="O713" s="13"/>
      <c r="P713" s="13"/>
      <c r="Q713" s="13"/>
      <c r="R713" s="13"/>
    </row>
    <row r="714" spans="3:18" ht="15.75" customHeight="1" x14ac:dyDescent="0.25">
      <c r="C714" s="26"/>
      <c r="O714" s="13"/>
      <c r="P714" s="13"/>
      <c r="Q714" s="13"/>
      <c r="R714" s="13"/>
    </row>
    <row r="715" spans="3:18" ht="15.75" customHeight="1" x14ac:dyDescent="0.25">
      <c r="C715" s="26"/>
      <c r="O715" s="13"/>
      <c r="P715" s="13"/>
      <c r="Q715" s="13"/>
      <c r="R715" s="13"/>
    </row>
    <row r="716" spans="3:18" ht="15.75" customHeight="1" x14ac:dyDescent="0.25">
      <c r="C716" s="26"/>
      <c r="O716" s="13"/>
      <c r="P716" s="13"/>
      <c r="Q716" s="13"/>
      <c r="R716" s="13"/>
    </row>
    <row r="717" spans="3:18" ht="15.75" customHeight="1" x14ac:dyDescent="0.25">
      <c r="C717" s="26"/>
      <c r="O717" s="13"/>
      <c r="P717" s="13"/>
      <c r="Q717" s="13"/>
      <c r="R717" s="13"/>
    </row>
    <row r="718" spans="3:18" ht="15.75" customHeight="1" x14ac:dyDescent="0.25">
      <c r="C718" s="26"/>
      <c r="O718" s="13"/>
      <c r="P718" s="13"/>
      <c r="Q718" s="13"/>
      <c r="R718" s="13"/>
    </row>
    <row r="719" spans="3:18" ht="15.75" customHeight="1" x14ac:dyDescent="0.25">
      <c r="C719" s="26"/>
      <c r="O719" s="13"/>
      <c r="P719" s="13"/>
      <c r="Q719" s="13"/>
      <c r="R719" s="13"/>
    </row>
    <row r="720" spans="3:18" ht="15.75" customHeight="1" x14ac:dyDescent="0.25">
      <c r="C720" s="26"/>
      <c r="O720" s="13"/>
      <c r="P720" s="13"/>
      <c r="Q720" s="13"/>
      <c r="R720" s="13"/>
    </row>
    <row r="721" spans="3:18" ht="15.75" customHeight="1" x14ac:dyDescent="0.25">
      <c r="C721" s="26"/>
      <c r="O721" s="13"/>
      <c r="P721" s="13"/>
      <c r="Q721" s="13"/>
      <c r="R721" s="13"/>
    </row>
    <row r="722" spans="3:18" ht="15.75" customHeight="1" x14ac:dyDescent="0.25">
      <c r="C722" s="26"/>
      <c r="O722" s="13"/>
      <c r="P722" s="13"/>
      <c r="Q722" s="13"/>
      <c r="R722" s="13"/>
    </row>
    <row r="723" spans="3:18" ht="15.75" customHeight="1" x14ac:dyDescent="0.25">
      <c r="C723" s="26"/>
      <c r="O723" s="13"/>
      <c r="P723" s="13"/>
      <c r="Q723" s="13"/>
      <c r="R723" s="13"/>
    </row>
    <row r="724" spans="3:18" ht="15.75" customHeight="1" x14ac:dyDescent="0.25">
      <c r="C724" s="26"/>
      <c r="O724" s="13"/>
      <c r="P724" s="13"/>
      <c r="Q724" s="13"/>
      <c r="R724" s="13"/>
    </row>
    <row r="725" spans="3:18" ht="15.75" customHeight="1" x14ac:dyDescent="0.25">
      <c r="C725" s="26"/>
      <c r="O725" s="13"/>
      <c r="P725" s="13"/>
      <c r="Q725" s="13"/>
      <c r="R725" s="13"/>
    </row>
    <row r="726" spans="3:18" ht="15.75" customHeight="1" x14ac:dyDescent="0.25">
      <c r="C726" s="26"/>
      <c r="O726" s="13"/>
      <c r="P726" s="13"/>
      <c r="Q726" s="13"/>
      <c r="R726" s="13"/>
    </row>
    <row r="727" spans="3:18" ht="15.75" customHeight="1" x14ac:dyDescent="0.25">
      <c r="C727" s="26"/>
      <c r="O727" s="13"/>
      <c r="P727" s="13"/>
      <c r="Q727" s="13"/>
      <c r="R727" s="13"/>
    </row>
    <row r="728" spans="3:18" ht="15.75" customHeight="1" x14ac:dyDescent="0.25">
      <c r="C728" s="26"/>
      <c r="O728" s="13"/>
      <c r="P728" s="13"/>
      <c r="Q728" s="13"/>
      <c r="R728" s="13"/>
    </row>
    <row r="729" spans="3:18" ht="15.75" customHeight="1" x14ac:dyDescent="0.25">
      <c r="C729" s="26"/>
      <c r="O729" s="13"/>
      <c r="P729" s="13"/>
      <c r="Q729" s="13"/>
      <c r="R729" s="13"/>
    </row>
    <row r="730" spans="3:18" ht="15.75" customHeight="1" x14ac:dyDescent="0.25">
      <c r="C730" s="26"/>
      <c r="O730" s="13"/>
      <c r="P730" s="13"/>
      <c r="Q730" s="13"/>
      <c r="R730" s="13"/>
    </row>
    <row r="731" spans="3:18" ht="15.75" customHeight="1" x14ac:dyDescent="0.25">
      <c r="C731" s="26"/>
      <c r="O731" s="13"/>
      <c r="P731" s="13"/>
      <c r="Q731" s="13"/>
      <c r="R731" s="13"/>
    </row>
    <row r="732" spans="3:18" ht="15.75" customHeight="1" x14ac:dyDescent="0.25">
      <c r="C732" s="26"/>
      <c r="O732" s="13"/>
      <c r="P732" s="13"/>
      <c r="Q732" s="13"/>
      <c r="R732" s="13"/>
    </row>
    <row r="733" spans="3:18" ht="15.75" customHeight="1" x14ac:dyDescent="0.25">
      <c r="C733" s="26"/>
      <c r="O733" s="13"/>
      <c r="P733" s="13"/>
      <c r="Q733" s="13"/>
      <c r="R733" s="13"/>
    </row>
    <row r="734" spans="3:18" ht="15.75" customHeight="1" x14ac:dyDescent="0.25">
      <c r="C734" s="26"/>
      <c r="O734" s="13"/>
      <c r="P734" s="13"/>
      <c r="Q734" s="13"/>
      <c r="R734" s="13"/>
    </row>
    <row r="735" spans="3:18" ht="15.75" customHeight="1" x14ac:dyDescent="0.25">
      <c r="C735" s="26"/>
      <c r="O735" s="13"/>
      <c r="P735" s="13"/>
      <c r="Q735" s="13"/>
      <c r="R735" s="13"/>
    </row>
    <row r="736" spans="3:18" ht="15.75" customHeight="1" x14ac:dyDescent="0.25">
      <c r="C736" s="26"/>
      <c r="O736" s="13"/>
      <c r="P736" s="13"/>
      <c r="Q736" s="13"/>
      <c r="R736" s="13"/>
    </row>
    <row r="737" spans="3:18" ht="15.75" customHeight="1" x14ac:dyDescent="0.25">
      <c r="C737" s="26"/>
      <c r="O737" s="13"/>
      <c r="P737" s="13"/>
      <c r="Q737" s="13"/>
      <c r="R737" s="13"/>
    </row>
    <row r="738" spans="3:18" ht="15.75" customHeight="1" x14ac:dyDescent="0.25">
      <c r="C738" s="26"/>
      <c r="O738" s="13"/>
      <c r="P738" s="13"/>
      <c r="Q738" s="13"/>
      <c r="R738" s="13"/>
    </row>
    <row r="739" spans="3:18" ht="15.75" customHeight="1" x14ac:dyDescent="0.25">
      <c r="C739" s="26"/>
      <c r="O739" s="13"/>
      <c r="P739" s="13"/>
      <c r="Q739" s="13"/>
      <c r="R739" s="13"/>
    </row>
    <row r="740" spans="3:18" ht="15.75" customHeight="1" x14ac:dyDescent="0.25">
      <c r="C740" s="26"/>
      <c r="O740" s="13"/>
      <c r="P740" s="13"/>
      <c r="Q740" s="13"/>
      <c r="R740" s="13"/>
    </row>
    <row r="741" spans="3:18" ht="15.75" customHeight="1" x14ac:dyDescent="0.25">
      <c r="C741" s="26"/>
      <c r="O741" s="13"/>
      <c r="P741" s="13"/>
      <c r="Q741" s="13"/>
      <c r="R741" s="13"/>
    </row>
    <row r="742" spans="3:18" ht="15.75" customHeight="1" x14ac:dyDescent="0.25">
      <c r="C742" s="26"/>
      <c r="O742" s="13"/>
      <c r="P742" s="13"/>
      <c r="Q742" s="13"/>
      <c r="R742" s="13"/>
    </row>
    <row r="743" spans="3:18" ht="15.75" customHeight="1" x14ac:dyDescent="0.25">
      <c r="C743" s="26"/>
      <c r="O743" s="13"/>
      <c r="P743" s="13"/>
      <c r="Q743" s="13"/>
      <c r="R743" s="13"/>
    </row>
    <row r="744" spans="3:18" ht="15.75" customHeight="1" x14ac:dyDescent="0.25">
      <c r="C744" s="26"/>
      <c r="O744" s="13"/>
      <c r="P744" s="13"/>
      <c r="Q744" s="13"/>
      <c r="R744" s="13"/>
    </row>
    <row r="745" spans="3:18" ht="15.75" customHeight="1" x14ac:dyDescent="0.25">
      <c r="C745" s="26"/>
      <c r="O745" s="13"/>
      <c r="P745" s="13"/>
      <c r="Q745" s="13"/>
      <c r="R745" s="13"/>
    </row>
    <row r="746" spans="3:18" ht="15.75" customHeight="1" x14ac:dyDescent="0.25">
      <c r="C746" s="26"/>
      <c r="O746" s="13"/>
      <c r="P746" s="13"/>
      <c r="Q746" s="13"/>
      <c r="R746" s="13"/>
    </row>
    <row r="747" spans="3:18" ht="15.75" customHeight="1" x14ac:dyDescent="0.25">
      <c r="C747" s="26"/>
      <c r="O747" s="13"/>
      <c r="P747" s="13"/>
      <c r="Q747" s="13"/>
      <c r="R747" s="13"/>
    </row>
    <row r="748" spans="3:18" ht="15.75" customHeight="1" x14ac:dyDescent="0.25">
      <c r="C748" s="26"/>
      <c r="O748" s="13"/>
      <c r="P748" s="13"/>
      <c r="Q748" s="13"/>
      <c r="R748" s="13"/>
    </row>
    <row r="749" spans="3:18" ht="15.75" customHeight="1" x14ac:dyDescent="0.25">
      <c r="C749" s="26"/>
      <c r="O749" s="13"/>
      <c r="P749" s="13"/>
      <c r="Q749" s="13"/>
      <c r="R749" s="13"/>
    </row>
    <row r="750" spans="3:18" ht="15.75" customHeight="1" x14ac:dyDescent="0.25">
      <c r="C750" s="26"/>
      <c r="O750" s="13"/>
      <c r="P750" s="13"/>
      <c r="Q750" s="13"/>
      <c r="R750" s="13"/>
    </row>
    <row r="751" spans="3:18" ht="15.75" customHeight="1" x14ac:dyDescent="0.25">
      <c r="C751" s="26"/>
      <c r="O751" s="13"/>
      <c r="P751" s="13"/>
      <c r="Q751" s="13"/>
      <c r="R751" s="13"/>
    </row>
    <row r="752" spans="3:18" ht="15.75" customHeight="1" x14ac:dyDescent="0.25">
      <c r="C752" s="26"/>
      <c r="O752" s="13"/>
      <c r="P752" s="13"/>
      <c r="Q752" s="13"/>
      <c r="R752" s="13"/>
    </row>
    <row r="753" spans="3:18" ht="15.75" customHeight="1" x14ac:dyDescent="0.25">
      <c r="C753" s="26"/>
      <c r="O753" s="13"/>
      <c r="P753" s="13"/>
      <c r="Q753" s="13"/>
      <c r="R753" s="13"/>
    </row>
    <row r="754" spans="3:18" ht="15.75" customHeight="1" x14ac:dyDescent="0.25">
      <c r="C754" s="26"/>
      <c r="O754" s="13"/>
      <c r="P754" s="13"/>
      <c r="Q754" s="13"/>
      <c r="R754" s="13"/>
    </row>
    <row r="755" spans="3:18" ht="15.75" customHeight="1" x14ac:dyDescent="0.25">
      <c r="C755" s="26"/>
      <c r="O755" s="13"/>
      <c r="P755" s="13"/>
      <c r="Q755" s="13"/>
      <c r="R755" s="13"/>
    </row>
    <row r="756" spans="3:18" ht="15.75" customHeight="1" x14ac:dyDescent="0.25">
      <c r="C756" s="26"/>
      <c r="O756" s="13"/>
      <c r="P756" s="13"/>
      <c r="Q756" s="13"/>
      <c r="R756" s="13"/>
    </row>
    <row r="757" spans="3:18" ht="15.75" customHeight="1" x14ac:dyDescent="0.25">
      <c r="C757" s="26"/>
      <c r="O757" s="13"/>
      <c r="P757" s="13"/>
      <c r="Q757" s="13"/>
      <c r="R757" s="13"/>
    </row>
    <row r="758" spans="3:18" ht="15.75" customHeight="1" x14ac:dyDescent="0.25">
      <c r="C758" s="26"/>
      <c r="O758" s="13"/>
      <c r="P758" s="13"/>
      <c r="Q758" s="13"/>
      <c r="R758" s="13"/>
    </row>
    <row r="759" spans="3:18" ht="15.75" customHeight="1" x14ac:dyDescent="0.25">
      <c r="C759" s="26"/>
      <c r="O759" s="13"/>
      <c r="P759" s="13"/>
      <c r="Q759" s="13"/>
      <c r="R759" s="13"/>
    </row>
    <row r="760" spans="3:18" ht="15.75" customHeight="1" x14ac:dyDescent="0.25">
      <c r="C760" s="26"/>
      <c r="O760" s="13"/>
      <c r="P760" s="13"/>
      <c r="Q760" s="13"/>
      <c r="R760" s="13"/>
    </row>
    <row r="761" spans="3:18" ht="15.75" customHeight="1" x14ac:dyDescent="0.25">
      <c r="C761" s="26"/>
      <c r="O761" s="13"/>
      <c r="P761" s="13"/>
      <c r="Q761" s="13"/>
      <c r="R761" s="13"/>
    </row>
    <row r="762" spans="3:18" ht="15.75" customHeight="1" x14ac:dyDescent="0.25">
      <c r="C762" s="26"/>
      <c r="O762" s="13"/>
      <c r="P762" s="13"/>
      <c r="Q762" s="13"/>
      <c r="R762" s="13"/>
    </row>
    <row r="763" spans="3:18" ht="15.75" customHeight="1" x14ac:dyDescent="0.25">
      <c r="C763" s="26"/>
      <c r="O763" s="13"/>
      <c r="P763" s="13"/>
      <c r="Q763" s="13"/>
      <c r="R763" s="13"/>
    </row>
    <row r="764" spans="3:18" ht="15.75" customHeight="1" x14ac:dyDescent="0.25">
      <c r="C764" s="26"/>
      <c r="O764" s="13"/>
      <c r="P764" s="13"/>
      <c r="Q764" s="13"/>
      <c r="R764" s="13"/>
    </row>
    <row r="765" spans="3:18" ht="15.75" customHeight="1" x14ac:dyDescent="0.25">
      <c r="C765" s="26"/>
      <c r="O765" s="13"/>
      <c r="P765" s="13"/>
      <c r="Q765" s="13"/>
      <c r="R765" s="13"/>
    </row>
    <row r="766" spans="3:18" ht="15.75" customHeight="1" x14ac:dyDescent="0.25">
      <c r="C766" s="26"/>
      <c r="O766" s="13"/>
      <c r="P766" s="13"/>
      <c r="Q766" s="13"/>
      <c r="R766" s="13"/>
    </row>
    <row r="767" spans="3:18" ht="15.75" customHeight="1" x14ac:dyDescent="0.25">
      <c r="C767" s="26"/>
      <c r="O767" s="13"/>
      <c r="P767" s="13"/>
      <c r="Q767" s="13"/>
      <c r="R767" s="13"/>
    </row>
    <row r="768" spans="3:18" ht="15.75" customHeight="1" x14ac:dyDescent="0.25">
      <c r="C768" s="26"/>
      <c r="O768" s="13"/>
      <c r="P768" s="13"/>
      <c r="Q768" s="13"/>
      <c r="R768" s="13"/>
    </row>
    <row r="769" spans="3:18" ht="15.75" customHeight="1" x14ac:dyDescent="0.25">
      <c r="C769" s="26"/>
      <c r="O769" s="13"/>
      <c r="P769" s="13"/>
      <c r="Q769" s="13"/>
      <c r="R769" s="13"/>
    </row>
    <row r="770" spans="3:18" ht="15.75" customHeight="1" x14ac:dyDescent="0.25">
      <c r="C770" s="26"/>
      <c r="O770" s="13"/>
      <c r="P770" s="13"/>
      <c r="Q770" s="13"/>
      <c r="R770" s="13"/>
    </row>
    <row r="771" spans="3:18" ht="15.75" customHeight="1" x14ac:dyDescent="0.25">
      <c r="C771" s="26"/>
      <c r="O771" s="13"/>
      <c r="P771" s="13"/>
      <c r="Q771" s="13"/>
      <c r="R771" s="13"/>
    </row>
    <row r="772" spans="3:18" ht="15.75" customHeight="1" x14ac:dyDescent="0.25">
      <c r="C772" s="26"/>
      <c r="O772" s="13"/>
      <c r="P772" s="13"/>
      <c r="Q772" s="13"/>
      <c r="R772" s="13"/>
    </row>
    <row r="773" spans="3:18" ht="15.75" customHeight="1" x14ac:dyDescent="0.25">
      <c r="C773" s="26"/>
      <c r="O773" s="13"/>
      <c r="P773" s="13"/>
      <c r="Q773" s="13"/>
      <c r="R773" s="13"/>
    </row>
    <row r="774" spans="3:18" ht="15.75" customHeight="1" x14ac:dyDescent="0.25">
      <c r="C774" s="26"/>
      <c r="O774" s="13"/>
      <c r="P774" s="13"/>
      <c r="Q774" s="13"/>
      <c r="R774" s="13"/>
    </row>
    <row r="775" spans="3:18" ht="15.75" customHeight="1" x14ac:dyDescent="0.25">
      <c r="C775" s="26"/>
      <c r="O775" s="13"/>
      <c r="P775" s="13"/>
      <c r="Q775" s="13"/>
      <c r="R775" s="13"/>
    </row>
    <row r="776" spans="3:18" ht="15.75" customHeight="1" x14ac:dyDescent="0.25">
      <c r="C776" s="26"/>
      <c r="O776" s="13"/>
      <c r="P776" s="13"/>
      <c r="Q776" s="13"/>
      <c r="R776" s="13"/>
    </row>
    <row r="777" spans="3:18" ht="15.75" customHeight="1" x14ac:dyDescent="0.25">
      <c r="C777" s="26"/>
      <c r="O777" s="13"/>
      <c r="P777" s="13"/>
      <c r="Q777" s="13"/>
      <c r="R777" s="13"/>
    </row>
    <row r="778" spans="3:18" ht="15.75" customHeight="1" x14ac:dyDescent="0.25">
      <c r="C778" s="26"/>
      <c r="O778" s="13"/>
      <c r="P778" s="13"/>
      <c r="Q778" s="13"/>
      <c r="R778" s="13"/>
    </row>
    <row r="779" spans="3:18" ht="15.75" customHeight="1" x14ac:dyDescent="0.25">
      <c r="C779" s="26"/>
      <c r="O779" s="13"/>
      <c r="P779" s="13"/>
      <c r="Q779" s="13"/>
      <c r="R779" s="13"/>
    </row>
    <row r="780" spans="3:18" ht="15.75" customHeight="1" x14ac:dyDescent="0.25">
      <c r="C780" s="26"/>
      <c r="O780" s="13"/>
      <c r="P780" s="13"/>
      <c r="Q780" s="13"/>
      <c r="R780" s="13"/>
    </row>
    <row r="781" spans="3:18" ht="15.75" customHeight="1" x14ac:dyDescent="0.25">
      <c r="C781" s="26"/>
      <c r="O781" s="13"/>
      <c r="P781" s="13"/>
      <c r="Q781" s="13"/>
      <c r="R781" s="13"/>
    </row>
    <row r="782" spans="3:18" ht="15.75" customHeight="1" x14ac:dyDescent="0.25">
      <c r="C782" s="26"/>
      <c r="O782" s="13"/>
      <c r="P782" s="13"/>
      <c r="Q782" s="13"/>
      <c r="R782" s="13"/>
    </row>
    <row r="783" spans="3:18" ht="15.75" customHeight="1" x14ac:dyDescent="0.25">
      <c r="C783" s="26"/>
      <c r="O783" s="13"/>
      <c r="P783" s="13"/>
      <c r="Q783" s="13"/>
      <c r="R783" s="13"/>
    </row>
    <row r="784" spans="3:18" ht="15.75" customHeight="1" x14ac:dyDescent="0.25">
      <c r="C784" s="26"/>
      <c r="O784" s="13"/>
      <c r="P784" s="13"/>
      <c r="Q784" s="13"/>
      <c r="R784" s="13"/>
    </row>
    <row r="785" spans="3:18" ht="15.75" customHeight="1" x14ac:dyDescent="0.25">
      <c r="C785" s="26"/>
      <c r="O785" s="13"/>
      <c r="P785" s="13"/>
      <c r="Q785" s="13"/>
      <c r="R785" s="13"/>
    </row>
    <row r="786" spans="3:18" ht="15.75" customHeight="1" x14ac:dyDescent="0.25">
      <c r="C786" s="26"/>
      <c r="O786" s="13"/>
      <c r="P786" s="13"/>
      <c r="Q786" s="13"/>
      <c r="R786" s="13"/>
    </row>
    <row r="787" spans="3:18" ht="15.75" customHeight="1" x14ac:dyDescent="0.25">
      <c r="C787" s="26"/>
      <c r="O787" s="13"/>
      <c r="P787" s="13"/>
      <c r="Q787" s="13"/>
      <c r="R787" s="13"/>
    </row>
    <row r="788" spans="3:18" ht="15.75" customHeight="1" x14ac:dyDescent="0.25">
      <c r="C788" s="26"/>
      <c r="O788" s="13"/>
      <c r="P788" s="13"/>
      <c r="Q788" s="13"/>
      <c r="R788" s="13"/>
    </row>
    <row r="789" spans="3:18" ht="15.75" customHeight="1" x14ac:dyDescent="0.25">
      <c r="C789" s="26"/>
      <c r="O789" s="13"/>
      <c r="P789" s="13"/>
      <c r="Q789" s="13"/>
      <c r="R789" s="13"/>
    </row>
    <row r="790" spans="3:18" ht="15.75" customHeight="1" x14ac:dyDescent="0.25">
      <c r="C790" s="26"/>
      <c r="O790" s="13"/>
      <c r="P790" s="13"/>
      <c r="Q790" s="13"/>
      <c r="R790" s="13"/>
    </row>
    <row r="791" spans="3:18" ht="15.75" customHeight="1" x14ac:dyDescent="0.25">
      <c r="C791" s="26"/>
      <c r="O791" s="13"/>
      <c r="P791" s="13"/>
      <c r="Q791" s="13"/>
      <c r="R791" s="13"/>
    </row>
    <row r="792" spans="3:18" ht="15.75" customHeight="1" x14ac:dyDescent="0.25">
      <c r="C792" s="26"/>
      <c r="O792" s="13"/>
      <c r="P792" s="13"/>
      <c r="Q792" s="13"/>
      <c r="R792" s="13"/>
    </row>
    <row r="793" spans="3:18" ht="15.75" customHeight="1" x14ac:dyDescent="0.25">
      <c r="C793" s="26"/>
      <c r="O793" s="13"/>
      <c r="P793" s="13"/>
      <c r="Q793" s="13"/>
      <c r="R793" s="13"/>
    </row>
    <row r="794" spans="3:18" ht="15.75" customHeight="1" x14ac:dyDescent="0.25">
      <c r="C794" s="26"/>
      <c r="O794" s="13"/>
      <c r="P794" s="13"/>
      <c r="Q794" s="13"/>
      <c r="R794" s="13"/>
    </row>
    <row r="795" spans="3:18" ht="15.75" customHeight="1" x14ac:dyDescent="0.25">
      <c r="C795" s="26"/>
      <c r="O795" s="13"/>
      <c r="P795" s="13"/>
      <c r="Q795" s="13"/>
      <c r="R795" s="13"/>
    </row>
    <row r="796" spans="3:18" ht="15.75" customHeight="1" x14ac:dyDescent="0.25">
      <c r="C796" s="26"/>
      <c r="O796" s="13"/>
      <c r="P796" s="13"/>
      <c r="Q796" s="13"/>
      <c r="R796" s="13"/>
    </row>
    <row r="797" spans="3:18" ht="15.75" customHeight="1" x14ac:dyDescent="0.25">
      <c r="C797" s="26"/>
      <c r="O797" s="13"/>
      <c r="P797" s="13"/>
      <c r="Q797" s="13"/>
      <c r="R797" s="13"/>
    </row>
    <row r="798" spans="3:18" ht="15.75" customHeight="1" x14ac:dyDescent="0.25">
      <c r="C798" s="26"/>
      <c r="O798" s="13"/>
      <c r="P798" s="13"/>
      <c r="Q798" s="13"/>
      <c r="R798" s="13"/>
    </row>
    <row r="799" spans="3:18" ht="15.75" customHeight="1" x14ac:dyDescent="0.25">
      <c r="C799" s="26"/>
      <c r="O799" s="13"/>
      <c r="P799" s="13"/>
      <c r="Q799" s="13"/>
      <c r="R799" s="13"/>
    </row>
    <row r="800" spans="3:18" ht="15.75" customHeight="1" x14ac:dyDescent="0.25">
      <c r="C800" s="26"/>
      <c r="O800" s="13"/>
      <c r="P800" s="13"/>
      <c r="Q800" s="13"/>
      <c r="R800" s="13"/>
    </row>
    <row r="801" spans="3:18" ht="15.75" customHeight="1" x14ac:dyDescent="0.25">
      <c r="C801" s="26"/>
      <c r="O801" s="13"/>
      <c r="P801" s="13"/>
      <c r="Q801" s="13"/>
      <c r="R801" s="13"/>
    </row>
    <row r="802" spans="3:18" ht="15.75" customHeight="1" x14ac:dyDescent="0.25">
      <c r="C802" s="26"/>
      <c r="O802" s="13"/>
      <c r="P802" s="13"/>
      <c r="Q802" s="13"/>
      <c r="R802" s="13"/>
    </row>
    <row r="803" spans="3:18" ht="15.75" customHeight="1" x14ac:dyDescent="0.25">
      <c r="C803" s="26"/>
      <c r="O803" s="13"/>
      <c r="P803" s="13"/>
      <c r="Q803" s="13"/>
      <c r="R803" s="13"/>
    </row>
    <row r="804" spans="3:18" ht="15.75" customHeight="1" x14ac:dyDescent="0.25">
      <c r="C804" s="26"/>
      <c r="O804" s="13"/>
      <c r="P804" s="13"/>
      <c r="Q804" s="13"/>
      <c r="R804" s="13"/>
    </row>
    <row r="805" spans="3:18" ht="15.75" customHeight="1" x14ac:dyDescent="0.25">
      <c r="C805" s="26"/>
      <c r="O805" s="13"/>
      <c r="P805" s="13"/>
      <c r="Q805" s="13"/>
      <c r="R805" s="13"/>
    </row>
    <row r="806" spans="3:18" ht="15.75" customHeight="1" x14ac:dyDescent="0.25">
      <c r="C806" s="26"/>
      <c r="O806" s="13"/>
      <c r="P806" s="13"/>
      <c r="Q806" s="13"/>
      <c r="R806" s="13"/>
    </row>
    <row r="807" spans="3:18" ht="15.75" customHeight="1" x14ac:dyDescent="0.25">
      <c r="C807" s="26"/>
      <c r="O807" s="13"/>
      <c r="P807" s="13"/>
      <c r="Q807" s="13"/>
      <c r="R807" s="13"/>
    </row>
    <row r="808" spans="3:18" ht="15.75" customHeight="1" x14ac:dyDescent="0.25">
      <c r="C808" s="26"/>
      <c r="O808" s="13"/>
      <c r="P808" s="13"/>
      <c r="Q808" s="13"/>
      <c r="R808" s="13"/>
    </row>
    <row r="809" spans="3:18" ht="15.75" customHeight="1" x14ac:dyDescent="0.25">
      <c r="C809" s="26"/>
      <c r="O809" s="13"/>
      <c r="P809" s="13"/>
      <c r="Q809" s="13"/>
      <c r="R809" s="13"/>
    </row>
    <row r="810" spans="3:18" ht="15.75" customHeight="1" x14ac:dyDescent="0.25">
      <c r="C810" s="26"/>
      <c r="O810" s="13"/>
      <c r="P810" s="13"/>
      <c r="Q810" s="13"/>
      <c r="R810" s="13"/>
    </row>
    <row r="811" spans="3:18" ht="15.75" customHeight="1" x14ac:dyDescent="0.25">
      <c r="C811" s="26"/>
      <c r="O811" s="13"/>
      <c r="P811" s="13"/>
      <c r="Q811" s="13"/>
      <c r="R811" s="13"/>
    </row>
    <row r="812" spans="3:18" ht="15.75" customHeight="1" x14ac:dyDescent="0.25">
      <c r="C812" s="26"/>
      <c r="O812" s="13"/>
      <c r="P812" s="13"/>
      <c r="Q812" s="13"/>
      <c r="R812" s="13"/>
    </row>
    <row r="813" spans="3:18" ht="15.75" customHeight="1" x14ac:dyDescent="0.25">
      <c r="C813" s="26"/>
      <c r="O813" s="13"/>
      <c r="P813" s="13"/>
      <c r="Q813" s="13"/>
      <c r="R813" s="13"/>
    </row>
    <row r="814" spans="3:18" ht="15.75" customHeight="1" x14ac:dyDescent="0.25">
      <c r="C814" s="26"/>
      <c r="O814" s="13"/>
      <c r="P814" s="13"/>
      <c r="Q814" s="13"/>
      <c r="R814" s="13"/>
    </row>
    <row r="815" spans="3:18" ht="15.75" customHeight="1" x14ac:dyDescent="0.25">
      <c r="C815" s="26"/>
      <c r="O815" s="13"/>
      <c r="P815" s="13"/>
      <c r="Q815" s="13"/>
      <c r="R815" s="13"/>
    </row>
    <row r="816" spans="3:18" ht="15.75" customHeight="1" x14ac:dyDescent="0.25">
      <c r="C816" s="26"/>
      <c r="O816" s="13"/>
      <c r="P816" s="13"/>
      <c r="Q816" s="13"/>
      <c r="R816" s="13"/>
    </row>
    <row r="817" spans="3:18" ht="15.75" customHeight="1" x14ac:dyDescent="0.25">
      <c r="C817" s="26"/>
      <c r="O817" s="13"/>
      <c r="P817" s="13"/>
      <c r="Q817" s="13"/>
      <c r="R817" s="13"/>
    </row>
    <row r="818" spans="3:18" ht="15.75" customHeight="1" x14ac:dyDescent="0.25">
      <c r="C818" s="26"/>
      <c r="O818" s="13"/>
      <c r="P818" s="13"/>
      <c r="Q818" s="13"/>
      <c r="R818" s="13"/>
    </row>
    <row r="819" spans="3:18" ht="15.75" customHeight="1" x14ac:dyDescent="0.25">
      <c r="C819" s="26"/>
      <c r="O819" s="13"/>
      <c r="P819" s="13"/>
      <c r="Q819" s="13"/>
      <c r="R819" s="13"/>
    </row>
    <row r="820" spans="3:18" ht="15.75" customHeight="1" x14ac:dyDescent="0.25">
      <c r="C820" s="26"/>
      <c r="O820" s="13"/>
      <c r="P820" s="13"/>
      <c r="Q820" s="13"/>
      <c r="R820" s="13"/>
    </row>
    <row r="821" spans="3:18" ht="15.75" customHeight="1" x14ac:dyDescent="0.25">
      <c r="C821" s="26"/>
      <c r="O821" s="13"/>
      <c r="P821" s="13"/>
      <c r="Q821" s="13"/>
      <c r="R821" s="13"/>
    </row>
    <row r="822" spans="3:18" ht="15.75" customHeight="1" x14ac:dyDescent="0.25">
      <c r="C822" s="26"/>
      <c r="O822" s="13"/>
      <c r="P822" s="13"/>
      <c r="Q822" s="13"/>
      <c r="R822" s="13"/>
    </row>
    <row r="823" spans="3:18" ht="15.75" customHeight="1" x14ac:dyDescent="0.25">
      <c r="C823" s="26"/>
      <c r="O823" s="13"/>
      <c r="P823" s="13"/>
      <c r="Q823" s="13"/>
      <c r="R823" s="13"/>
    </row>
    <row r="824" spans="3:18" ht="15.75" customHeight="1" x14ac:dyDescent="0.25">
      <c r="C824" s="26"/>
      <c r="O824" s="13"/>
      <c r="P824" s="13"/>
      <c r="Q824" s="13"/>
      <c r="R824" s="13"/>
    </row>
    <row r="825" spans="3:18" ht="15.75" customHeight="1" x14ac:dyDescent="0.25">
      <c r="C825" s="26"/>
      <c r="O825" s="13"/>
      <c r="P825" s="13"/>
      <c r="Q825" s="13"/>
      <c r="R825" s="13"/>
    </row>
    <row r="826" spans="3:18" ht="15.75" customHeight="1" x14ac:dyDescent="0.25">
      <c r="C826" s="26"/>
      <c r="O826" s="13"/>
      <c r="P826" s="13"/>
      <c r="Q826" s="13"/>
      <c r="R826" s="13"/>
    </row>
    <row r="827" spans="3:18" ht="15.75" customHeight="1" x14ac:dyDescent="0.25">
      <c r="C827" s="26"/>
      <c r="O827" s="13"/>
      <c r="P827" s="13"/>
      <c r="Q827" s="13"/>
      <c r="R827" s="13"/>
    </row>
    <row r="828" spans="3:18" ht="15.75" customHeight="1" x14ac:dyDescent="0.25">
      <c r="C828" s="26"/>
      <c r="O828" s="13"/>
      <c r="P828" s="13"/>
      <c r="Q828" s="13"/>
      <c r="R828" s="13"/>
    </row>
    <row r="829" spans="3:18" ht="15.75" customHeight="1" x14ac:dyDescent="0.25">
      <c r="C829" s="26"/>
      <c r="O829" s="13"/>
      <c r="P829" s="13"/>
      <c r="Q829" s="13"/>
      <c r="R829" s="13"/>
    </row>
    <row r="830" spans="3:18" ht="15.75" customHeight="1" x14ac:dyDescent="0.25">
      <c r="C830" s="26"/>
      <c r="O830" s="13"/>
      <c r="P830" s="13"/>
      <c r="Q830" s="13"/>
      <c r="R830" s="13"/>
    </row>
    <row r="831" spans="3:18" ht="15.75" customHeight="1" x14ac:dyDescent="0.25">
      <c r="C831" s="26"/>
      <c r="O831" s="13"/>
      <c r="P831" s="13"/>
      <c r="Q831" s="13"/>
      <c r="R831" s="13"/>
    </row>
    <row r="832" spans="3:18" ht="15.75" customHeight="1" x14ac:dyDescent="0.25">
      <c r="C832" s="26"/>
      <c r="O832" s="13"/>
      <c r="P832" s="13"/>
      <c r="Q832" s="13"/>
      <c r="R832" s="13"/>
    </row>
    <row r="833" spans="3:18" ht="15.75" customHeight="1" x14ac:dyDescent="0.25">
      <c r="C833" s="26"/>
      <c r="O833" s="13"/>
      <c r="P833" s="13"/>
      <c r="Q833" s="13"/>
      <c r="R833" s="13"/>
    </row>
    <row r="834" spans="3:18" ht="15.75" customHeight="1" x14ac:dyDescent="0.25">
      <c r="C834" s="26"/>
      <c r="O834" s="13"/>
      <c r="P834" s="13"/>
      <c r="Q834" s="13"/>
      <c r="R834" s="13"/>
    </row>
    <row r="835" spans="3:18" ht="15.75" customHeight="1" x14ac:dyDescent="0.25">
      <c r="C835" s="26"/>
      <c r="O835" s="13"/>
      <c r="P835" s="13"/>
      <c r="Q835" s="13"/>
      <c r="R835" s="13"/>
    </row>
    <row r="836" spans="3:18" ht="15.75" customHeight="1" x14ac:dyDescent="0.25">
      <c r="C836" s="26"/>
      <c r="O836" s="13"/>
      <c r="P836" s="13"/>
      <c r="Q836" s="13"/>
      <c r="R836" s="13"/>
    </row>
    <row r="837" spans="3:18" ht="15.75" customHeight="1" x14ac:dyDescent="0.25">
      <c r="C837" s="26"/>
      <c r="O837" s="13"/>
      <c r="P837" s="13"/>
      <c r="Q837" s="13"/>
      <c r="R837" s="13"/>
    </row>
    <row r="838" spans="3:18" ht="15.75" customHeight="1" x14ac:dyDescent="0.25">
      <c r="C838" s="26"/>
      <c r="O838" s="13"/>
      <c r="P838" s="13"/>
      <c r="Q838" s="13"/>
      <c r="R838" s="13"/>
    </row>
    <row r="839" spans="3:18" ht="15.75" customHeight="1" x14ac:dyDescent="0.25">
      <c r="C839" s="26"/>
      <c r="O839" s="13"/>
      <c r="P839" s="13"/>
      <c r="Q839" s="13"/>
      <c r="R839" s="13"/>
    </row>
    <row r="840" spans="3:18" ht="15.75" customHeight="1" x14ac:dyDescent="0.25">
      <c r="C840" s="26"/>
      <c r="O840" s="13"/>
      <c r="P840" s="13"/>
      <c r="Q840" s="13"/>
      <c r="R840" s="13"/>
    </row>
    <row r="841" spans="3:18" ht="15.75" customHeight="1" x14ac:dyDescent="0.25">
      <c r="C841" s="26"/>
      <c r="O841" s="13"/>
      <c r="P841" s="13"/>
      <c r="Q841" s="13"/>
      <c r="R841" s="13"/>
    </row>
    <row r="842" spans="3:18" ht="15.75" customHeight="1" x14ac:dyDescent="0.25">
      <c r="C842" s="26"/>
      <c r="O842" s="13"/>
      <c r="P842" s="13"/>
      <c r="Q842" s="13"/>
      <c r="R842" s="13"/>
    </row>
    <row r="843" spans="3:18" ht="15.75" customHeight="1" x14ac:dyDescent="0.25">
      <c r="C843" s="26"/>
      <c r="O843" s="13"/>
      <c r="P843" s="13"/>
      <c r="Q843" s="13"/>
      <c r="R843" s="13"/>
    </row>
    <row r="844" spans="3:18" ht="15.75" customHeight="1" x14ac:dyDescent="0.25">
      <c r="C844" s="26"/>
      <c r="O844" s="13"/>
      <c r="P844" s="13"/>
      <c r="Q844" s="13"/>
      <c r="R844" s="13"/>
    </row>
    <row r="845" spans="3:18" ht="15.75" customHeight="1" x14ac:dyDescent="0.25">
      <c r="C845" s="26"/>
      <c r="O845" s="13"/>
      <c r="P845" s="13"/>
      <c r="Q845" s="13"/>
      <c r="R845" s="13"/>
    </row>
    <row r="846" spans="3:18" ht="15.75" customHeight="1" x14ac:dyDescent="0.25">
      <c r="C846" s="26"/>
      <c r="O846" s="13"/>
      <c r="P846" s="13"/>
      <c r="Q846" s="13"/>
      <c r="R846" s="13"/>
    </row>
    <row r="847" spans="3:18" ht="15.75" customHeight="1" x14ac:dyDescent="0.25">
      <c r="C847" s="26"/>
      <c r="O847" s="13"/>
      <c r="P847" s="13"/>
      <c r="Q847" s="13"/>
      <c r="R847" s="13"/>
    </row>
    <row r="848" spans="3:18" ht="15.75" customHeight="1" x14ac:dyDescent="0.25">
      <c r="C848" s="26"/>
      <c r="O848" s="13"/>
      <c r="P848" s="13"/>
      <c r="Q848" s="13"/>
      <c r="R848" s="13"/>
    </row>
    <row r="849" spans="3:18" ht="15.75" customHeight="1" x14ac:dyDescent="0.25">
      <c r="C849" s="26"/>
      <c r="O849" s="13"/>
      <c r="P849" s="13"/>
      <c r="Q849" s="13"/>
      <c r="R849" s="13"/>
    </row>
    <row r="850" spans="3:18" ht="15.75" customHeight="1" x14ac:dyDescent="0.25">
      <c r="C850" s="26"/>
      <c r="O850" s="13"/>
      <c r="P850" s="13"/>
      <c r="Q850" s="13"/>
      <c r="R850" s="13"/>
    </row>
    <row r="851" spans="3:18" ht="15.75" customHeight="1" x14ac:dyDescent="0.25">
      <c r="C851" s="26"/>
      <c r="O851" s="13"/>
      <c r="P851" s="13"/>
      <c r="Q851" s="13"/>
      <c r="R851" s="13"/>
    </row>
    <row r="852" spans="3:18" ht="15.75" customHeight="1" x14ac:dyDescent="0.25">
      <c r="C852" s="26"/>
      <c r="O852" s="13"/>
      <c r="P852" s="13"/>
      <c r="Q852" s="13"/>
      <c r="R852" s="13"/>
    </row>
    <row r="853" spans="3:18" ht="15.75" customHeight="1" x14ac:dyDescent="0.25">
      <c r="C853" s="26"/>
      <c r="O853" s="13"/>
      <c r="P853" s="13"/>
      <c r="Q853" s="13"/>
      <c r="R853" s="13"/>
    </row>
    <row r="854" spans="3:18" ht="15.75" customHeight="1" x14ac:dyDescent="0.25">
      <c r="C854" s="26"/>
      <c r="O854" s="13"/>
      <c r="P854" s="13"/>
      <c r="Q854" s="13"/>
      <c r="R854" s="13"/>
    </row>
    <row r="855" spans="3:18" ht="15.75" customHeight="1" x14ac:dyDescent="0.25">
      <c r="C855" s="26"/>
      <c r="O855" s="13"/>
      <c r="P855" s="13"/>
      <c r="Q855" s="13"/>
      <c r="R855" s="13"/>
    </row>
    <row r="856" spans="3:18" ht="15.75" customHeight="1" x14ac:dyDescent="0.25">
      <c r="C856" s="26"/>
      <c r="O856" s="13"/>
      <c r="P856" s="13"/>
      <c r="Q856" s="13"/>
      <c r="R856" s="13"/>
    </row>
    <row r="857" spans="3:18" ht="15.75" customHeight="1" x14ac:dyDescent="0.25">
      <c r="C857" s="26"/>
      <c r="O857" s="13"/>
      <c r="P857" s="13"/>
      <c r="Q857" s="13"/>
      <c r="R857" s="13"/>
    </row>
    <row r="858" spans="3:18" ht="15.75" customHeight="1" x14ac:dyDescent="0.25">
      <c r="C858" s="26"/>
      <c r="O858" s="13"/>
      <c r="P858" s="13"/>
      <c r="Q858" s="13"/>
      <c r="R858" s="13"/>
    </row>
    <row r="859" spans="3:18" ht="15.75" customHeight="1" x14ac:dyDescent="0.25">
      <c r="C859" s="26"/>
      <c r="O859" s="13"/>
      <c r="P859" s="13"/>
      <c r="Q859" s="13"/>
      <c r="R859" s="13"/>
    </row>
    <row r="860" spans="3:18" ht="15.75" customHeight="1" x14ac:dyDescent="0.25">
      <c r="C860" s="26"/>
      <c r="O860" s="13"/>
      <c r="P860" s="13"/>
      <c r="Q860" s="13"/>
      <c r="R860" s="13"/>
    </row>
    <row r="861" spans="3:18" ht="15.75" customHeight="1" x14ac:dyDescent="0.25">
      <c r="C861" s="26"/>
      <c r="O861" s="13"/>
      <c r="P861" s="13"/>
      <c r="Q861" s="13"/>
      <c r="R861" s="13"/>
    </row>
    <row r="862" spans="3:18" ht="15.75" customHeight="1" x14ac:dyDescent="0.25">
      <c r="C862" s="26"/>
      <c r="O862" s="13"/>
      <c r="P862" s="13"/>
      <c r="Q862" s="13"/>
      <c r="R862" s="13"/>
    </row>
    <row r="863" spans="3:18" ht="15.75" customHeight="1" x14ac:dyDescent="0.25">
      <c r="C863" s="26"/>
      <c r="O863" s="13"/>
      <c r="P863" s="13"/>
      <c r="Q863" s="13"/>
      <c r="R863" s="13"/>
    </row>
    <row r="864" spans="3:18" ht="15.75" customHeight="1" x14ac:dyDescent="0.25">
      <c r="C864" s="26"/>
      <c r="O864" s="13"/>
      <c r="P864" s="13"/>
      <c r="Q864" s="13"/>
      <c r="R864" s="13"/>
    </row>
    <row r="865" spans="3:18" ht="15.75" customHeight="1" x14ac:dyDescent="0.25">
      <c r="C865" s="26"/>
      <c r="O865" s="13"/>
      <c r="P865" s="13"/>
      <c r="Q865" s="13"/>
      <c r="R865" s="13"/>
    </row>
    <row r="866" spans="3:18" ht="15.75" customHeight="1" x14ac:dyDescent="0.25">
      <c r="C866" s="26"/>
      <c r="O866" s="13"/>
      <c r="P866" s="13"/>
      <c r="Q866" s="13"/>
      <c r="R866" s="13"/>
    </row>
    <row r="867" spans="3:18" ht="15.75" customHeight="1" x14ac:dyDescent="0.25">
      <c r="C867" s="26"/>
      <c r="O867" s="13"/>
      <c r="P867" s="13"/>
      <c r="Q867" s="13"/>
      <c r="R867" s="13"/>
    </row>
    <row r="868" spans="3:18" ht="15.75" customHeight="1" x14ac:dyDescent="0.25">
      <c r="C868" s="26"/>
      <c r="O868" s="13"/>
      <c r="P868" s="13"/>
      <c r="Q868" s="13"/>
      <c r="R868" s="13"/>
    </row>
    <row r="869" spans="3:18" ht="15.75" customHeight="1" x14ac:dyDescent="0.25">
      <c r="C869" s="26"/>
      <c r="O869" s="13"/>
      <c r="P869" s="13"/>
      <c r="Q869" s="13"/>
      <c r="R869" s="13"/>
    </row>
    <row r="870" spans="3:18" ht="15.75" customHeight="1" x14ac:dyDescent="0.25">
      <c r="C870" s="26"/>
      <c r="O870" s="13"/>
      <c r="P870" s="13"/>
      <c r="Q870" s="13"/>
      <c r="R870" s="13"/>
    </row>
    <row r="871" spans="3:18" ht="15.75" customHeight="1" x14ac:dyDescent="0.25">
      <c r="C871" s="26"/>
      <c r="O871" s="13"/>
      <c r="P871" s="13"/>
      <c r="Q871" s="13"/>
      <c r="R871" s="13"/>
    </row>
    <row r="872" spans="3:18" ht="15.75" customHeight="1" x14ac:dyDescent="0.25">
      <c r="C872" s="26"/>
      <c r="O872" s="13"/>
      <c r="P872" s="13"/>
      <c r="Q872" s="13"/>
      <c r="R872" s="13"/>
    </row>
    <row r="873" spans="3:18" ht="15.75" customHeight="1" x14ac:dyDescent="0.25">
      <c r="C873" s="26"/>
      <c r="O873" s="13"/>
      <c r="P873" s="13"/>
      <c r="Q873" s="13"/>
      <c r="R873" s="13"/>
    </row>
    <row r="874" spans="3:18" ht="15.75" customHeight="1" x14ac:dyDescent="0.25">
      <c r="C874" s="26"/>
      <c r="O874" s="13"/>
      <c r="P874" s="13"/>
      <c r="Q874" s="13"/>
      <c r="R874" s="13"/>
    </row>
    <row r="875" spans="3:18" ht="15.75" customHeight="1" x14ac:dyDescent="0.25">
      <c r="C875" s="26"/>
      <c r="O875" s="13"/>
      <c r="P875" s="13"/>
      <c r="Q875" s="13"/>
      <c r="R875" s="13"/>
    </row>
    <row r="876" spans="3:18" ht="15.75" customHeight="1" x14ac:dyDescent="0.25">
      <c r="C876" s="26"/>
      <c r="O876" s="13"/>
      <c r="P876" s="13"/>
      <c r="Q876" s="13"/>
      <c r="R876" s="13"/>
    </row>
    <row r="877" spans="3:18" ht="15.75" customHeight="1" x14ac:dyDescent="0.25">
      <c r="C877" s="26"/>
      <c r="O877" s="13"/>
      <c r="P877" s="13"/>
      <c r="Q877" s="13"/>
      <c r="R877" s="13"/>
    </row>
    <row r="878" spans="3:18" ht="15.75" customHeight="1" x14ac:dyDescent="0.25">
      <c r="C878" s="26"/>
      <c r="O878" s="13"/>
      <c r="P878" s="13"/>
      <c r="Q878" s="13"/>
      <c r="R878" s="13"/>
    </row>
    <row r="879" spans="3:18" ht="15.75" customHeight="1" x14ac:dyDescent="0.25">
      <c r="C879" s="26"/>
      <c r="O879" s="13"/>
      <c r="P879" s="13"/>
      <c r="Q879" s="13"/>
      <c r="R879" s="13"/>
    </row>
    <row r="880" spans="3:18" ht="15.75" customHeight="1" x14ac:dyDescent="0.25">
      <c r="C880" s="26"/>
      <c r="O880" s="13"/>
      <c r="P880" s="13"/>
      <c r="Q880" s="13"/>
      <c r="R880" s="13"/>
    </row>
    <row r="881" spans="3:18" ht="15.75" customHeight="1" x14ac:dyDescent="0.25">
      <c r="C881" s="26"/>
      <c r="O881" s="13"/>
      <c r="P881" s="13"/>
      <c r="Q881" s="13"/>
      <c r="R881" s="13"/>
    </row>
    <row r="882" spans="3:18" ht="15.75" customHeight="1" x14ac:dyDescent="0.25">
      <c r="C882" s="26"/>
      <c r="O882" s="13"/>
      <c r="P882" s="13"/>
      <c r="Q882" s="13"/>
      <c r="R882" s="13"/>
    </row>
    <row r="883" spans="3:18" ht="15.75" customHeight="1" x14ac:dyDescent="0.25">
      <c r="C883" s="26"/>
      <c r="O883" s="13"/>
      <c r="P883" s="13"/>
      <c r="Q883" s="13"/>
      <c r="R883" s="13"/>
    </row>
    <row r="884" spans="3:18" ht="15.75" customHeight="1" x14ac:dyDescent="0.25">
      <c r="C884" s="26"/>
      <c r="O884" s="13"/>
      <c r="P884" s="13"/>
      <c r="Q884" s="13"/>
      <c r="R884" s="13"/>
    </row>
    <row r="885" spans="3:18" ht="15.75" customHeight="1" x14ac:dyDescent="0.25">
      <c r="C885" s="26"/>
      <c r="O885" s="13"/>
      <c r="P885" s="13"/>
      <c r="Q885" s="13"/>
      <c r="R885" s="13"/>
    </row>
    <row r="886" spans="3:18" ht="15.75" customHeight="1" x14ac:dyDescent="0.25">
      <c r="C886" s="26"/>
      <c r="O886" s="13"/>
      <c r="P886" s="13"/>
      <c r="Q886" s="13"/>
      <c r="R886" s="13"/>
    </row>
    <row r="887" spans="3:18" ht="15.75" customHeight="1" x14ac:dyDescent="0.25">
      <c r="C887" s="26"/>
      <c r="O887" s="13"/>
      <c r="P887" s="13"/>
      <c r="Q887" s="13"/>
      <c r="R887" s="13"/>
    </row>
    <row r="888" spans="3:18" ht="15.75" customHeight="1" x14ac:dyDescent="0.25">
      <c r="C888" s="26"/>
      <c r="O888" s="13"/>
      <c r="P888" s="13"/>
      <c r="Q888" s="13"/>
      <c r="R888" s="13"/>
    </row>
    <row r="889" spans="3:18" ht="15.75" customHeight="1" x14ac:dyDescent="0.25">
      <c r="C889" s="26"/>
      <c r="O889" s="13"/>
      <c r="P889" s="13"/>
      <c r="Q889" s="13"/>
      <c r="R889" s="13"/>
    </row>
    <row r="890" spans="3:18" ht="15.75" customHeight="1" x14ac:dyDescent="0.25">
      <c r="C890" s="26"/>
      <c r="O890" s="13"/>
      <c r="P890" s="13"/>
      <c r="Q890" s="13"/>
      <c r="R890" s="13"/>
    </row>
    <row r="891" spans="3:18" ht="15.75" customHeight="1" x14ac:dyDescent="0.25">
      <c r="C891" s="26"/>
      <c r="O891" s="13"/>
      <c r="P891" s="13"/>
      <c r="Q891" s="13"/>
      <c r="R891" s="13"/>
    </row>
    <row r="892" spans="3:18" ht="15.75" customHeight="1" x14ac:dyDescent="0.25">
      <c r="C892" s="26"/>
      <c r="O892" s="13"/>
      <c r="P892" s="13"/>
      <c r="Q892" s="13"/>
      <c r="R892" s="13"/>
    </row>
    <row r="893" spans="3:18" ht="15.75" customHeight="1" x14ac:dyDescent="0.25">
      <c r="C893" s="26"/>
      <c r="O893" s="13"/>
      <c r="P893" s="13"/>
      <c r="Q893" s="13"/>
      <c r="R893" s="13"/>
    </row>
    <row r="894" spans="3:18" ht="15.75" customHeight="1" x14ac:dyDescent="0.25">
      <c r="C894" s="26"/>
      <c r="O894" s="13"/>
      <c r="P894" s="13"/>
      <c r="Q894" s="13"/>
      <c r="R894" s="13"/>
    </row>
    <row r="895" spans="3:18" ht="15.75" customHeight="1" x14ac:dyDescent="0.25">
      <c r="C895" s="26"/>
      <c r="O895" s="13"/>
      <c r="P895" s="13"/>
      <c r="Q895" s="13"/>
      <c r="R895" s="13"/>
    </row>
    <row r="896" spans="3:18" ht="15.75" customHeight="1" x14ac:dyDescent="0.25">
      <c r="C896" s="26"/>
      <c r="O896" s="13"/>
      <c r="P896" s="13"/>
      <c r="Q896" s="13"/>
      <c r="R896" s="13"/>
    </row>
    <row r="897" spans="3:18" ht="15.75" customHeight="1" x14ac:dyDescent="0.25">
      <c r="C897" s="26"/>
      <c r="O897" s="13"/>
      <c r="P897" s="13"/>
      <c r="Q897" s="13"/>
      <c r="R897" s="13"/>
    </row>
    <row r="898" spans="3:18" ht="15.75" customHeight="1" x14ac:dyDescent="0.25">
      <c r="C898" s="26"/>
      <c r="O898" s="13"/>
      <c r="P898" s="13"/>
      <c r="Q898" s="13"/>
      <c r="R898" s="13"/>
    </row>
    <row r="899" spans="3:18" ht="15.75" customHeight="1" x14ac:dyDescent="0.25">
      <c r="C899" s="26"/>
      <c r="O899" s="13"/>
      <c r="P899" s="13"/>
      <c r="Q899" s="13"/>
      <c r="R899" s="13"/>
    </row>
    <row r="900" spans="3:18" ht="15.75" customHeight="1" x14ac:dyDescent="0.25">
      <c r="C900" s="26"/>
      <c r="O900" s="13"/>
      <c r="P900" s="13"/>
      <c r="Q900" s="13"/>
      <c r="R900" s="13"/>
    </row>
    <row r="901" spans="3:18" ht="15.75" customHeight="1" x14ac:dyDescent="0.25">
      <c r="C901" s="26"/>
      <c r="O901" s="13"/>
      <c r="P901" s="13"/>
      <c r="Q901" s="13"/>
      <c r="R901" s="13"/>
    </row>
    <row r="902" spans="3:18" ht="15.75" customHeight="1" x14ac:dyDescent="0.25">
      <c r="C902" s="26"/>
      <c r="O902" s="13"/>
      <c r="P902" s="13"/>
      <c r="Q902" s="13"/>
      <c r="R902" s="13"/>
    </row>
    <row r="903" spans="3:18" ht="15.75" customHeight="1" x14ac:dyDescent="0.25">
      <c r="C903" s="26"/>
      <c r="O903" s="13"/>
      <c r="P903" s="13"/>
      <c r="Q903" s="13"/>
      <c r="R903" s="13"/>
    </row>
    <row r="904" spans="3:18" ht="15.75" customHeight="1" x14ac:dyDescent="0.25">
      <c r="C904" s="26"/>
      <c r="O904" s="13"/>
      <c r="P904" s="13"/>
      <c r="Q904" s="13"/>
      <c r="R904" s="13"/>
    </row>
    <row r="905" spans="3:18" ht="15.75" customHeight="1" x14ac:dyDescent="0.25">
      <c r="C905" s="26"/>
      <c r="O905" s="13"/>
      <c r="P905" s="13"/>
      <c r="Q905" s="13"/>
      <c r="R905" s="13"/>
    </row>
    <row r="906" spans="3:18" ht="15.75" customHeight="1" x14ac:dyDescent="0.25">
      <c r="C906" s="26"/>
      <c r="O906" s="13"/>
      <c r="P906" s="13"/>
      <c r="Q906" s="13"/>
      <c r="R906" s="13"/>
    </row>
    <row r="907" spans="3:18" ht="15.75" customHeight="1" x14ac:dyDescent="0.25">
      <c r="C907" s="26"/>
      <c r="O907" s="13"/>
      <c r="P907" s="13"/>
      <c r="Q907" s="13"/>
      <c r="R907" s="13"/>
    </row>
    <row r="908" spans="3:18" ht="15.75" customHeight="1" x14ac:dyDescent="0.25">
      <c r="C908" s="26"/>
      <c r="O908" s="13"/>
      <c r="P908" s="13"/>
      <c r="Q908" s="13"/>
      <c r="R908" s="13"/>
    </row>
    <row r="909" spans="3:18" ht="15.75" customHeight="1" x14ac:dyDescent="0.25">
      <c r="C909" s="26"/>
      <c r="O909" s="13"/>
      <c r="P909" s="13"/>
      <c r="Q909" s="13"/>
      <c r="R909" s="13"/>
    </row>
    <row r="910" spans="3:18" ht="15.75" customHeight="1" x14ac:dyDescent="0.25">
      <c r="C910" s="26"/>
      <c r="O910" s="13"/>
      <c r="P910" s="13"/>
      <c r="Q910" s="13"/>
      <c r="R910" s="13"/>
    </row>
    <row r="911" spans="3:18" ht="15.75" customHeight="1" x14ac:dyDescent="0.25">
      <c r="C911" s="26"/>
      <c r="O911" s="13"/>
      <c r="P911" s="13"/>
      <c r="Q911" s="13"/>
      <c r="R911" s="13"/>
    </row>
    <row r="912" spans="3:18" ht="15.75" customHeight="1" x14ac:dyDescent="0.25">
      <c r="C912" s="26"/>
      <c r="O912" s="13"/>
      <c r="P912" s="13"/>
      <c r="Q912" s="13"/>
      <c r="R912" s="13"/>
    </row>
    <row r="913" spans="3:18" ht="15.75" customHeight="1" x14ac:dyDescent="0.25">
      <c r="C913" s="26"/>
      <c r="O913" s="13"/>
      <c r="P913" s="13"/>
      <c r="Q913" s="13"/>
      <c r="R913" s="13"/>
    </row>
    <row r="914" spans="3:18" ht="15.75" customHeight="1" x14ac:dyDescent="0.25">
      <c r="C914" s="26"/>
      <c r="O914" s="13"/>
      <c r="P914" s="13"/>
      <c r="Q914" s="13"/>
      <c r="R914" s="13"/>
    </row>
    <row r="915" spans="3:18" ht="15.75" customHeight="1" x14ac:dyDescent="0.25">
      <c r="C915" s="26"/>
      <c r="O915" s="13"/>
      <c r="P915" s="13"/>
      <c r="Q915" s="13"/>
      <c r="R915" s="13"/>
    </row>
    <row r="916" spans="3:18" ht="15.75" customHeight="1" x14ac:dyDescent="0.25">
      <c r="C916" s="26"/>
      <c r="O916" s="13"/>
      <c r="P916" s="13"/>
      <c r="Q916" s="13"/>
      <c r="R916" s="13"/>
    </row>
    <row r="917" spans="3:18" ht="15.75" customHeight="1" x14ac:dyDescent="0.25">
      <c r="C917" s="26"/>
      <c r="O917" s="13"/>
      <c r="P917" s="13"/>
      <c r="Q917" s="13"/>
      <c r="R917" s="13"/>
    </row>
    <row r="918" spans="3:18" ht="15.75" customHeight="1" x14ac:dyDescent="0.25">
      <c r="C918" s="26"/>
      <c r="O918" s="13"/>
      <c r="P918" s="13"/>
      <c r="Q918" s="13"/>
      <c r="R918" s="13"/>
    </row>
    <row r="919" spans="3:18" ht="15.75" customHeight="1" x14ac:dyDescent="0.25">
      <c r="C919" s="26"/>
      <c r="O919" s="13"/>
      <c r="P919" s="13"/>
      <c r="Q919" s="13"/>
      <c r="R919" s="13"/>
    </row>
    <row r="920" spans="3:18" ht="15.75" customHeight="1" x14ac:dyDescent="0.25">
      <c r="C920" s="26"/>
      <c r="O920" s="13"/>
      <c r="P920" s="13"/>
      <c r="Q920" s="13"/>
      <c r="R920" s="13"/>
    </row>
    <row r="921" spans="3:18" ht="15.75" customHeight="1" x14ac:dyDescent="0.25">
      <c r="C921" s="26"/>
      <c r="O921" s="13"/>
      <c r="P921" s="13"/>
      <c r="Q921" s="13"/>
      <c r="R921" s="13"/>
    </row>
    <row r="922" spans="3:18" ht="15.75" customHeight="1" x14ac:dyDescent="0.25">
      <c r="C922" s="26"/>
      <c r="O922" s="13"/>
      <c r="P922" s="13"/>
      <c r="Q922" s="13"/>
      <c r="R922" s="13"/>
    </row>
    <row r="923" spans="3:18" ht="15.75" customHeight="1" x14ac:dyDescent="0.25">
      <c r="C923" s="26"/>
      <c r="O923" s="13"/>
      <c r="P923" s="13"/>
      <c r="Q923" s="13"/>
      <c r="R923" s="13"/>
    </row>
    <row r="924" spans="3:18" ht="15.75" customHeight="1" x14ac:dyDescent="0.25">
      <c r="C924" s="26"/>
      <c r="O924" s="13"/>
      <c r="P924" s="13"/>
      <c r="Q924" s="13"/>
      <c r="R924" s="13"/>
    </row>
    <row r="925" spans="3:18" ht="15.75" customHeight="1" x14ac:dyDescent="0.25">
      <c r="C925" s="26"/>
      <c r="O925" s="13"/>
      <c r="P925" s="13"/>
      <c r="Q925" s="13"/>
      <c r="R925" s="13"/>
    </row>
    <row r="926" spans="3:18" ht="15.75" customHeight="1" x14ac:dyDescent="0.25">
      <c r="C926" s="26"/>
      <c r="O926" s="13"/>
      <c r="P926" s="13"/>
      <c r="Q926" s="13"/>
      <c r="R926" s="13"/>
    </row>
    <row r="927" spans="3:18" ht="15.75" customHeight="1" x14ac:dyDescent="0.25">
      <c r="C927" s="26"/>
      <c r="O927" s="13"/>
      <c r="P927" s="13"/>
      <c r="Q927" s="13"/>
      <c r="R927" s="13"/>
    </row>
    <row r="928" spans="3:18" ht="15.75" customHeight="1" x14ac:dyDescent="0.25">
      <c r="C928" s="26"/>
      <c r="O928" s="13"/>
      <c r="P928" s="13"/>
      <c r="Q928" s="13"/>
      <c r="R928" s="13"/>
    </row>
    <row r="929" spans="3:18" ht="15.75" customHeight="1" x14ac:dyDescent="0.25">
      <c r="C929" s="26"/>
      <c r="O929" s="13"/>
      <c r="P929" s="13"/>
      <c r="Q929" s="13"/>
      <c r="R929" s="13"/>
    </row>
    <row r="930" spans="3:18" ht="15.75" customHeight="1" x14ac:dyDescent="0.25">
      <c r="C930" s="26"/>
      <c r="O930" s="13"/>
      <c r="P930" s="13"/>
      <c r="Q930" s="13"/>
      <c r="R930" s="13"/>
    </row>
    <row r="931" spans="3:18" ht="15.75" customHeight="1" x14ac:dyDescent="0.25">
      <c r="C931" s="26"/>
      <c r="O931" s="13"/>
      <c r="P931" s="13"/>
      <c r="Q931" s="13"/>
      <c r="R931" s="13"/>
    </row>
    <row r="932" spans="3:18" ht="15.75" customHeight="1" x14ac:dyDescent="0.25">
      <c r="C932" s="26"/>
      <c r="O932" s="13"/>
      <c r="P932" s="13"/>
      <c r="Q932" s="13"/>
      <c r="R932" s="13"/>
    </row>
    <row r="933" spans="3:18" ht="15.75" customHeight="1" x14ac:dyDescent="0.25">
      <c r="C933" s="26"/>
      <c r="O933" s="13"/>
      <c r="P933" s="13"/>
      <c r="Q933" s="13"/>
      <c r="R933" s="13"/>
    </row>
    <row r="934" spans="3:18" ht="15.75" customHeight="1" x14ac:dyDescent="0.25">
      <c r="C934" s="26"/>
      <c r="O934" s="13"/>
      <c r="P934" s="13"/>
      <c r="Q934" s="13"/>
      <c r="R934" s="13"/>
    </row>
    <row r="935" spans="3:18" ht="15.75" customHeight="1" x14ac:dyDescent="0.25">
      <c r="C935" s="26"/>
      <c r="O935" s="13"/>
      <c r="P935" s="13"/>
      <c r="Q935" s="13"/>
      <c r="R935" s="13"/>
    </row>
    <row r="936" spans="3:18" ht="15.75" customHeight="1" x14ac:dyDescent="0.25">
      <c r="C936" s="26"/>
      <c r="O936" s="13"/>
      <c r="P936" s="13"/>
      <c r="Q936" s="13"/>
      <c r="R936" s="13"/>
    </row>
    <row r="937" spans="3:18" ht="15.75" customHeight="1" x14ac:dyDescent="0.25">
      <c r="C937" s="26"/>
      <c r="O937" s="13"/>
      <c r="P937" s="13"/>
      <c r="Q937" s="13"/>
      <c r="R937" s="13"/>
    </row>
    <row r="938" spans="3:18" ht="15.75" customHeight="1" x14ac:dyDescent="0.25">
      <c r="C938" s="26"/>
      <c r="O938" s="13"/>
      <c r="P938" s="13"/>
      <c r="Q938" s="13"/>
      <c r="R938" s="13"/>
    </row>
    <row r="939" spans="3:18" ht="15.75" customHeight="1" x14ac:dyDescent="0.25">
      <c r="C939" s="26"/>
      <c r="O939" s="13"/>
      <c r="P939" s="13"/>
      <c r="Q939" s="13"/>
      <c r="R939" s="13"/>
    </row>
    <row r="940" spans="3:18" ht="15.75" customHeight="1" x14ac:dyDescent="0.25">
      <c r="C940" s="26"/>
      <c r="O940" s="13"/>
      <c r="P940" s="13"/>
      <c r="Q940" s="13"/>
      <c r="R940" s="13"/>
    </row>
    <row r="941" spans="3:18" ht="15.75" customHeight="1" x14ac:dyDescent="0.25">
      <c r="C941" s="26"/>
      <c r="O941" s="13"/>
      <c r="P941" s="13"/>
      <c r="Q941" s="13"/>
      <c r="R941" s="13"/>
    </row>
    <row r="942" spans="3:18" ht="15.75" customHeight="1" x14ac:dyDescent="0.25">
      <c r="C942" s="26"/>
      <c r="O942" s="13"/>
      <c r="P942" s="13"/>
      <c r="Q942" s="13"/>
      <c r="R942" s="13"/>
    </row>
    <row r="943" spans="3:18" ht="15.75" customHeight="1" x14ac:dyDescent="0.25">
      <c r="C943" s="26"/>
      <c r="O943" s="13"/>
      <c r="P943" s="13"/>
      <c r="Q943" s="13"/>
      <c r="R943" s="13"/>
    </row>
    <row r="944" spans="3:18" ht="15.75" customHeight="1" x14ac:dyDescent="0.25">
      <c r="C944" s="26"/>
      <c r="O944" s="13"/>
      <c r="P944" s="13"/>
      <c r="Q944" s="13"/>
      <c r="R944" s="13"/>
    </row>
    <row r="945" spans="3:18" ht="15.75" customHeight="1" x14ac:dyDescent="0.25">
      <c r="C945" s="26"/>
      <c r="O945" s="13"/>
      <c r="P945" s="13"/>
      <c r="Q945" s="13"/>
      <c r="R945" s="13"/>
    </row>
    <row r="946" spans="3:18" ht="15.75" customHeight="1" x14ac:dyDescent="0.25">
      <c r="C946" s="26"/>
      <c r="O946" s="13"/>
      <c r="P946" s="13"/>
      <c r="Q946" s="13"/>
      <c r="R946" s="13"/>
    </row>
    <row r="947" spans="3:18" ht="15.75" customHeight="1" x14ac:dyDescent="0.25">
      <c r="C947" s="26"/>
      <c r="O947" s="13"/>
      <c r="P947" s="13"/>
      <c r="Q947" s="13"/>
      <c r="R947" s="13"/>
    </row>
    <row r="948" spans="3:18" ht="15.75" customHeight="1" x14ac:dyDescent="0.25">
      <c r="C948" s="26"/>
      <c r="O948" s="13"/>
      <c r="P948" s="13"/>
      <c r="Q948" s="13"/>
      <c r="R948" s="13"/>
    </row>
    <row r="949" spans="3:18" ht="15.75" customHeight="1" x14ac:dyDescent="0.25">
      <c r="C949" s="26"/>
      <c r="O949" s="13"/>
      <c r="P949" s="13"/>
      <c r="Q949" s="13"/>
      <c r="R949" s="13"/>
    </row>
    <row r="950" spans="3:18" ht="15.75" customHeight="1" x14ac:dyDescent="0.25">
      <c r="C950" s="26"/>
      <c r="O950" s="13"/>
      <c r="P950" s="13"/>
      <c r="Q950" s="13"/>
      <c r="R950" s="13"/>
    </row>
    <row r="951" spans="3:18" ht="15.75" customHeight="1" x14ac:dyDescent="0.25">
      <c r="C951" s="26"/>
      <c r="O951" s="13"/>
      <c r="P951" s="13"/>
      <c r="Q951" s="13"/>
      <c r="R951" s="13"/>
    </row>
    <row r="952" spans="3:18" ht="15.75" customHeight="1" x14ac:dyDescent="0.25">
      <c r="C952" s="26"/>
      <c r="O952" s="13"/>
      <c r="P952" s="13"/>
      <c r="Q952" s="13"/>
      <c r="R952" s="13"/>
    </row>
    <row r="953" spans="3:18" ht="15.75" customHeight="1" x14ac:dyDescent="0.25">
      <c r="C953" s="26"/>
      <c r="O953" s="13"/>
      <c r="P953" s="13"/>
      <c r="Q953" s="13"/>
      <c r="R953" s="13"/>
    </row>
    <row r="954" spans="3:18" ht="15.75" customHeight="1" x14ac:dyDescent="0.25">
      <c r="C954" s="26"/>
      <c r="O954" s="13"/>
      <c r="P954" s="13"/>
      <c r="Q954" s="13"/>
      <c r="R954" s="13"/>
    </row>
    <row r="955" spans="3:18" ht="15.75" customHeight="1" x14ac:dyDescent="0.25">
      <c r="C955" s="26"/>
      <c r="O955" s="13"/>
      <c r="P955" s="13"/>
      <c r="Q955" s="13"/>
      <c r="R955" s="13"/>
    </row>
    <row r="956" spans="3:18" ht="15.75" customHeight="1" x14ac:dyDescent="0.25">
      <c r="C956" s="26"/>
      <c r="O956" s="13"/>
      <c r="P956" s="13"/>
      <c r="Q956" s="13"/>
      <c r="R956" s="13"/>
    </row>
    <row r="957" spans="3:18" ht="15.75" customHeight="1" x14ac:dyDescent="0.25">
      <c r="C957" s="26"/>
      <c r="O957" s="13"/>
      <c r="P957" s="13"/>
      <c r="Q957" s="13"/>
      <c r="R957" s="13"/>
    </row>
    <row r="958" spans="3:18" ht="15.75" customHeight="1" x14ac:dyDescent="0.25">
      <c r="C958" s="26"/>
      <c r="O958" s="13"/>
      <c r="P958" s="13"/>
      <c r="Q958" s="13"/>
      <c r="R958" s="13"/>
    </row>
    <row r="959" spans="3:18" ht="15.75" customHeight="1" x14ac:dyDescent="0.25">
      <c r="C959" s="26"/>
      <c r="O959" s="13"/>
      <c r="P959" s="13"/>
      <c r="Q959" s="13"/>
      <c r="R959" s="13"/>
    </row>
    <row r="960" spans="3:18" ht="15.75" customHeight="1" x14ac:dyDescent="0.25">
      <c r="C960" s="26"/>
      <c r="O960" s="13"/>
      <c r="P960" s="13"/>
      <c r="Q960" s="13"/>
      <c r="R960" s="13"/>
    </row>
    <row r="961" spans="3:18" ht="15.75" customHeight="1" x14ac:dyDescent="0.25">
      <c r="C961" s="26"/>
      <c r="O961" s="13"/>
      <c r="P961" s="13"/>
      <c r="Q961" s="13"/>
      <c r="R961" s="13"/>
    </row>
    <row r="962" spans="3:18" ht="15.75" customHeight="1" x14ac:dyDescent="0.25">
      <c r="C962" s="26"/>
      <c r="O962" s="13"/>
      <c r="P962" s="13"/>
      <c r="Q962" s="13"/>
      <c r="R962" s="13"/>
    </row>
    <row r="963" spans="3:18" ht="15.75" customHeight="1" x14ac:dyDescent="0.25">
      <c r="C963" s="26"/>
      <c r="O963" s="13"/>
      <c r="P963" s="13"/>
      <c r="Q963" s="13"/>
      <c r="R963" s="13"/>
    </row>
    <row r="964" spans="3:18" ht="15.75" customHeight="1" x14ac:dyDescent="0.25">
      <c r="C964" s="26"/>
      <c r="O964" s="13"/>
      <c r="P964" s="13"/>
      <c r="Q964" s="13"/>
      <c r="R964" s="13"/>
    </row>
    <row r="965" spans="3:18" ht="15.75" customHeight="1" x14ac:dyDescent="0.25">
      <c r="C965" s="26"/>
      <c r="O965" s="13"/>
      <c r="P965" s="13"/>
      <c r="Q965" s="13"/>
      <c r="R965" s="13"/>
    </row>
    <row r="966" spans="3:18" ht="15.75" customHeight="1" x14ac:dyDescent="0.25">
      <c r="C966" s="26"/>
      <c r="O966" s="13"/>
      <c r="P966" s="13"/>
      <c r="Q966" s="13"/>
      <c r="R966" s="13"/>
    </row>
    <row r="967" spans="3:18" ht="15.75" customHeight="1" x14ac:dyDescent="0.25">
      <c r="C967" s="26"/>
      <c r="O967" s="13"/>
      <c r="P967" s="13"/>
      <c r="Q967" s="13"/>
      <c r="R967" s="13"/>
    </row>
    <row r="968" spans="3:18" ht="15.75" customHeight="1" x14ac:dyDescent="0.25">
      <c r="C968" s="26"/>
      <c r="O968" s="13"/>
      <c r="P968" s="13"/>
      <c r="Q968" s="13"/>
      <c r="R968" s="13"/>
    </row>
    <row r="969" spans="3:18" ht="15.75" customHeight="1" x14ac:dyDescent="0.25">
      <c r="C969" s="26"/>
      <c r="O969" s="13"/>
      <c r="P969" s="13"/>
      <c r="Q969" s="13"/>
      <c r="R969" s="13"/>
    </row>
    <row r="970" spans="3:18" ht="15.75" customHeight="1" x14ac:dyDescent="0.25">
      <c r="C970" s="26"/>
      <c r="O970" s="13"/>
      <c r="P970" s="13"/>
      <c r="Q970" s="13"/>
      <c r="R970" s="13"/>
    </row>
    <row r="971" spans="3:18" ht="15.75" customHeight="1" x14ac:dyDescent="0.25">
      <c r="C971" s="26"/>
      <c r="O971" s="13"/>
      <c r="P971" s="13"/>
      <c r="Q971" s="13"/>
      <c r="R971" s="13"/>
    </row>
    <row r="972" spans="3:18" ht="15.75" customHeight="1" x14ac:dyDescent="0.25">
      <c r="C972" s="26"/>
      <c r="O972" s="13"/>
      <c r="P972" s="13"/>
      <c r="Q972" s="13"/>
      <c r="R972" s="13"/>
    </row>
    <row r="973" spans="3:18" ht="15.75" customHeight="1" x14ac:dyDescent="0.25">
      <c r="C973" s="26"/>
      <c r="O973" s="13"/>
      <c r="P973" s="13"/>
      <c r="Q973" s="13"/>
      <c r="R973" s="13"/>
    </row>
    <row r="974" spans="3:18" ht="15.75" customHeight="1" x14ac:dyDescent="0.25">
      <c r="C974" s="26"/>
      <c r="O974" s="13"/>
      <c r="P974" s="13"/>
      <c r="Q974" s="13"/>
      <c r="R974" s="13"/>
    </row>
    <row r="975" spans="3:18" ht="15.75" customHeight="1" x14ac:dyDescent="0.25">
      <c r="C975" s="26"/>
      <c r="O975" s="13"/>
      <c r="P975" s="13"/>
      <c r="Q975" s="13"/>
      <c r="R975" s="13"/>
    </row>
    <row r="976" spans="3:18" ht="15.75" customHeight="1" x14ac:dyDescent="0.25">
      <c r="C976" s="26"/>
      <c r="O976" s="13"/>
      <c r="P976" s="13"/>
      <c r="Q976" s="13"/>
      <c r="R976" s="13"/>
    </row>
    <row r="977" spans="3:18" ht="15.75" customHeight="1" x14ac:dyDescent="0.25">
      <c r="C977" s="26"/>
      <c r="O977" s="13"/>
      <c r="P977" s="13"/>
      <c r="Q977" s="13"/>
      <c r="R977" s="13"/>
    </row>
    <row r="978" spans="3:18" ht="15.75" customHeight="1" x14ac:dyDescent="0.25">
      <c r="C978" s="26"/>
      <c r="O978" s="13"/>
      <c r="P978" s="13"/>
      <c r="Q978" s="13"/>
      <c r="R978" s="13"/>
    </row>
    <row r="979" spans="3:18" ht="15.75" customHeight="1" x14ac:dyDescent="0.25">
      <c r="C979" s="26"/>
      <c r="O979" s="13"/>
      <c r="P979" s="13"/>
      <c r="Q979" s="13"/>
      <c r="R979" s="13"/>
    </row>
    <row r="980" spans="3:18" ht="15.75" customHeight="1" x14ac:dyDescent="0.25">
      <c r="C980" s="26"/>
      <c r="O980" s="13"/>
      <c r="P980" s="13"/>
      <c r="Q980" s="13"/>
      <c r="R980" s="13"/>
    </row>
    <row r="981" spans="3:18" ht="15.75" customHeight="1" x14ac:dyDescent="0.25">
      <c r="C981" s="26"/>
      <c r="O981" s="13"/>
      <c r="P981" s="13"/>
      <c r="Q981" s="13"/>
      <c r="R981" s="13"/>
    </row>
    <row r="982" spans="3:18" ht="15.75" customHeight="1" x14ac:dyDescent="0.25">
      <c r="C982" s="26"/>
      <c r="O982" s="13"/>
      <c r="P982" s="13"/>
      <c r="Q982" s="13"/>
      <c r="R982" s="13"/>
    </row>
    <row r="983" spans="3:18" ht="15.75" customHeight="1" x14ac:dyDescent="0.25">
      <c r="C983" s="26"/>
      <c r="O983" s="13"/>
      <c r="P983" s="13"/>
      <c r="Q983" s="13"/>
      <c r="R983" s="13"/>
    </row>
    <row r="984" spans="3:18" ht="15.75" customHeight="1" x14ac:dyDescent="0.25">
      <c r="C984" s="26"/>
      <c r="O984" s="13"/>
      <c r="P984" s="13"/>
      <c r="Q984" s="13"/>
      <c r="R984" s="13"/>
    </row>
    <row r="985" spans="3:18" ht="15.75" customHeight="1" x14ac:dyDescent="0.25">
      <c r="C985" s="26"/>
      <c r="O985" s="13"/>
      <c r="P985" s="13"/>
      <c r="Q985" s="13"/>
      <c r="R985" s="13"/>
    </row>
    <row r="986" spans="3:18" ht="15.75" customHeight="1" x14ac:dyDescent="0.25">
      <c r="C986" s="26"/>
      <c r="O986" s="13"/>
      <c r="P986" s="13"/>
      <c r="Q986" s="13"/>
      <c r="R986" s="13"/>
    </row>
    <row r="987" spans="3:18" ht="15.75" customHeight="1" x14ac:dyDescent="0.25">
      <c r="C987" s="26"/>
      <c r="O987" s="13"/>
      <c r="P987" s="13"/>
      <c r="Q987" s="13"/>
      <c r="R987" s="13"/>
    </row>
    <row r="988" spans="3:18" ht="15.75" customHeight="1" x14ac:dyDescent="0.25">
      <c r="C988" s="26"/>
      <c r="O988" s="13"/>
      <c r="P988" s="13"/>
      <c r="Q988" s="13"/>
      <c r="R988" s="13"/>
    </row>
    <row r="989" spans="3:18" ht="15.75" customHeight="1" x14ac:dyDescent="0.25">
      <c r="C989" s="26"/>
      <c r="O989" s="13"/>
      <c r="P989" s="13"/>
      <c r="Q989" s="13"/>
      <c r="R989" s="13"/>
    </row>
    <row r="990" spans="3:18" ht="15.75" customHeight="1" x14ac:dyDescent="0.25">
      <c r="C990" s="26"/>
      <c r="O990" s="13"/>
      <c r="P990" s="13"/>
      <c r="Q990" s="13"/>
      <c r="R990" s="13"/>
    </row>
    <row r="991" spans="3:18" ht="15.75" customHeight="1" x14ac:dyDescent="0.25">
      <c r="C991" s="26"/>
      <c r="O991" s="13"/>
      <c r="P991" s="13"/>
      <c r="Q991" s="13"/>
      <c r="R991" s="13"/>
    </row>
    <row r="992" spans="3:18" ht="15.75" customHeight="1" x14ac:dyDescent="0.25">
      <c r="C992" s="26"/>
      <c r="O992" s="13"/>
      <c r="P992" s="13"/>
      <c r="Q992" s="13"/>
      <c r="R992" s="13"/>
    </row>
    <row r="993" spans="3:18" ht="15.75" customHeight="1" x14ac:dyDescent="0.25">
      <c r="C993" s="26"/>
      <c r="O993" s="13"/>
      <c r="P993" s="13"/>
      <c r="Q993" s="13"/>
      <c r="R993" s="13"/>
    </row>
    <row r="994" spans="3:18" ht="15.75" customHeight="1" x14ac:dyDescent="0.25">
      <c r="C994" s="26"/>
      <c r="O994" s="13"/>
      <c r="P994" s="13"/>
      <c r="Q994" s="13"/>
      <c r="R994" s="13"/>
    </row>
    <row r="995" spans="3:18" ht="15.75" customHeight="1" x14ac:dyDescent="0.25">
      <c r="C995" s="26"/>
      <c r="O995" s="13"/>
      <c r="P995" s="13"/>
      <c r="Q995" s="13"/>
      <c r="R995" s="13"/>
    </row>
    <row r="996" spans="3:18" ht="15.75" customHeight="1" x14ac:dyDescent="0.25">
      <c r="C996" s="26"/>
      <c r="O996" s="13"/>
      <c r="P996" s="13"/>
      <c r="Q996" s="13"/>
      <c r="R996" s="13"/>
    </row>
    <row r="997" spans="3:18" ht="15.75" customHeight="1" x14ac:dyDescent="0.25">
      <c r="C997" s="26"/>
      <c r="O997" s="13"/>
      <c r="P997" s="13"/>
      <c r="Q997" s="13"/>
      <c r="R997" s="13"/>
    </row>
    <row r="998" spans="3:18" ht="15.75" customHeight="1" x14ac:dyDescent="0.25">
      <c r="C998" s="26"/>
      <c r="O998" s="13"/>
      <c r="P998" s="13"/>
      <c r="Q998" s="13"/>
      <c r="R998" s="13"/>
    </row>
    <row r="999" spans="3:18" ht="15.75" customHeight="1" x14ac:dyDescent="0.25">
      <c r="C999" s="26"/>
      <c r="O999" s="13"/>
      <c r="P999" s="13"/>
      <c r="Q999" s="13"/>
      <c r="R999" s="13"/>
    </row>
    <row r="1000" spans="3:18" ht="15.75" customHeight="1" x14ac:dyDescent="0.25">
      <c r="C1000" s="26"/>
      <c r="O1000" s="13"/>
      <c r="P1000" s="13"/>
      <c r="Q1000" s="13"/>
      <c r="R1000" s="13"/>
    </row>
  </sheetData>
  <mergeCells count="110">
    <mergeCell ref="B12:B57"/>
    <mergeCell ref="C27:C29"/>
    <mergeCell ref="C56:C57"/>
    <mergeCell ref="C14:C15"/>
    <mergeCell ref="C17:C20"/>
    <mergeCell ref="AA18:AB18"/>
    <mergeCell ref="AC18:AD18"/>
    <mergeCell ref="P19:R19"/>
    <mergeCell ref="AA20:AB20"/>
    <mergeCell ref="C23:C25"/>
    <mergeCell ref="Y28:Z28"/>
    <mergeCell ref="AB28:AC28"/>
    <mergeCell ref="C31:C32"/>
    <mergeCell ref="C34:C35"/>
    <mergeCell ref="C36:C37"/>
    <mergeCell ref="C38:C39"/>
    <mergeCell ref="Y27:Z27"/>
    <mergeCell ref="AB27:AC27"/>
    <mergeCell ref="C41:C42"/>
    <mergeCell ref="C43:C44"/>
    <mergeCell ref="C45:C46"/>
    <mergeCell ref="C48:C49"/>
    <mergeCell ref="C50:C51"/>
    <mergeCell ref="C53:C54"/>
    <mergeCell ref="K9:N9"/>
    <mergeCell ref="P9:Q9"/>
    <mergeCell ref="P11:Q11"/>
    <mergeCell ref="C9:C11"/>
    <mergeCell ref="AO45:AO46"/>
    <mergeCell ref="AP45:AP46"/>
    <mergeCell ref="AY50:AZ50"/>
    <mergeCell ref="AP34:AP35"/>
    <mergeCell ref="AQ34:AR34"/>
    <mergeCell ref="AS34:AT34"/>
    <mergeCell ref="AQ35:AR35"/>
    <mergeCell ref="AS35:AT35"/>
    <mergeCell ref="AP36:AP37"/>
    <mergeCell ref="AP41:AP44"/>
    <mergeCell ref="AQ41:AR41"/>
    <mergeCell ref="AS41:AT41"/>
    <mergeCell ref="AQ42:AR42"/>
    <mergeCell ref="AS42:AT42"/>
    <mergeCell ref="AR28:AS28"/>
    <mergeCell ref="AT38:AT39"/>
    <mergeCell ref="AU38:AV38"/>
    <mergeCell ref="AW38:AX38"/>
    <mergeCell ref="AU39:AV39"/>
    <mergeCell ref="AW39:AX39"/>
    <mergeCell ref="BA50:BB50"/>
    <mergeCell ref="BA51:BB51"/>
    <mergeCell ref="AT48:AT51"/>
    <mergeCell ref="AU48:AU49"/>
    <mergeCell ref="AV48:AW48"/>
    <mergeCell ref="AX48:AY48"/>
    <mergeCell ref="AV49:AW49"/>
    <mergeCell ref="AX49:AY49"/>
    <mergeCell ref="AU50:AU51"/>
    <mergeCell ref="AY51:AZ51"/>
    <mergeCell ref="BD41:BI41"/>
    <mergeCell ref="BD42:BI42"/>
    <mergeCell ref="AR29:AS29"/>
    <mergeCell ref="AL17:AM17"/>
    <mergeCell ref="AE18:AF18"/>
    <mergeCell ref="AG18:AH18"/>
    <mergeCell ref="AL18:AM18"/>
    <mergeCell ref="AS18:AV18"/>
    <mergeCell ref="AL19:AM19"/>
    <mergeCell ref="AS23:AS25"/>
    <mergeCell ref="AM25:AP25"/>
    <mergeCell ref="AR27:AS27"/>
    <mergeCell ref="AE20:AF20"/>
    <mergeCell ref="AG20:AH20"/>
    <mergeCell ref="AL20:AM20"/>
    <mergeCell ref="AE21:AF21"/>
    <mergeCell ref="AG21:AH21"/>
    <mergeCell ref="AE27:AF27"/>
    <mergeCell ref="AG27:AH27"/>
    <mergeCell ref="AE28:AF28"/>
    <mergeCell ref="AG28:AH28"/>
    <mergeCell ref="AA17:AB17"/>
    <mergeCell ref="AC17:AD17"/>
    <mergeCell ref="AE17:AF17"/>
    <mergeCell ref="AG17:AH17"/>
    <mergeCell ref="AC20:AD20"/>
    <mergeCell ref="CA5:CD5"/>
    <mergeCell ref="CE5:CH5"/>
    <mergeCell ref="CI5:CL5"/>
    <mergeCell ref="CM5:CP5"/>
    <mergeCell ref="AA5:AD5"/>
    <mergeCell ref="E3:I3"/>
    <mergeCell ref="K3:BB3"/>
    <mergeCell ref="BC3:CT3"/>
    <mergeCell ref="E5:I5"/>
    <mergeCell ref="K5:N5"/>
    <mergeCell ref="O5:R5"/>
    <mergeCell ref="S5:V5"/>
    <mergeCell ref="CQ5:CT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BS5:BV5"/>
    <mergeCell ref="BW5:BZ5"/>
    <mergeCell ref="W5:Z5"/>
  </mergeCells>
  <pageMargins left="0.25" right="0.25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CT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14.42578125" defaultRowHeight="15" customHeight="1" x14ac:dyDescent="0.25"/>
  <cols>
    <col min="1" max="1" width="2.7109375" customWidth="1"/>
    <col min="2" max="2" width="15.42578125" customWidth="1"/>
    <col min="3" max="3" width="33.42578125" customWidth="1"/>
    <col min="4" max="4" width="1.28515625" customWidth="1"/>
    <col min="5" max="6" width="43" hidden="1" customWidth="1"/>
    <col min="7" max="7" width="2.28515625" hidden="1" customWidth="1"/>
    <col min="8" max="9" width="43" hidden="1" customWidth="1"/>
    <col min="10" max="10" width="2.28515625" hidden="1" customWidth="1"/>
    <col min="11" max="13" width="60.7109375" hidden="1" customWidth="1"/>
    <col min="14" max="14" width="61.28515625" hidden="1" customWidth="1"/>
    <col min="15" max="19" width="30.7109375" hidden="1" customWidth="1"/>
    <col min="20" max="20" width="39.28515625" hidden="1" customWidth="1"/>
    <col min="21" max="21" width="30.7109375" hidden="1" customWidth="1"/>
    <col min="22" max="22" width="37.140625" hidden="1" customWidth="1"/>
    <col min="23" max="46" width="30.7109375" hidden="1" customWidth="1"/>
    <col min="47" max="98" width="30.7109375" customWidth="1"/>
  </cols>
  <sheetData>
    <row r="1" spans="2:98" ht="14.25" customHeight="1" x14ac:dyDescent="0.25">
      <c r="C1" s="26"/>
      <c r="E1" s="49"/>
      <c r="F1" s="49"/>
      <c r="H1" s="49"/>
      <c r="I1" s="49"/>
      <c r="O1" s="13"/>
      <c r="P1" s="13"/>
      <c r="Q1" s="13"/>
      <c r="R1" s="13"/>
    </row>
    <row r="2" spans="2:98" ht="14.25" customHeight="1" x14ac:dyDescent="0.25">
      <c r="C2" s="26"/>
      <c r="E2" s="49"/>
      <c r="F2" s="49"/>
      <c r="H2" s="49"/>
      <c r="I2" s="49"/>
      <c r="O2" s="13"/>
      <c r="P2" s="13"/>
      <c r="Q2" s="13"/>
      <c r="R2" s="13"/>
    </row>
    <row r="3" spans="2:98" ht="49.5" customHeight="1" x14ac:dyDescent="0.25">
      <c r="C3" s="26"/>
      <c r="E3" s="619">
        <v>2024</v>
      </c>
      <c r="F3" s="568"/>
      <c r="G3" s="568"/>
      <c r="H3" s="568"/>
      <c r="I3" s="569"/>
      <c r="K3" s="668">
        <v>2025</v>
      </c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  <c r="AM3" s="568"/>
      <c r="AN3" s="568"/>
      <c r="AO3" s="568"/>
      <c r="AP3" s="568"/>
      <c r="AQ3" s="568"/>
      <c r="AR3" s="568"/>
      <c r="AS3" s="568"/>
      <c r="AT3" s="568"/>
      <c r="AU3" s="568"/>
      <c r="AV3" s="568"/>
      <c r="AW3" s="568"/>
      <c r="AX3" s="568"/>
      <c r="AY3" s="568"/>
      <c r="AZ3" s="568"/>
      <c r="BA3" s="568"/>
      <c r="BB3" s="569"/>
      <c r="BC3" s="668">
        <v>2025</v>
      </c>
      <c r="BD3" s="568"/>
      <c r="BE3" s="568"/>
      <c r="BF3" s="568"/>
      <c r="BG3" s="568"/>
      <c r="BH3" s="568"/>
      <c r="BI3" s="568"/>
      <c r="BJ3" s="568"/>
      <c r="BK3" s="568"/>
      <c r="BL3" s="568"/>
      <c r="BM3" s="568"/>
      <c r="BN3" s="568"/>
      <c r="BO3" s="568"/>
      <c r="BP3" s="568"/>
      <c r="BQ3" s="568"/>
      <c r="BR3" s="568"/>
      <c r="BS3" s="568"/>
      <c r="BT3" s="568"/>
      <c r="BU3" s="568"/>
      <c r="BV3" s="568"/>
      <c r="BW3" s="568"/>
      <c r="BX3" s="568"/>
      <c r="BY3" s="568"/>
      <c r="BZ3" s="568"/>
      <c r="CA3" s="568"/>
      <c r="CB3" s="568"/>
      <c r="CC3" s="568"/>
      <c r="CD3" s="568"/>
      <c r="CE3" s="568"/>
      <c r="CF3" s="568"/>
      <c r="CG3" s="568"/>
      <c r="CH3" s="568"/>
      <c r="CI3" s="568"/>
      <c r="CJ3" s="568"/>
      <c r="CK3" s="568"/>
      <c r="CL3" s="568"/>
      <c r="CM3" s="568"/>
      <c r="CN3" s="568"/>
      <c r="CO3" s="568"/>
      <c r="CP3" s="568"/>
      <c r="CQ3" s="568"/>
      <c r="CR3" s="568"/>
      <c r="CS3" s="568"/>
      <c r="CT3" s="569"/>
    </row>
    <row r="4" spans="2:98" ht="9.75" customHeight="1" x14ac:dyDescent="0.25">
      <c r="C4" s="26"/>
      <c r="E4" s="49"/>
      <c r="F4" s="49"/>
      <c r="H4" s="49"/>
      <c r="I4" s="49"/>
      <c r="O4" s="13"/>
      <c r="P4" s="13"/>
      <c r="Q4" s="13"/>
      <c r="R4" s="13"/>
      <c r="BG4" s="13"/>
      <c r="BH4" s="13"/>
      <c r="BI4" s="13"/>
      <c r="BJ4" s="13"/>
    </row>
    <row r="5" spans="2:98" ht="57.75" customHeight="1" x14ac:dyDescent="0.25">
      <c r="C5" s="152" t="s">
        <v>28</v>
      </c>
      <c r="D5" s="52"/>
      <c r="E5" s="622" t="s">
        <v>93</v>
      </c>
      <c r="F5" s="582"/>
      <c r="G5" s="582"/>
      <c r="H5" s="582"/>
      <c r="I5" s="572"/>
      <c r="K5" s="575" t="s">
        <v>56</v>
      </c>
      <c r="L5" s="568"/>
      <c r="M5" s="568"/>
      <c r="N5" s="569"/>
      <c r="O5" s="577" t="s">
        <v>57</v>
      </c>
      <c r="P5" s="568"/>
      <c r="Q5" s="568"/>
      <c r="R5" s="569"/>
      <c r="S5" s="575" t="s">
        <v>58</v>
      </c>
      <c r="T5" s="568"/>
      <c r="U5" s="568"/>
      <c r="V5" s="569"/>
      <c r="W5" s="575" t="s">
        <v>1</v>
      </c>
      <c r="X5" s="568"/>
      <c r="Y5" s="568"/>
      <c r="Z5" s="569"/>
      <c r="AA5" s="575" t="s">
        <v>19</v>
      </c>
      <c r="AB5" s="568"/>
      <c r="AC5" s="568"/>
      <c r="AD5" s="569"/>
      <c r="AE5" s="575" t="s">
        <v>25</v>
      </c>
      <c r="AF5" s="568"/>
      <c r="AG5" s="568"/>
      <c r="AH5" s="569"/>
      <c r="AI5" s="575" t="s">
        <v>26</v>
      </c>
      <c r="AJ5" s="568"/>
      <c r="AK5" s="568"/>
      <c r="AL5" s="569"/>
      <c r="AM5" s="575" t="s">
        <v>27</v>
      </c>
      <c r="AN5" s="568"/>
      <c r="AO5" s="568"/>
      <c r="AP5" s="569"/>
      <c r="AQ5" s="575" t="s">
        <v>54</v>
      </c>
      <c r="AR5" s="568"/>
      <c r="AS5" s="568"/>
      <c r="AT5" s="569"/>
      <c r="AU5" s="575" t="s">
        <v>60</v>
      </c>
      <c r="AV5" s="568"/>
      <c r="AW5" s="568"/>
      <c r="AX5" s="569"/>
      <c r="AY5" s="575" t="s">
        <v>55</v>
      </c>
      <c r="AZ5" s="568"/>
      <c r="BA5" s="568"/>
      <c r="BB5" s="569"/>
      <c r="BC5" s="575" t="s">
        <v>56</v>
      </c>
      <c r="BD5" s="568"/>
      <c r="BE5" s="568"/>
      <c r="BF5" s="569"/>
      <c r="BG5" s="577" t="s">
        <v>57</v>
      </c>
      <c r="BH5" s="568"/>
      <c r="BI5" s="568"/>
      <c r="BJ5" s="569"/>
      <c r="BK5" s="575" t="s">
        <v>58</v>
      </c>
      <c r="BL5" s="568"/>
      <c r="BM5" s="568"/>
      <c r="BN5" s="569"/>
      <c r="BO5" s="575" t="s">
        <v>1</v>
      </c>
      <c r="BP5" s="568"/>
      <c r="BQ5" s="568"/>
      <c r="BR5" s="569"/>
      <c r="BS5" s="575" t="s">
        <v>19</v>
      </c>
      <c r="BT5" s="568"/>
      <c r="BU5" s="568"/>
      <c r="BV5" s="569"/>
      <c r="BW5" s="575" t="s">
        <v>25</v>
      </c>
      <c r="BX5" s="568"/>
      <c r="BY5" s="568"/>
      <c r="BZ5" s="569"/>
      <c r="CA5" s="575" t="s">
        <v>26</v>
      </c>
      <c r="CB5" s="568"/>
      <c r="CC5" s="568"/>
      <c r="CD5" s="569"/>
      <c r="CE5" s="575" t="s">
        <v>27</v>
      </c>
      <c r="CF5" s="568"/>
      <c r="CG5" s="568"/>
      <c r="CH5" s="569"/>
      <c r="CI5" s="575" t="s">
        <v>54</v>
      </c>
      <c r="CJ5" s="568"/>
      <c r="CK5" s="568"/>
      <c r="CL5" s="569"/>
      <c r="CM5" s="575" t="s">
        <v>60</v>
      </c>
      <c r="CN5" s="568"/>
      <c r="CO5" s="568"/>
      <c r="CP5" s="569"/>
      <c r="CQ5" s="575" t="s">
        <v>55</v>
      </c>
      <c r="CR5" s="568"/>
      <c r="CS5" s="568"/>
      <c r="CT5" s="569"/>
    </row>
    <row r="6" spans="2:98" ht="9.75" customHeight="1" x14ac:dyDescent="0.25">
      <c r="C6" s="27"/>
      <c r="E6" s="49"/>
      <c r="F6" s="49"/>
      <c r="H6" s="49"/>
      <c r="I6" s="49"/>
      <c r="O6" s="13"/>
      <c r="P6" s="13"/>
      <c r="Q6" s="13"/>
      <c r="R6" s="13"/>
      <c r="BG6" s="13"/>
      <c r="BH6" s="13"/>
      <c r="BI6" s="13"/>
      <c r="BJ6" s="13"/>
    </row>
    <row r="7" spans="2:98" ht="42" customHeight="1" x14ac:dyDescent="0.25">
      <c r="C7" s="27"/>
      <c r="E7" s="167" t="s">
        <v>198</v>
      </c>
      <c r="F7" s="167" t="s">
        <v>199</v>
      </c>
      <c r="H7" s="167" t="s">
        <v>200</v>
      </c>
      <c r="I7" s="167" t="s">
        <v>201</v>
      </c>
      <c r="K7" s="12" t="s">
        <v>61</v>
      </c>
      <c r="L7" s="12"/>
      <c r="M7" s="12"/>
      <c r="N7" s="12" t="s">
        <v>62</v>
      </c>
      <c r="O7" s="12" t="s">
        <v>65</v>
      </c>
      <c r="P7" s="12" t="s">
        <v>66</v>
      </c>
      <c r="Q7" s="12" t="s">
        <v>67</v>
      </c>
      <c r="R7" s="12" t="s">
        <v>68</v>
      </c>
      <c r="S7" s="4" t="s">
        <v>31</v>
      </c>
      <c r="T7" s="12" t="s">
        <v>32</v>
      </c>
      <c r="U7" s="12" t="s">
        <v>29</v>
      </c>
      <c r="V7" s="12" t="s">
        <v>30</v>
      </c>
      <c r="W7" s="12" t="s">
        <v>31</v>
      </c>
      <c r="X7" s="12" t="s">
        <v>32</v>
      </c>
      <c r="Y7" s="12" t="s">
        <v>29</v>
      </c>
      <c r="Z7" s="12" t="s">
        <v>30</v>
      </c>
      <c r="AA7" s="12" t="s">
        <v>31</v>
      </c>
      <c r="AB7" s="12" t="s">
        <v>32</v>
      </c>
      <c r="AC7" s="12" t="s">
        <v>29</v>
      </c>
      <c r="AD7" s="12" t="s">
        <v>30</v>
      </c>
      <c r="AE7" s="12" t="s">
        <v>31</v>
      </c>
      <c r="AF7" s="12" t="s">
        <v>32</v>
      </c>
      <c r="AG7" s="12" t="s">
        <v>29</v>
      </c>
      <c r="AH7" s="12" t="s">
        <v>30</v>
      </c>
      <c r="AI7" s="12" t="s">
        <v>31</v>
      </c>
      <c r="AJ7" s="12" t="s">
        <v>32</v>
      </c>
      <c r="AK7" s="12" t="s">
        <v>29</v>
      </c>
      <c r="AL7" s="12" t="s">
        <v>30</v>
      </c>
      <c r="AM7" s="12" t="s">
        <v>31</v>
      </c>
      <c r="AN7" s="12" t="s">
        <v>32</v>
      </c>
      <c r="AO7" s="12" t="s">
        <v>29</v>
      </c>
      <c r="AP7" s="12" t="s">
        <v>30</v>
      </c>
      <c r="AQ7" s="12" t="s">
        <v>31</v>
      </c>
      <c r="AR7" s="12" t="s">
        <v>32</v>
      </c>
      <c r="AS7" s="12" t="s">
        <v>29</v>
      </c>
      <c r="AT7" s="12" t="s">
        <v>30</v>
      </c>
      <c r="AU7" s="12" t="s">
        <v>31</v>
      </c>
      <c r="AV7" s="12" t="s">
        <v>32</v>
      </c>
      <c r="AW7" s="12" t="s">
        <v>29</v>
      </c>
      <c r="AX7" s="12" t="s">
        <v>30</v>
      </c>
      <c r="AY7" s="12" t="s">
        <v>31</v>
      </c>
      <c r="AZ7" s="12" t="s">
        <v>32</v>
      </c>
      <c r="BA7" s="12" t="s">
        <v>29</v>
      </c>
      <c r="BB7" s="12" t="s">
        <v>30</v>
      </c>
      <c r="BC7" s="12" t="s">
        <v>61</v>
      </c>
      <c r="BD7" s="12"/>
      <c r="BE7" s="12"/>
      <c r="BF7" s="12" t="s">
        <v>62</v>
      </c>
      <c r="BG7" s="12" t="s">
        <v>65</v>
      </c>
      <c r="BH7" s="12" t="s">
        <v>66</v>
      </c>
      <c r="BI7" s="12" t="s">
        <v>67</v>
      </c>
      <c r="BJ7" s="12" t="s">
        <v>68</v>
      </c>
      <c r="BK7" s="4" t="s">
        <v>31</v>
      </c>
      <c r="BL7" s="12" t="s">
        <v>32</v>
      </c>
      <c r="BM7" s="12" t="s">
        <v>29</v>
      </c>
      <c r="BN7" s="12" t="s">
        <v>30</v>
      </c>
      <c r="BO7" s="12" t="s">
        <v>31</v>
      </c>
      <c r="BP7" s="12" t="s">
        <v>32</v>
      </c>
      <c r="BQ7" s="12" t="s">
        <v>29</v>
      </c>
      <c r="BR7" s="12" t="s">
        <v>30</v>
      </c>
      <c r="BS7" s="12" t="s">
        <v>31</v>
      </c>
      <c r="BT7" s="12" t="s">
        <v>32</v>
      </c>
      <c r="BU7" s="12" t="s">
        <v>29</v>
      </c>
      <c r="BV7" s="12" t="s">
        <v>30</v>
      </c>
      <c r="BW7" s="12" t="s">
        <v>31</v>
      </c>
      <c r="BX7" s="12" t="s">
        <v>32</v>
      </c>
      <c r="BY7" s="12" t="s">
        <v>29</v>
      </c>
      <c r="BZ7" s="12" t="s">
        <v>30</v>
      </c>
      <c r="CA7" s="12" t="s">
        <v>31</v>
      </c>
      <c r="CB7" s="12" t="s">
        <v>32</v>
      </c>
      <c r="CC7" s="12" t="s">
        <v>29</v>
      </c>
      <c r="CD7" s="12" t="s">
        <v>30</v>
      </c>
      <c r="CE7" s="12" t="s">
        <v>31</v>
      </c>
      <c r="CF7" s="12" t="s">
        <v>32</v>
      </c>
      <c r="CG7" s="12" t="s">
        <v>29</v>
      </c>
      <c r="CH7" s="12" t="s">
        <v>30</v>
      </c>
      <c r="CI7" s="12" t="s">
        <v>31</v>
      </c>
      <c r="CJ7" s="12" t="s">
        <v>32</v>
      </c>
      <c r="CK7" s="12" t="s">
        <v>29</v>
      </c>
      <c r="CL7" s="12" t="s">
        <v>30</v>
      </c>
      <c r="CM7" s="12" t="s">
        <v>31</v>
      </c>
      <c r="CN7" s="12" t="s">
        <v>32</v>
      </c>
      <c r="CO7" s="12" t="s">
        <v>29</v>
      </c>
      <c r="CP7" s="12" t="s">
        <v>30</v>
      </c>
      <c r="CQ7" s="12" t="s">
        <v>31</v>
      </c>
      <c r="CR7" s="12" t="s">
        <v>32</v>
      </c>
      <c r="CS7" s="12" t="s">
        <v>29</v>
      </c>
      <c r="CT7" s="12" t="s">
        <v>30</v>
      </c>
    </row>
    <row r="8" spans="2:98" ht="15" customHeight="1" x14ac:dyDescent="0.25">
      <c r="C8" s="26"/>
      <c r="E8" s="49"/>
      <c r="F8" s="49"/>
      <c r="H8" s="49"/>
      <c r="I8" s="5"/>
      <c r="N8" s="19" t="s">
        <v>94</v>
      </c>
      <c r="O8" s="13"/>
      <c r="P8" s="13"/>
      <c r="Q8" s="13"/>
      <c r="R8" s="13"/>
    </row>
    <row r="9" spans="2:98" ht="28.5" hidden="1" customHeight="1" x14ac:dyDescent="0.25">
      <c r="C9" s="713" t="s">
        <v>33</v>
      </c>
      <c r="E9" s="49"/>
      <c r="F9" s="49"/>
      <c r="H9" s="49"/>
      <c r="I9" s="5"/>
      <c r="K9" s="630" t="s">
        <v>95</v>
      </c>
      <c r="L9" s="582"/>
      <c r="M9" s="582"/>
      <c r="N9" s="572"/>
      <c r="O9" s="13"/>
      <c r="P9" s="631" t="s">
        <v>96</v>
      </c>
      <c r="Q9" s="572"/>
      <c r="R9" s="13"/>
      <c r="S9" s="53" t="s">
        <v>97</v>
      </c>
      <c r="T9" s="53" t="s">
        <v>96</v>
      </c>
    </row>
    <row r="10" spans="2:98" ht="25.5" hidden="1" customHeight="1" x14ac:dyDescent="0.25">
      <c r="C10" s="714"/>
      <c r="E10" s="5"/>
      <c r="F10" s="5"/>
      <c r="G10" s="5"/>
      <c r="H10" s="5"/>
      <c r="I10" s="5"/>
      <c r="J10" s="5"/>
      <c r="K10" s="5"/>
      <c r="L10" s="5"/>
      <c r="M10" s="5"/>
      <c r="N10" s="5"/>
      <c r="O10" s="13"/>
      <c r="P10" s="13"/>
      <c r="Q10" s="13"/>
      <c r="R10" s="49"/>
      <c r="S10" s="5"/>
      <c r="T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2:98" ht="42" hidden="1" customHeight="1" x14ac:dyDescent="0.25">
      <c r="C11" s="678"/>
      <c r="E11" s="5"/>
      <c r="F11" s="5"/>
      <c r="G11" s="5"/>
      <c r="H11" s="5"/>
      <c r="I11" s="5"/>
      <c r="J11" s="5"/>
      <c r="K11" s="167" t="s">
        <v>98</v>
      </c>
      <c r="L11" s="49"/>
      <c r="M11" s="49"/>
      <c r="N11" s="5"/>
      <c r="O11" s="49"/>
      <c r="P11" s="712" t="s">
        <v>99</v>
      </c>
      <c r="Q11" s="572"/>
      <c r="R11" s="49"/>
      <c r="S11" s="167" t="s">
        <v>100</v>
      </c>
      <c r="T11" s="167" t="s">
        <v>101</v>
      </c>
    </row>
    <row r="12" spans="2:98" ht="91.5" customHeight="1" x14ac:dyDescent="0.25">
      <c r="B12" s="742" t="s">
        <v>164</v>
      </c>
      <c r="C12" s="169" t="s">
        <v>149</v>
      </c>
      <c r="E12" s="66"/>
      <c r="F12" s="66"/>
      <c r="G12" s="67"/>
      <c r="H12" s="66"/>
      <c r="I12" s="66"/>
      <c r="J12" s="67"/>
      <c r="K12" s="67"/>
      <c r="L12" s="67"/>
      <c r="M12" s="67"/>
      <c r="N12" s="67"/>
      <c r="O12" s="96"/>
      <c r="P12" s="96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170" t="s">
        <v>202</v>
      </c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</row>
    <row r="13" spans="2:98" ht="16.5" customHeight="1" x14ac:dyDescent="0.25">
      <c r="B13" s="709"/>
      <c r="C13" s="26"/>
      <c r="E13" s="66"/>
      <c r="F13" s="66"/>
      <c r="G13" s="67"/>
      <c r="H13" s="66"/>
      <c r="I13" s="66"/>
      <c r="J13" s="67"/>
      <c r="K13" s="67"/>
      <c r="L13" s="67"/>
      <c r="M13" s="67"/>
      <c r="N13" s="67"/>
      <c r="O13" s="96"/>
      <c r="P13" s="96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</row>
    <row r="14" spans="2:98" ht="31.5" customHeight="1" x14ac:dyDescent="0.25">
      <c r="B14" s="709"/>
      <c r="C14" s="743" t="s">
        <v>301</v>
      </c>
      <c r="E14" s="66"/>
      <c r="F14" s="66"/>
      <c r="G14" s="67"/>
      <c r="H14" s="66"/>
      <c r="I14" s="66"/>
      <c r="J14" s="67"/>
      <c r="K14" s="67"/>
      <c r="L14" s="67"/>
      <c r="M14" s="67"/>
      <c r="N14" s="67"/>
      <c r="O14" s="96"/>
      <c r="P14" s="96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35"/>
      <c r="AB14" s="733" t="s">
        <v>38</v>
      </c>
      <c r="AC14" s="573"/>
      <c r="AD14" s="733" t="s">
        <v>38</v>
      </c>
      <c r="AE14" s="574"/>
      <c r="AF14" s="573"/>
      <c r="AG14" s="734" t="s">
        <v>38</v>
      </c>
      <c r="AH14" s="595"/>
      <c r="AI14" s="213" t="s">
        <v>38</v>
      </c>
      <c r="AJ14" s="213"/>
      <c r="AK14" s="213"/>
      <c r="AL14" s="214" t="s">
        <v>38</v>
      </c>
      <c r="AM14" s="215"/>
      <c r="AN14" s="172" t="s">
        <v>39</v>
      </c>
      <c r="AO14" s="172" t="s">
        <v>213</v>
      </c>
      <c r="AP14" s="172" t="s">
        <v>213</v>
      </c>
      <c r="AQ14" s="172" t="s">
        <v>213</v>
      </c>
      <c r="AR14" s="35"/>
      <c r="AS14" s="148" t="s">
        <v>302</v>
      </c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</row>
    <row r="15" spans="2:98" ht="75" customHeight="1" x14ac:dyDescent="0.25">
      <c r="B15" s="709"/>
      <c r="C15" s="624"/>
      <c r="E15" s="66"/>
      <c r="F15" s="66"/>
      <c r="G15" s="67"/>
      <c r="H15" s="66"/>
      <c r="I15" s="66"/>
      <c r="J15" s="67"/>
      <c r="K15" s="67"/>
      <c r="L15" s="67"/>
      <c r="M15" s="67"/>
      <c r="N15" s="67"/>
      <c r="O15" s="96"/>
      <c r="P15" s="96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35"/>
      <c r="AB15" s="673" t="s">
        <v>166</v>
      </c>
      <c r="AC15" s="580"/>
      <c r="AD15" s="735" t="s">
        <v>303</v>
      </c>
      <c r="AE15" s="574"/>
      <c r="AF15" s="580"/>
      <c r="AG15" s="736" t="s">
        <v>304</v>
      </c>
      <c r="AH15" s="572"/>
      <c r="AI15" s="216" t="s">
        <v>305</v>
      </c>
      <c r="AJ15" s="217"/>
      <c r="AK15" s="217"/>
      <c r="AL15" s="736" t="s">
        <v>306</v>
      </c>
      <c r="AM15" s="572"/>
      <c r="AN15" s="173" t="s">
        <v>307</v>
      </c>
      <c r="AO15" s="174" t="s">
        <v>308</v>
      </c>
      <c r="AP15" s="174" t="s">
        <v>309</v>
      </c>
      <c r="AQ15" s="174" t="s">
        <v>310</v>
      </c>
      <c r="AR15" s="35"/>
      <c r="AS15" s="148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</row>
    <row r="16" spans="2:98" ht="88.5" customHeight="1" x14ac:dyDescent="0.25">
      <c r="B16" s="709"/>
      <c r="C16" s="624"/>
      <c r="E16" s="66"/>
      <c r="F16" s="66"/>
      <c r="G16" s="67"/>
      <c r="H16" s="66"/>
      <c r="I16" s="66"/>
      <c r="J16" s="67"/>
      <c r="K16" s="67"/>
      <c r="L16" s="67"/>
      <c r="M16" s="67"/>
      <c r="N16" s="67"/>
      <c r="O16" s="96"/>
      <c r="P16" s="96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35"/>
      <c r="AB16" s="35"/>
      <c r="AC16" s="178" t="s">
        <v>311</v>
      </c>
      <c r="AD16" s="218"/>
      <c r="AE16" s="219"/>
      <c r="AF16" s="178" t="s">
        <v>312</v>
      </c>
      <c r="AG16" s="177"/>
      <c r="AH16" s="220" t="s">
        <v>313</v>
      </c>
      <c r="AI16" s="221"/>
      <c r="AJ16" s="35"/>
      <c r="AK16" s="220" t="s">
        <v>314</v>
      </c>
      <c r="AL16" s="35"/>
      <c r="AM16" s="220" t="s">
        <v>315</v>
      </c>
      <c r="AN16" s="178" t="s">
        <v>316</v>
      </c>
      <c r="AO16" s="178" t="s">
        <v>317</v>
      </c>
      <c r="AP16" s="178" t="s">
        <v>318</v>
      </c>
      <c r="AQ16" s="178" t="s">
        <v>319</v>
      </c>
      <c r="AR16" s="35"/>
      <c r="AS16" s="148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</row>
    <row r="17" spans="2:72" ht="60" customHeight="1" x14ac:dyDescent="0.25">
      <c r="B17" s="709"/>
      <c r="C17" s="593"/>
      <c r="E17" s="66"/>
      <c r="F17" s="66"/>
      <c r="G17" s="67"/>
      <c r="H17" s="66"/>
      <c r="I17" s="66"/>
      <c r="J17" s="67"/>
      <c r="K17" s="67"/>
      <c r="L17" s="67"/>
      <c r="M17" s="67"/>
      <c r="N17" s="67"/>
      <c r="O17" s="96"/>
      <c r="P17" s="96"/>
      <c r="Q17" s="96"/>
      <c r="R17" s="96"/>
      <c r="S17" s="67"/>
      <c r="T17" s="67"/>
      <c r="U17" s="67"/>
      <c r="V17" s="67"/>
      <c r="W17" s="67"/>
      <c r="X17" s="67"/>
      <c r="Y17" s="67"/>
      <c r="Z17" s="67"/>
      <c r="AA17" s="35"/>
      <c r="AB17" s="738" t="s">
        <v>320</v>
      </c>
      <c r="AC17" s="580"/>
      <c r="AD17" s="701" t="s">
        <v>321</v>
      </c>
      <c r="AE17" s="574"/>
      <c r="AF17" s="580"/>
      <c r="AG17" s="690" t="s">
        <v>322</v>
      </c>
      <c r="AH17" s="572"/>
      <c r="AI17" s="222" t="s">
        <v>323</v>
      </c>
      <c r="AJ17" s="223"/>
      <c r="AK17" s="223"/>
      <c r="AL17" s="222" t="s">
        <v>324</v>
      </c>
      <c r="AM17" s="223"/>
      <c r="AN17" s="183" t="s">
        <v>325</v>
      </c>
      <c r="AO17" s="183" t="s">
        <v>326</v>
      </c>
      <c r="AP17" s="183" t="s">
        <v>327</v>
      </c>
      <c r="AQ17" s="183" t="s">
        <v>328</v>
      </c>
      <c r="AR17" s="35"/>
      <c r="AS17" s="148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</row>
    <row r="18" spans="2:72" ht="14.25" customHeight="1" x14ac:dyDescent="0.25">
      <c r="B18" s="709"/>
      <c r="C18" s="26"/>
      <c r="E18" s="66"/>
      <c r="F18" s="66"/>
      <c r="G18" s="67"/>
      <c r="H18" s="66"/>
      <c r="I18" s="66"/>
      <c r="J18" s="67"/>
      <c r="K18" s="67"/>
      <c r="L18" s="67"/>
      <c r="M18" s="67"/>
      <c r="N18" s="67"/>
      <c r="O18" s="96"/>
      <c r="P18" s="96"/>
      <c r="Q18" s="96"/>
      <c r="R18" s="96"/>
      <c r="S18" s="67"/>
      <c r="T18" s="67"/>
      <c r="U18" s="67"/>
      <c r="V18" s="67"/>
      <c r="W18" s="67"/>
      <c r="X18" s="67"/>
      <c r="Y18" s="67"/>
      <c r="Z18" s="67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</row>
    <row r="19" spans="2:72" ht="33" customHeight="1" x14ac:dyDescent="0.25">
      <c r="B19" s="709"/>
      <c r="C19" s="725" t="s">
        <v>155</v>
      </c>
      <c r="E19" s="66"/>
      <c r="F19" s="66"/>
      <c r="G19" s="67"/>
      <c r="H19" s="66"/>
      <c r="I19" s="66"/>
      <c r="J19" s="67"/>
      <c r="K19" s="67"/>
      <c r="L19" s="67"/>
      <c r="M19" s="67"/>
      <c r="N19" s="67"/>
      <c r="O19" s="96"/>
      <c r="P19" s="96"/>
      <c r="Q19" s="96"/>
      <c r="R19" s="96"/>
      <c r="S19" s="67"/>
      <c r="T19" s="67"/>
      <c r="U19" s="67"/>
      <c r="V19" s="67"/>
      <c r="W19" s="67"/>
      <c r="X19" s="67"/>
      <c r="Y19" s="67"/>
      <c r="Z19" s="67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200" t="s">
        <v>243</v>
      </c>
      <c r="AS19" s="200" t="s">
        <v>244</v>
      </c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</row>
    <row r="20" spans="2:72" ht="55.5" customHeight="1" x14ac:dyDescent="0.25">
      <c r="B20" s="709"/>
      <c r="C20" s="624"/>
      <c r="E20" s="66"/>
      <c r="F20" s="66"/>
      <c r="G20" s="67"/>
      <c r="H20" s="66"/>
      <c r="I20" s="66"/>
      <c r="J20" s="67"/>
      <c r="K20" s="67"/>
      <c r="L20" s="67"/>
      <c r="M20" s="67"/>
      <c r="N20" s="67"/>
      <c r="O20" s="96"/>
      <c r="P20" s="96"/>
      <c r="Q20" s="96"/>
      <c r="R20" s="96"/>
      <c r="S20" s="67"/>
      <c r="T20" s="67"/>
      <c r="U20" s="67"/>
      <c r="V20" s="67"/>
      <c r="W20" s="67"/>
      <c r="X20" s="67"/>
      <c r="Y20" s="67"/>
      <c r="Z20" s="67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224" t="s">
        <v>329</v>
      </c>
      <c r="AS20" s="224" t="s">
        <v>330</v>
      </c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</row>
    <row r="21" spans="2:72" ht="59.25" customHeight="1" x14ac:dyDescent="0.25">
      <c r="B21" s="709"/>
      <c r="C21" s="593"/>
      <c r="E21" s="66"/>
      <c r="F21" s="66"/>
      <c r="G21" s="67"/>
      <c r="H21" s="66"/>
      <c r="I21" s="66"/>
      <c r="J21" s="67"/>
      <c r="K21" s="67"/>
      <c r="L21" s="67"/>
      <c r="M21" s="67"/>
      <c r="N21" s="67"/>
      <c r="O21" s="96"/>
      <c r="P21" s="96"/>
      <c r="Q21" s="96"/>
      <c r="R21" s="96"/>
      <c r="S21" s="67"/>
      <c r="T21" s="67"/>
      <c r="U21" s="67"/>
      <c r="V21" s="67"/>
      <c r="W21" s="67"/>
      <c r="X21" s="67"/>
      <c r="Y21" s="67"/>
      <c r="Z21" s="67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178" t="s">
        <v>331</v>
      </c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</row>
    <row r="22" spans="2:72" ht="51" customHeight="1" x14ac:dyDescent="0.25">
      <c r="B22" s="709"/>
      <c r="C22" s="26"/>
      <c r="E22" s="66"/>
      <c r="F22" s="66"/>
      <c r="G22" s="67"/>
      <c r="H22" s="66"/>
      <c r="I22" s="66"/>
      <c r="J22" s="67"/>
      <c r="K22" s="67"/>
      <c r="L22" s="67"/>
      <c r="M22" s="67"/>
      <c r="N22" s="67"/>
      <c r="O22" s="96"/>
      <c r="P22" s="96"/>
      <c r="Q22" s="96"/>
      <c r="R22" s="96"/>
      <c r="S22" s="67"/>
      <c r="T22" s="67"/>
      <c r="U22" s="67"/>
      <c r="V22" s="67"/>
      <c r="W22" s="67"/>
      <c r="X22" s="67"/>
      <c r="Y22" s="67"/>
      <c r="Z22" s="67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</row>
    <row r="23" spans="2:72" ht="51" customHeight="1" x14ac:dyDescent="0.25">
      <c r="B23" s="709"/>
      <c r="C23" s="723" t="s">
        <v>46</v>
      </c>
      <c r="E23" s="66"/>
      <c r="F23" s="66"/>
      <c r="G23" s="67"/>
      <c r="H23" s="66"/>
      <c r="I23" s="66"/>
      <c r="J23" s="67"/>
      <c r="K23" s="67"/>
      <c r="L23" s="67"/>
      <c r="M23" s="67"/>
      <c r="N23" s="67"/>
      <c r="O23" s="96"/>
      <c r="P23" s="96"/>
      <c r="Q23" s="96"/>
      <c r="R23" s="96"/>
      <c r="S23" s="67"/>
      <c r="T23" s="67"/>
      <c r="U23" s="67"/>
      <c r="V23" s="67"/>
      <c r="W23" s="67"/>
      <c r="X23" s="67"/>
      <c r="Y23" s="67"/>
      <c r="Z23" s="67"/>
      <c r="AA23" s="35"/>
      <c r="AB23" s="35"/>
      <c r="AC23" s="35"/>
      <c r="AD23" s="35"/>
      <c r="AE23" s="35"/>
      <c r="AF23" s="35"/>
      <c r="AG23" s="35"/>
      <c r="AH23" s="35"/>
      <c r="AI23" s="35"/>
      <c r="AJ23" s="739" t="s">
        <v>88</v>
      </c>
      <c r="AK23" s="641"/>
      <c r="AL23" s="740" t="s">
        <v>50</v>
      </c>
      <c r="AM23" s="639"/>
      <c r="AN23" s="225"/>
      <c r="AO23" s="225"/>
      <c r="AP23" s="130"/>
      <c r="AQ23" s="226" t="s">
        <v>253</v>
      </c>
      <c r="AR23" s="130"/>
      <c r="AS23" s="130"/>
      <c r="AT23" s="130"/>
      <c r="AU23" s="130"/>
      <c r="AV23" s="741" t="s">
        <v>254</v>
      </c>
      <c r="AW23" s="639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2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</row>
    <row r="24" spans="2:72" ht="51" customHeight="1" x14ac:dyDescent="0.25">
      <c r="B24" s="709"/>
      <c r="C24" s="709"/>
      <c r="E24" s="66"/>
      <c r="F24" s="66"/>
      <c r="G24" s="67"/>
      <c r="H24" s="66"/>
      <c r="I24" s="66"/>
      <c r="J24" s="67"/>
      <c r="K24" s="67"/>
      <c r="L24" s="67"/>
      <c r="M24" s="67"/>
      <c r="N24" s="67"/>
      <c r="O24" s="96"/>
      <c r="P24" s="96"/>
      <c r="Q24" s="96"/>
      <c r="R24" s="96"/>
      <c r="S24" s="67"/>
      <c r="T24" s="67"/>
      <c r="U24" s="67"/>
      <c r="V24" s="67"/>
      <c r="W24" s="67"/>
      <c r="X24" s="67"/>
      <c r="Y24" s="67"/>
      <c r="Z24" s="67"/>
      <c r="AA24" s="35"/>
      <c r="AB24" s="35"/>
      <c r="AC24" s="35"/>
      <c r="AD24" s="35"/>
      <c r="AE24" s="35"/>
      <c r="AF24" s="35"/>
      <c r="AG24" s="35"/>
      <c r="AH24" s="35"/>
      <c r="AI24" s="35"/>
      <c r="AJ24" s="737" t="s">
        <v>255</v>
      </c>
      <c r="AK24" s="572"/>
      <c r="AL24" s="706" t="s">
        <v>256</v>
      </c>
      <c r="AM24" s="595"/>
      <c r="AN24" s="107"/>
      <c r="AO24" s="107"/>
      <c r="AP24" s="35"/>
      <c r="AQ24" s="195" t="s">
        <v>257</v>
      </c>
      <c r="AR24" s="35"/>
      <c r="AS24" s="35"/>
      <c r="AT24" s="35"/>
      <c r="AU24" s="35"/>
      <c r="AV24" s="720" t="s">
        <v>258</v>
      </c>
      <c r="AW24" s="721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124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</row>
    <row r="25" spans="2:72" ht="51" customHeight="1" x14ac:dyDescent="0.25">
      <c r="B25" s="709"/>
      <c r="C25" s="608"/>
      <c r="E25" s="66"/>
      <c r="F25" s="66"/>
      <c r="G25" s="67"/>
      <c r="H25" s="66"/>
      <c r="I25" s="66"/>
      <c r="J25" s="67"/>
      <c r="K25" s="67"/>
      <c r="L25" s="67"/>
      <c r="M25" s="67"/>
      <c r="N25" s="67"/>
      <c r="O25" s="96"/>
      <c r="P25" s="96"/>
      <c r="Q25" s="96"/>
      <c r="R25" s="96"/>
      <c r="S25" s="67"/>
      <c r="T25" s="67"/>
      <c r="U25" s="67"/>
      <c r="V25" s="67"/>
      <c r="W25" s="67"/>
      <c r="X25" s="67"/>
      <c r="Y25" s="67"/>
      <c r="Z25" s="67"/>
      <c r="AA25" s="35"/>
      <c r="AB25" s="35"/>
      <c r="AC25" s="35"/>
      <c r="AD25" s="35"/>
      <c r="AE25" s="35"/>
      <c r="AF25" s="35"/>
      <c r="AG25" s="35"/>
      <c r="AH25" s="35"/>
      <c r="AI25" s="35"/>
      <c r="AJ25" s="227"/>
      <c r="AK25" s="196" t="s">
        <v>260</v>
      </c>
      <c r="AL25" s="82"/>
      <c r="AM25" s="197" t="s">
        <v>261</v>
      </c>
      <c r="AN25" s="107"/>
      <c r="AO25" s="107"/>
      <c r="AP25" s="35"/>
      <c r="AQ25" s="198"/>
      <c r="AR25" s="35"/>
      <c r="AS25" s="35"/>
      <c r="AT25" s="35"/>
      <c r="AU25" s="35"/>
      <c r="AV25" s="691" t="s">
        <v>262</v>
      </c>
      <c r="AW25" s="603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124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</row>
    <row r="26" spans="2:72" ht="51" customHeight="1" x14ac:dyDescent="0.25">
      <c r="B26" s="709"/>
      <c r="C26" s="159"/>
      <c r="E26" s="66"/>
      <c r="F26" s="66"/>
      <c r="G26" s="67"/>
      <c r="H26" s="66"/>
      <c r="I26" s="66"/>
      <c r="J26" s="67"/>
      <c r="K26" s="67"/>
      <c r="L26" s="67"/>
      <c r="M26" s="67"/>
      <c r="N26" s="67"/>
      <c r="O26" s="96"/>
      <c r="P26" s="96"/>
      <c r="Q26" s="96"/>
      <c r="R26" s="96"/>
      <c r="S26" s="67"/>
      <c r="T26" s="67"/>
      <c r="U26" s="67"/>
      <c r="V26" s="67"/>
      <c r="W26" s="67"/>
      <c r="X26" s="67"/>
      <c r="Y26" s="67"/>
      <c r="Z26" s="67"/>
      <c r="AA26" s="35"/>
      <c r="AB26" s="35"/>
      <c r="AC26" s="35"/>
      <c r="AD26" s="35"/>
      <c r="AE26" s="35"/>
      <c r="AF26" s="35"/>
      <c r="AG26" s="35"/>
      <c r="AH26" s="35"/>
      <c r="AI26" s="35"/>
      <c r="AJ26" s="84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124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</row>
    <row r="27" spans="2:72" ht="51" customHeight="1" x14ac:dyDescent="0.25">
      <c r="B27" s="709"/>
      <c r="C27" s="729" t="s">
        <v>47</v>
      </c>
      <c r="E27" s="66"/>
      <c r="F27" s="66"/>
      <c r="G27" s="67"/>
      <c r="H27" s="66"/>
      <c r="I27" s="66"/>
      <c r="J27" s="67"/>
      <c r="K27" s="67"/>
      <c r="L27" s="67"/>
      <c r="M27" s="67"/>
      <c r="N27" s="67"/>
      <c r="O27" s="96"/>
      <c r="P27" s="96"/>
      <c r="Q27" s="96"/>
      <c r="R27" s="96"/>
      <c r="S27" s="67"/>
      <c r="T27" s="67"/>
      <c r="U27" s="67"/>
      <c r="V27" s="67"/>
      <c r="W27" s="67"/>
      <c r="X27" s="67"/>
      <c r="Y27" s="67"/>
      <c r="Z27" s="67"/>
      <c r="AA27" s="35"/>
      <c r="AB27" s="35"/>
      <c r="AC27" s="35"/>
      <c r="AD27" s="35"/>
      <c r="AE27" s="35"/>
      <c r="AF27" s="35"/>
      <c r="AG27" s="35"/>
      <c r="AH27" s="35"/>
      <c r="AI27" s="35"/>
      <c r="AJ27" s="228" t="s">
        <v>253</v>
      </c>
      <c r="AK27" s="35"/>
      <c r="AL27" s="200" t="s">
        <v>253</v>
      </c>
      <c r="AM27" s="35"/>
      <c r="AN27" s="35"/>
      <c r="AO27" s="35"/>
      <c r="AP27" s="200" t="s">
        <v>264</v>
      </c>
      <c r="AQ27" s="35"/>
      <c r="AR27" s="80"/>
      <c r="AS27" s="35"/>
      <c r="AT27" s="35"/>
      <c r="AU27" s="35"/>
      <c r="AV27" s="200" t="s">
        <v>264</v>
      </c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124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</row>
    <row r="28" spans="2:72" ht="51" customHeight="1" x14ac:dyDescent="0.25">
      <c r="B28" s="709"/>
      <c r="C28" s="593"/>
      <c r="E28" s="66"/>
      <c r="F28" s="66"/>
      <c r="G28" s="67"/>
      <c r="H28" s="66"/>
      <c r="I28" s="66"/>
      <c r="J28" s="67"/>
      <c r="K28" s="67"/>
      <c r="L28" s="67"/>
      <c r="M28" s="67"/>
      <c r="N28" s="67"/>
      <c r="O28" s="96"/>
      <c r="P28" s="96"/>
      <c r="Q28" s="96"/>
      <c r="R28" s="96"/>
      <c r="S28" s="67"/>
      <c r="T28" s="67"/>
      <c r="U28" s="67"/>
      <c r="V28" s="67"/>
      <c r="W28" s="67"/>
      <c r="X28" s="67"/>
      <c r="Y28" s="67"/>
      <c r="Z28" s="67"/>
      <c r="AA28" s="35"/>
      <c r="AB28" s="35"/>
      <c r="AC28" s="35"/>
      <c r="AD28" s="35"/>
      <c r="AE28" s="35"/>
      <c r="AF28" s="35"/>
      <c r="AG28" s="35"/>
      <c r="AH28" s="35"/>
      <c r="AI28" s="35"/>
      <c r="AJ28" s="229" t="s">
        <v>265</v>
      </c>
      <c r="AK28" s="35"/>
      <c r="AL28" s="203" t="s">
        <v>266</v>
      </c>
      <c r="AM28" s="35"/>
      <c r="AN28" s="35"/>
      <c r="AO28" s="35"/>
      <c r="AP28" s="204" t="s">
        <v>267</v>
      </c>
      <c r="AQ28" s="35"/>
      <c r="AR28" s="68"/>
      <c r="AS28" s="35"/>
      <c r="AT28" s="35"/>
      <c r="AU28" s="35"/>
      <c r="AV28" s="204" t="s">
        <v>268</v>
      </c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124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</row>
    <row r="29" spans="2:72" ht="51" customHeight="1" x14ac:dyDescent="0.25">
      <c r="B29" s="709"/>
      <c r="C29" s="159"/>
      <c r="E29" s="66"/>
      <c r="F29" s="66"/>
      <c r="G29" s="67"/>
      <c r="H29" s="66"/>
      <c r="I29" s="66"/>
      <c r="J29" s="67"/>
      <c r="K29" s="67"/>
      <c r="L29" s="67"/>
      <c r="M29" s="67"/>
      <c r="N29" s="67"/>
      <c r="O29" s="96"/>
      <c r="P29" s="96"/>
      <c r="Q29" s="96"/>
      <c r="R29" s="96"/>
      <c r="S29" s="67"/>
      <c r="T29" s="67"/>
      <c r="U29" s="67"/>
      <c r="V29" s="67"/>
      <c r="W29" s="67"/>
      <c r="X29" s="67"/>
      <c r="Y29" s="67"/>
      <c r="Z29" s="67"/>
      <c r="AA29" s="35"/>
      <c r="AB29" s="35"/>
      <c r="AC29" s="35"/>
      <c r="AD29" s="35"/>
      <c r="AE29" s="35"/>
      <c r="AF29" s="35"/>
      <c r="AG29" s="35"/>
      <c r="AH29" s="35"/>
      <c r="AI29" s="35"/>
      <c r="AJ29" s="84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124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</row>
    <row r="30" spans="2:72" ht="51" customHeight="1" x14ac:dyDescent="0.25">
      <c r="B30" s="709"/>
      <c r="C30" s="730" t="s">
        <v>178</v>
      </c>
      <c r="E30" s="66"/>
      <c r="F30" s="66"/>
      <c r="G30" s="67"/>
      <c r="H30" s="66"/>
      <c r="I30" s="66"/>
      <c r="J30" s="67"/>
      <c r="K30" s="67"/>
      <c r="L30" s="67"/>
      <c r="M30" s="67"/>
      <c r="N30" s="67"/>
      <c r="O30" s="96"/>
      <c r="P30" s="96"/>
      <c r="Q30" s="96"/>
      <c r="R30" s="96"/>
      <c r="S30" s="67"/>
      <c r="T30" s="67"/>
      <c r="U30" s="67"/>
      <c r="V30" s="67"/>
      <c r="W30" s="67"/>
      <c r="X30" s="67"/>
      <c r="Y30" s="67"/>
      <c r="Z30" s="67"/>
      <c r="AA30" s="35"/>
      <c r="AB30" s="35"/>
      <c r="AC30" s="35"/>
      <c r="AD30" s="35"/>
      <c r="AE30" s="35"/>
      <c r="AF30" s="35"/>
      <c r="AG30" s="35"/>
      <c r="AH30" s="35"/>
      <c r="AI30" s="35"/>
      <c r="AJ30" s="84"/>
      <c r="AK30" s="35"/>
      <c r="AL30" s="35"/>
      <c r="AM30" s="35"/>
      <c r="AN30" s="35"/>
      <c r="AO30" s="35"/>
      <c r="AP30" s="35"/>
      <c r="AQ30" s="35"/>
      <c r="AS30" s="80"/>
      <c r="AT30" s="80"/>
      <c r="AU30" s="715" t="s">
        <v>269</v>
      </c>
      <c r="AV30" s="700" t="s">
        <v>270</v>
      </c>
      <c r="AW30" s="573"/>
      <c r="AX30" s="700" t="s">
        <v>270</v>
      </c>
      <c r="AY30" s="573"/>
      <c r="AZ30" s="35"/>
      <c r="BA30" s="35"/>
      <c r="BB30" s="35"/>
      <c r="BC30" s="35"/>
      <c r="BD30" s="35"/>
      <c r="BE30" s="35"/>
      <c r="BF30" s="35"/>
      <c r="BG30" s="35"/>
      <c r="BH30" s="124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</row>
    <row r="31" spans="2:72" ht="51" customHeight="1" x14ac:dyDescent="0.25">
      <c r="B31" s="709"/>
      <c r="C31" s="608"/>
      <c r="E31" s="66"/>
      <c r="F31" s="66"/>
      <c r="G31" s="67"/>
      <c r="H31" s="66"/>
      <c r="I31" s="66"/>
      <c r="J31" s="67"/>
      <c r="K31" s="67"/>
      <c r="L31" s="67"/>
      <c r="M31" s="67"/>
      <c r="N31" s="67"/>
      <c r="O31" s="96"/>
      <c r="P31" s="96"/>
      <c r="Q31" s="96"/>
      <c r="R31" s="96"/>
      <c r="S31" s="67"/>
      <c r="T31" s="67"/>
      <c r="U31" s="67"/>
      <c r="V31" s="67"/>
      <c r="W31" s="67"/>
      <c r="X31" s="67"/>
      <c r="Y31" s="67"/>
      <c r="Z31" s="67"/>
      <c r="AA31" s="35"/>
      <c r="AB31" s="35"/>
      <c r="AC31" s="35"/>
      <c r="AD31" s="35"/>
      <c r="AE31" s="35"/>
      <c r="AF31" s="35"/>
      <c r="AG31" s="35"/>
      <c r="AH31" s="35"/>
      <c r="AI31" s="35"/>
      <c r="AJ31" s="84"/>
      <c r="AK31" s="35"/>
      <c r="AL31" s="35"/>
      <c r="AM31" s="35"/>
      <c r="AN31" s="35"/>
      <c r="AO31" s="35"/>
      <c r="AP31" s="35"/>
      <c r="AQ31" s="35"/>
      <c r="AS31" s="35"/>
      <c r="AT31" s="35"/>
      <c r="AU31" s="608"/>
      <c r="AV31" s="716" t="s">
        <v>271</v>
      </c>
      <c r="AW31" s="573"/>
      <c r="AX31" s="716" t="s">
        <v>272</v>
      </c>
      <c r="AY31" s="573"/>
      <c r="AZ31" s="35"/>
      <c r="BA31" s="35"/>
      <c r="BB31" s="35"/>
      <c r="BC31" s="35"/>
      <c r="BD31" s="35"/>
      <c r="BE31" s="35"/>
      <c r="BF31" s="35"/>
      <c r="BG31" s="35"/>
      <c r="BH31" s="124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</row>
    <row r="32" spans="2:72" ht="51" customHeight="1" x14ac:dyDescent="0.25">
      <c r="B32" s="709"/>
      <c r="C32" s="679" t="s">
        <v>179</v>
      </c>
      <c r="E32" s="66"/>
      <c r="F32" s="66"/>
      <c r="G32" s="67"/>
      <c r="H32" s="66"/>
      <c r="I32" s="66"/>
      <c r="J32" s="67"/>
      <c r="K32" s="67"/>
      <c r="L32" s="67"/>
      <c r="M32" s="67"/>
      <c r="N32" s="67"/>
      <c r="O32" s="96"/>
      <c r="P32" s="96"/>
      <c r="Q32" s="96"/>
      <c r="R32" s="96"/>
      <c r="S32" s="67"/>
      <c r="T32" s="67"/>
      <c r="U32" s="67"/>
      <c r="V32" s="67"/>
      <c r="W32" s="67"/>
      <c r="X32" s="67"/>
      <c r="Y32" s="67"/>
      <c r="Z32" s="67"/>
      <c r="AA32" s="35"/>
      <c r="AB32" s="35"/>
      <c r="AC32" s="35"/>
      <c r="AD32" s="35"/>
      <c r="AE32" s="35"/>
      <c r="AF32" s="35"/>
      <c r="AG32" s="35"/>
      <c r="AH32" s="35"/>
      <c r="AI32" s="35"/>
      <c r="AJ32" s="84"/>
      <c r="AK32" s="35"/>
      <c r="AL32" s="35"/>
      <c r="AM32" s="35"/>
      <c r="AN32" s="35"/>
      <c r="AO32" s="35"/>
      <c r="AP32" s="35"/>
      <c r="AQ32" s="35"/>
      <c r="AS32" s="35"/>
      <c r="AT32" s="35"/>
      <c r="AU32" s="715" t="s">
        <v>273</v>
      </c>
      <c r="AW32" s="80"/>
      <c r="AX32" s="88"/>
      <c r="AY32" s="133" t="s">
        <v>274</v>
      </c>
      <c r="BA32" s="35"/>
      <c r="BB32" s="35"/>
      <c r="BC32" s="35"/>
      <c r="BD32" s="35"/>
      <c r="BE32" s="35"/>
      <c r="BF32" s="35"/>
      <c r="BG32" s="35"/>
      <c r="BH32" s="124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</row>
    <row r="33" spans="2:72" ht="51" customHeight="1" x14ac:dyDescent="0.25">
      <c r="B33" s="709"/>
      <c r="C33" s="608"/>
      <c r="E33" s="66"/>
      <c r="F33" s="66"/>
      <c r="G33" s="67"/>
      <c r="H33" s="66"/>
      <c r="I33" s="66"/>
      <c r="J33" s="67"/>
      <c r="K33" s="67"/>
      <c r="L33" s="67"/>
      <c r="M33" s="67"/>
      <c r="N33" s="67"/>
      <c r="O33" s="96"/>
      <c r="P33" s="96"/>
      <c r="Q33" s="96"/>
      <c r="R33" s="96"/>
      <c r="S33" s="67"/>
      <c r="T33" s="67"/>
      <c r="U33" s="67"/>
      <c r="V33" s="67"/>
      <c r="W33" s="67"/>
      <c r="X33" s="67"/>
      <c r="Y33" s="67"/>
      <c r="Z33" s="67"/>
      <c r="AA33" s="35"/>
      <c r="AB33" s="35"/>
      <c r="AC33" s="35"/>
      <c r="AD33" s="35"/>
      <c r="AE33" s="35"/>
      <c r="AF33" s="35"/>
      <c r="AG33" s="35"/>
      <c r="AH33" s="35"/>
      <c r="AI33" s="35"/>
      <c r="AJ33" s="84"/>
      <c r="AK33" s="35"/>
      <c r="AL33" s="35"/>
      <c r="AM33" s="35"/>
      <c r="AN33" s="35"/>
      <c r="AO33" s="35"/>
      <c r="AP33" s="35"/>
      <c r="AQ33" s="35"/>
      <c r="AS33" s="35"/>
      <c r="AT33" s="35"/>
      <c r="AU33" s="608"/>
      <c r="AW33" s="88"/>
      <c r="AX33" s="88"/>
      <c r="AY33" s="123" t="s">
        <v>275</v>
      </c>
      <c r="BA33" s="35"/>
      <c r="BB33" s="35"/>
      <c r="BC33" s="35"/>
      <c r="BD33" s="35"/>
      <c r="BE33" s="35"/>
      <c r="BF33" s="35"/>
      <c r="BG33" s="35"/>
      <c r="BH33" s="124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</row>
    <row r="34" spans="2:72" ht="51" customHeight="1" x14ac:dyDescent="0.25">
      <c r="B34" s="709"/>
      <c r="C34" s="679" t="s">
        <v>180</v>
      </c>
      <c r="E34" s="66"/>
      <c r="F34" s="66"/>
      <c r="G34" s="67"/>
      <c r="H34" s="66"/>
      <c r="I34" s="66"/>
      <c r="J34" s="67"/>
      <c r="K34" s="67"/>
      <c r="L34" s="67"/>
      <c r="M34" s="67"/>
      <c r="N34" s="67"/>
      <c r="O34" s="96"/>
      <c r="P34" s="96"/>
      <c r="Q34" s="96"/>
      <c r="R34" s="96"/>
      <c r="S34" s="67"/>
      <c r="T34" s="67"/>
      <c r="U34" s="67"/>
      <c r="V34" s="67"/>
      <c r="W34" s="67"/>
      <c r="X34" s="67"/>
      <c r="Y34" s="67"/>
      <c r="Z34" s="67"/>
      <c r="AA34" s="35"/>
      <c r="AB34" s="35"/>
      <c r="AC34" s="35"/>
      <c r="AD34" s="35"/>
      <c r="AE34" s="35"/>
      <c r="AF34" s="35"/>
      <c r="AG34" s="35"/>
      <c r="AH34" s="35"/>
      <c r="AI34" s="35"/>
      <c r="AJ34" s="84"/>
      <c r="AK34" s="35"/>
      <c r="AL34" s="35"/>
      <c r="AM34" s="35"/>
      <c r="AN34" s="35"/>
      <c r="AO34" s="35"/>
      <c r="AP34" s="35"/>
      <c r="AQ34" s="35"/>
      <c r="AR34" s="205"/>
      <c r="AS34" s="35"/>
      <c r="AT34" s="35"/>
      <c r="AU34" s="35"/>
      <c r="AV34" s="35"/>
      <c r="AW34" s="35"/>
      <c r="AX34" s="35"/>
      <c r="AY34" s="715" t="s">
        <v>276</v>
      </c>
      <c r="AZ34" s="700" t="s">
        <v>277</v>
      </c>
      <c r="BA34" s="573"/>
      <c r="BB34" s="700" t="s">
        <v>277</v>
      </c>
      <c r="BC34" s="573"/>
      <c r="BD34" s="35"/>
      <c r="BE34" s="35"/>
      <c r="BF34" s="35"/>
      <c r="BG34" s="35"/>
      <c r="BH34" s="124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</row>
    <row r="35" spans="2:72" ht="51" customHeight="1" x14ac:dyDescent="0.25">
      <c r="B35" s="709"/>
      <c r="C35" s="608"/>
      <c r="E35" s="66"/>
      <c r="F35" s="66"/>
      <c r="G35" s="67"/>
      <c r="H35" s="66"/>
      <c r="I35" s="66"/>
      <c r="J35" s="67"/>
      <c r="K35" s="67"/>
      <c r="L35" s="67"/>
      <c r="M35" s="67"/>
      <c r="N35" s="67"/>
      <c r="O35" s="96"/>
      <c r="P35" s="96"/>
      <c r="Q35" s="96"/>
      <c r="R35" s="96"/>
      <c r="S35" s="67"/>
      <c r="T35" s="67"/>
      <c r="U35" s="67"/>
      <c r="V35" s="67"/>
      <c r="W35" s="67"/>
      <c r="X35" s="67"/>
      <c r="Y35" s="67"/>
      <c r="Z35" s="67"/>
      <c r="AA35" s="35"/>
      <c r="AB35" s="35"/>
      <c r="AC35" s="35"/>
      <c r="AD35" s="35"/>
      <c r="AE35" s="35"/>
      <c r="AF35" s="35"/>
      <c r="AG35" s="35"/>
      <c r="AH35" s="35"/>
      <c r="AI35" s="35"/>
      <c r="AJ35" s="84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608"/>
      <c r="AZ35" s="716" t="s">
        <v>278</v>
      </c>
      <c r="BA35" s="573"/>
      <c r="BB35" s="716" t="s">
        <v>279</v>
      </c>
      <c r="BC35" s="573"/>
      <c r="BD35" s="35"/>
      <c r="BE35" s="35"/>
      <c r="BF35" s="35"/>
      <c r="BG35" s="35"/>
      <c r="BH35" s="124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</row>
    <row r="36" spans="2:72" ht="51" customHeight="1" x14ac:dyDescent="0.25">
      <c r="B36" s="709"/>
      <c r="C36" s="159"/>
      <c r="E36" s="66"/>
      <c r="F36" s="66"/>
      <c r="G36" s="67"/>
      <c r="H36" s="66"/>
      <c r="I36" s="66"/>
      <c r="J36" s="67"/>
      <c r="K36" s="67"/>
      <c r="L36" s="67"/>
      <c r="M36" s="67"/>
      <c r="N36" s="67"/>
      <c r="O36" s="96"/>
      <c r="P36" s="96"/>
      <c r="Q36" s="96"/>
      <c r="R36" s="96"/>
      <c r="S36" s="67"/>
      <c r="T36" s="67"/>
      <c r="U36" s="67"/>
      <c r="V36" s="67"/>
      <c r="W36" s="67"/>
      <c r="X36" s="67"/>
      <c r="Y36" s="67"/>
      <c r="Z36" s="67"/>
      <c r="AA36" s="35"/>
      <c r="AB36" s="35"/>
      <c r="AC36" s="35"/>
      <c r="AD36" s="35"/>
      <c r="AE36" s="35"/>
      <c r="AF36" s="35"/>
      <c r="AG36" s="35"/>
      <c r="AH36" s="35"/>
      <c r="AI36" s="35"/>
      <c r="AJ36" s="84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124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</row>
    <row r="37" spans="2:72" ht="51" customHeight="1" x14ac:dyDescent="0.25">
      <c r="B37" s="709"/>
      <c r="C37" s="677" t="s">
        <v>181</v>
      </c>
      <c r="E37" s="66"/>
      <c r="F37" s="66"/>
      <c r="G37" s="67"/>
      <c r="H37" s="66"/>
      <c r="I37" s="66"/>
      <c r="J37" s="67"/>
      <c r="K37" s="67"/>
      <c r="L37" s="67"/>
      <c r="M37" s="67"/>
      <c r="N37" s="67"/>
      <c r="O37" s="96"/>
      <c r="P37" s="96"/>
      <c r="Q37" s="96"/>
      <c r="R37" s="96"/>
      <c r="S37" s="67"/>
      <c r="T37" s="67"/>
      <c r="U37" s="67"/>
      <c r="V37" s="67"/>
      <c r="W37" s="67"/>
      <c r="X37" s="67"/>
      <c r="Y37" s="67"/>
      <c r="Z37" s="67"/>
      <c r="AA37" s="35"/>
      <c r="AB37" s="35"/>
      <c r="AC37" s="35"/>
      <c r="AD37" s="35"/>
      <c r="AE37" s="35"/>
      <c r="AF37" s="35"/>
      <c r="AG37" s="35"/>
      <c r="AH37" s="35"/>
      <c r="AI37" s="35"/>
      <c r="AJ37" s="84"/>
      <c r="AK37" s="35"/>
      <c r="AL37" s="35"/>
      <c r="AM37" s="35"/>
      <c r="AN37" s="35"/>
      <c r="AO37" s="35"/>
      <c r="AP37" s="35"/>
      <c r="AQ37" s="35"/>
      <c r="AU37" s="708" t="s">
        <v>280</v>
      </c>
      <c r="AV37" s="700" t="s">
        <v>270</v>
      </c>
      <c r="AW37" s="573"/>
      <c r="AX37" s="700" t="s">
        <v>270</v>
      </c>
      <c r="AY37" s="573"/>
      <c r="AZ37" s="80"/>
      <c r="BE37" s="35"/>
      <c r="BF37" s="35"/>
      <c r="BG37" s="35"/>
      <c r="BH37" s="124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</row>
    <row r="38" spans="2:72" ht="51" customHeight="1" x14ac:dyDescent="0.25">
      <c r="B38" s="709"/>
      <c r="C38" s="678"/>
      <c r="E38" s="66"/>
      <c r="F38" s="66"/>
      <c r="G38" s="67"/>
      <c r="H38" s="66"/>
      <c r="I38" s="66"/>
      <c r="J38" s="67"/>
      <c r="K38" s="67"/>
      <c r="L38" s="67"/>
      <c r="M38" s="67"/>
      <c r="N38" s="67"/>
      <c r="O38" s="96"/>
      <c r="P38" s="96"/>
      <c r="Q38" s="96"/>
      <c r="R38" s="96"/>
      <c r="S38" s="67"/>
      <c r="T38" s="67"/>
      <c r="U38" s="67"/>
      <c r="V38" s="67"/>
      <c r="W38" s="67"/>
      <c r="X38" s="67"/>
      <c r="Y38" s="67"/>
      <c r="Z38" s="67"/>
      <c r="AA38" s="35"/>
      <c r="AB38" s="35"/>
      <c r="AC38" s="35"/>
      <c r="AD38" s="35"/>
      <c r="AE38" s="35"/>
      <c r="AF38" s="35"/>
      <c r="AG38" s="35"/>
      <c r="AH38" s="35"/>
      <c r="AI38" s="35"/>
      <c r="AJ38" s="84"/>
      <c r="AK38" s="35"/>
      <c r="AL38" s="35"/>
      <c r="AM38" s="35"/>
      <c r="AN38" s="35"/>
      <c r="AO38" s="35"/>
      <c r="AP38" s="35"/>
      <c r="AQ38" s="35"/>
      <c r="AU38" s="709"/>
      <c r="AV38" s="717" t="s">
        <v>281</v>
      </c>
      <c r="AW38" s="718"/>
      <c r="AX38" s="717" t="s">
        <v>282</v>
      </c>
      <c r="AY38" s="719"/>
      <c r="AZ38" s="68"/>
      <c r="BE38" s="35"/>
      <c r="BF38" s="35"/>
      <c r="BG38" s="35"/>
      <c r="BH38" s="124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</row>
    <row r="39" spans="2:72" ht="51" customHeight="1" x14ac:dyDescent="0.25">
      <c r="B39" s="709"/>
      <c r="C39" s="677" t="s">
        <v>182</v>
      </c>
      <c r="E39" s="66"/>
      <c r="F39" s="66"/>
      <c r="G39" s="67"/>
      <c r="H39" s="66"/>
      <c r="I39" s="66"/>
      <c r="J39" s="67"/>
      <c r="K39" s="67"/>
      <c r="L39" s="67"/>
      <c r="M39" s="67"/>
      <c r="N39" s="67"/>
      <c r="O39" s="96"/>
      <c r="P39" s="96"/>
      <c r="Q39" s="96"/>
      <c r="R39" s="96"/>
      <c r="S39" s="67"/>
      <c r="T39" s="67"/>
      <c r="U39" s="67"/>
      <c r="V39" s="67"/>
      <c r="W39" s="67"/>
      <c r="X39" s="67"/>
      <c r="Y39" s="67"/>
      <c r="Z39" s="67"/>
      <c r="AA39" s="35"/>
      <c r="AB39" s="35"/>
      <c r="AC39" s="35"/>
      <c r="AD39" s="35"/>
      <c r="AE39" s="35"/>
      <c r="AF39" s="35"/>
      <c r="AG39" s="35"/>
      <c r="AH39" s="35"/>
      <c r="AI39" s="35"/>
      <c r="AJ39" s="84"/>
      <c r="AK39" s="35"/>
      <c r="AL39" s="35"/>
      <c r="AM39" s="35"/>
      <c r="AN39" s="35"/>
      <c r="AO39" s="35"/>
      <c r="AP39" s="35"/>
      <c r="AQ39" s="35"/>
      <c r="AU39" s="709"/>
      <c r="AV39" s="88"/>
      <c r="AW39" s="88"/>
      <c r="AX39" s="88"/>
      <c r="AY39" s="133" t="s">
        <v>283</v>
      </c>
      <c r="AZ39" s="133" t="s">
        <v>283</v>
      </c>
      <c r="BE39" s="35"/>
      <c r="BF39" s="35"/>
      <c r="BG39" s="35"/>
      <c r="BH39" s="124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</row>
    <row r="40" spans="2:72" ht="51" customHeight="1" x14ac:dyDescent="0.25">
      <c r="B40" s="709"/>
      <c r="C40" s="678"/>
      <c r="E40" s="66"/>
      <c r="F40" s="66"/>
      <c r="G40" s="67"/>
      <c r="H40" s="66"/>
      <c r="I40" s="66"/>
      <c r="J40" s="67"/>
      <c r="K40" s="67"/>
      <c r="L40" s="67"/>
      <c r="M40" s="67"/>
      <c r="N40" s="67"/>
      <c r="O40" s="96"/>
      <c r="P40" s="96"/>
      <c r="Q40" s="96"/>
      <c r="R40" s="96"/>
      <c r="S40" s="67"/>
      <c r="T40" s="67"/>
      <c r="U40" s="67"/>
      <c r="V40" s="67"/>
      <c r="W40" s="67"/>
      <c r="X40" s="67"/>
      <c r="Y40" s="67"/>
      <c r="Z40" s="67"/>
      <c r="AA40" s="35"/>
      <c r="AB40" s="35"/>
      <c r="AC40" s="35"/>
      <c r="AD40" s="35"/>
      <c r="AE40" s="35"/>
      <c r="AF40" s="35"/>
      <c r="AG40" s="35"/>
      <c r="AH40" s="35"/>
      <c r="AI40" s="35"/>
      <c r="AJ40" s="84"/>
      <c r="AK40" s="35"/>
      <c r="AL40" s="35"/>
      <c r="AM40" s="35"/>
      <c r="AN40" s="35"/>
      <c r="AO40" s="35"/>
      <c r="AP40" s="35"/>
      <c r="AQ40" s="35"/>
      <c r="AU40" s="608"/>
      <c r="AV40" s="88"/>
      <c r="AW40" s="88"/>
      <c r="AX40" s="88"/>
      <c r="AY40" s="206" t="s">
        <v>284</v>
      </c>
      <c r="AZ40" s="206" t="s">
        <v>285</v>
      </c>
      <c r="BE40" s="35"/>
      <c r="BF40" s="35"/>
      <c r="BG40" s="35"/>
      <c r="BH40" s="124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</row>
    <row r="41" spans="2:72" ht="51" customHeight="1" x14ac:dyDescent="0.25">
      <c r="B41" s="709"/>
      <c r="C41" s="677" t="s">
        <v>183</v>
      </c>
      <c r="E41" s="66"/>
      <c r="F41" s="66"/>
      <c r="G41" s="67"/>
      <c r="H41" s="66"/>
      <c r="I41" s="66"/>
      <c r="J41" s="67"/>
      <c r="K41" s="67"/>
      <c r="L41" s="67"/>
      <c r="M41" s="67"/>
      <c r="N41" s="67"/>
      <c r="O41" s="96"/>
      <c r="P41" s="96"/>
      <c r="Q41" s="96"/>
      <c r="R41" s="96"/>
      <c r="S41" s="67"/>
      <c r="T41" s="67"/>
      <c r="U41" s="67"/>
      <c r="V41" s="67"/>
      <c r="W41" s="67"/>
      <c r="X41" s="67"/>
      <c r="Y41" s="67"/>
      <c r="Z41" s="67"/>
      <c r="AA41" s="35"/>
      <c r="AB41" s="35"/>
      <c r="AC41" s="35"/>
      <c r="AD41" s="35"/>
      <c r="AE41" s="35"/>
      <c r="AF41" s="35"/>
      <c r="AG41" s="35"/>
      <c r="AH41" s="35"/>
      <c r="AI41" s="35"/>
      <c r="AJ41" s="84"/>
      <c r="AK41" s="35"/>
      <c r="AL41" s="35"/>
      <c r="AM41" s="35"/>
      <c r="AN41" s="35"/>
      <c r="AO41" s="35"/>
      <c r="AP41" s="35"/>
      <c r="AQ41" s="35"/>
      <c r="AT41" s="708" t="s">
        <v>286</v>
      </c>
      <c r="AU41" s="708" t="s">
        <v>287</v>
      </c>
      <c r="AV41" s="207" t="s">
        <v>288</v>
      </c>
      <c r="AW41" s="88"/>
      <c r="AX41" s="88"/>
      <c r="BA41" s="133" t="s">
        <v>289</v>
      </c>
      <c r="BD41" s="35"/>
      <c r="BE41" s="35"/>
      <c r="BF41" s="35"/>
      <c r="BG41" s="35"/>
      <c r="BH41" s="124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</row>
    <row r="42" spans="2:72" ht="51" customHeight="1" x14ac:dyDescent="0.25">
      <c r="B42" s="709"/>
      <c r="C42" s="678"/>
      <c r="E42" s="66"/>
      <c r="F42" s="66"/>
      <c r="G42" s="67"/>
      <c r="H42" s="66"/>
      <c r="I42" s="66"/>
      <c r="J42" s="67"/>
      <c r="K42" s="67"/>
      <c r="L42" s="67"/>
      <c r="M42" s="67"/>
      <c r="N42" s="67"/>
      <c r="O42" s="96"/>
      <c r="P42" s="96"/>
      <c r="Q42" s="96"/>
      <c r="R42" s="96"/>
      <c r="S42" s="67"/>
      <c r="T42" s="67"/>
      <c r="U42" s="67"/>
      <c r="V42" s="67"/>
      <c r="W42" s="67"/>
      <c r="X42" s="67"/>
      <c r="Y42" s="67"/>
      <c r="Z42" s="67"/>
      <c r="AA42" s="35"/>
      <c r="AB42" s="35"/>
      <c r="AC42" s="35"/>
      <c r="AD42" s="35"/>
      <c r="AE42" s="35"/>
      <c r="AF42" s="35"/>
      <c r="AG42" s="35"/>
      <c r="AH42" s="35"/>
      <c r="AI42" s="35"/>
      <c r="AJ42" s="84"/>
      <c r="AK42" s="35"/>
      <c r="AL42" s="35"/>
      <c r="AM42" s="35"/>
      <c r="AN42" s="35"/>
      <c r="AO42" s="35"/>
      <c r="AP42" s="35"/>
      <c r="AQ42" s="35"/>
      <c r="AT42" s="608"/>
      <c r="AU42" s="608"/>
      <c r="AV42" s="88"/>
      <c r="AW42" s="88"/>
      <c r="AX42" s="88"/>
      <c r="BA42" s="206" t="s">
        <v>290</v>
      </c>
      <c r="BD42" s="35"/>
      <c r="BE42" s="35"/>
      <c r="BF42" s="35"/>
      <c r="BG42" s="35"/>
      <c r="BH42" s="124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</row>
    <row r="43" spans="2:72" ht="25.5" customHeight="1" x14ac:dyDescent="0.25">
      <c r="B43" s="709"/>
      <c r="C43" s="26"/>
      <c r="E43" s="66"/>
      <c r="F43" s="66"/>
      <c r="G43" s="67"/>
      <c r="H43" s="66"/>
      <c r="I43" s="66"/>
      <c r="J43" s="67"/>
      <c r="K43" s="67"/>
      <c r="L43" s="67"/>
      <c r="M43" s="67"/>
      <c r="N43" s="67"/>
      <c r="O43" s="96"/>
      <c r="P43" s="96"/>
      <c r="Q43" s="96"/>
      <c r="R43" s="96"/>
      <c r="S43" s="67"/>
      <c r="T43" s="67"/>
      <c r="U43" s="67"/>
      <c r="V43" s="67"/>
      <c r="W43" s="67"/>
      <c r="X43" s="67"/>
      <c r="Y43" s="67"/>
      <c r="Z43" s="67"/>
      <c r="AA43" s="35"/>
      <c r="AB43" s="35"/>
      <c r="AC43" s="35"/>
      <c r="AD43" s="35"/>
      <c r="AE43" s="35"/>
      <c r="AF43" s="35"/>
      <c r="AG43" s="35"/>
      <c r="AH43" s="35"/>
      <c r="AI43" s="35"/>
      <c r="AJ43" s="84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124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</row>
    <row r="44" spans="2:72" ht="66.75" customHeight="1" x14ac:dyDescent="0.25">
      <c r="B44" s="709"/>
      <c r="C44" s="679" t="s">
        <v>332</v>
      </c>
      <c r="E44" s="66"/>
      <c r="F44" s="66"/>
      <c r="G44" s="67"/>
      <c r="H44" s="66"/>
      <c r="I44" s="66"/>
      <c r="J44" s="67"/>
      <c r="K44" s="67"/>
      <c r="L44" s="67"/>
      <c r="M44" s="67"/>
      <c r="N44" s="67"/>
      <c r="O44" s="96"/>
      <c r="P44" s="96"/>
      <c r="Q44" s="96"/>
      <c r="R44" s="96"/>
      <c r="S44" s="67"/>
      <c r="T44" s="67"/>
      <c r="U44" s="67"/>
      <c r="V44" s="67"/>
      <c r="W44" s="67"/>
      <c r="X44" s="67"/>
      <c r="Y44" s="67"/>
      <c r="Z44" s="67"/>
      <c r="AA44" s="35"/>
      <c r="AB44" s="35"/>
      <c r="AC44" s="35"/>
      <c r="AD44" s="35"/>
      <c r="AE44" s="35"/>
      <c r="AF44" s="35"/>
      <c r="AG44" s="35"/>
      <c r="AH44" s="35"/>
      <c r="AI44" s="35"/>
      <c r="AJ44" s="84"/>
      <c r="AK44" s="35"/>
      <c r="AL44" s="35"/>
      <c r="AM44" s="35"/>
      <c r="AN44" s="88"/>
      <c r="AO44" s="88"/>
      <c r="AP44" s="88"/>
      <c r="AQ44" s="88"/>
      <c r="AR44" s="88"/>
      <c r="AS44" s="35"/>
      <c r="AT44" s="80"/>
      <c r="AU44" s="35"/>
      <c r="AV44" s="35"/>
      <c r="AY44" s="708" t="s">
        <v>280</v>
      </c>
      <c r="AZ44" s="710" t="s">
        <v>292</v>
      </c>
      <c r="BA44" s="704" t="s">
        <v>37</v>
      </c>
      <c r="BB44" s="573"/>
      <c r="BC44" s="704" t="s">
        <v>37</v>
      </c>
      <c r="BD44" s="573"/>
      <c r="BE44" s="35"/>
      <c r="BF44" s="35"/>
      <c r="BG44" s="208" t="s">
        <v>81</v>
      </c>
      <c r="BH44" s="230" t="s">
        <v>81</v>
      </c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</row>
    <row r="45" spans="2:72" ht="35.25" customHeight="1" x14ac:dyDescent="0.25">
      <c r="B45" s="709"/>
      <c r="C45" s="608"/>
      <c r="E45" s="66"/>
      <c r="F45" s="66"/>
      <c r="G45" s="67"/>
      <c r="H45" s="66"/>
      <c r="I45" s="66"/>
      <c r="J45" s="67"/>
      <c r="K45" s="67"/>
      <c r="L45" s="67"/>
      <c r="M45" s="67"/>
      <c r="N45" s="67"/>
      <c r="O45" s="96"/>
      <c r="P45" s="96"/>
      <c r="Q45" s="96"/>
      <c r="R45" s="96"/>
      <c r="S45" s="67"/>
      <c r="T45" s="67"/>
      <c r="U45" s="67"/>
      <c r="V45" s="67"/>
      <c r="W45" s="67"/>
      <c r="X45" s="67"/>
      <c r="Y45" s="67"/>
      <c r="Z45" s="67"/>
      <c r="AA45" s="35"/>
      <c r="AB45" s="35"/>
      <c r="AC45" s="35"/>
      <c r="AD45" s="35"/>
      <c r="AE45" s="35"/>
      <c r="AF45" s="35"/>
      <c r="AG45" s="35"/>
      <c r="AH45" s="35"/>
      <c r="AI45" s="35"/>
      <c r="AJ45" s="84"/>
      <c r="AK45" s="35"/>
      <c r="AL45" s="35"/>
      <c r="AM45" s="35"/>
      <c r="AN45" s="88"/>
      <c r="AO45" s="88"/>
      <c r="AP45" s="88"/>
      <c r="AQ45" s="88"/>
      <c r="AR45" s="88"/>
      <c r="AS45" s="35"/>
      <c r="AT45" s="68"/>
      <c r="AU45" s="35"/>
      <c r="AV45" s="35"/>
      <c r="AY45" s="709"/>
      <c r="AZ45" s="711"/>
      <c r="BA45" s="707" t="s">
        <v>293</v>
      </c>
      <c r="BB45" s="573"/>
      <c r="BC45" s="707" t="s">
        <v>294</v>
      </c>
      <c r="BD45" s="573"/>
      <c r="BE45" s="35"/>
      <c r="BF45" s="35"/>
      <c r="BG45" s="209" t="s">
        <v>295</v>
      </c>
      <c r="BH45" s="231" t="s">
        <v>296</v>
      </c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</row>
    <row r="46" spans="2:72" ht="51.75" customHeight="1" x14ac:dyDescent="0.25">
      <c r="B46" s="709"/>
      <c r="C46" s="679" t="s">
        <v>333</v>
      </c>
      <c r="E46" s="66"/>
      <c r="F46" s="66"/>
      <c r="G46" s="67"/>
      <c r="H46" s="66"/>
      <c r="I46" s="66"/>
      <c r="J46" s="67"/>
      <c r="K46" s="67"/>
      <c r="L46" s="67"/>
      <c r="M46" s="67"/>
      <c r="N46" s="67"/>
      <c r="O46" s="96"/>
      <c r="P46" s="96"/>
      <c r="Q46" s="96"/>
      <c r="R46" s="96"/>
      <c r="S46" s="67"/>
      <c r="T46" s="67"/>
      <c r="U46" s="67"/>
      <c r="V46" s="67"/>
      <c r="W46" s="67"/>
      <c r="X46" s="67"/>
      <c r="Y46" s="67"/>
      <c r="Z46" s="67"/>
      <c r="AA46" s="35"/>
      <c r="AB46" s="35"/>
      <c r="AC46" s="35"/>
      <c r="AD46" s="35"/>
      <c r="AE46" s="35"/>
      <c r="AF46" s="35"/>
      <c r="AG46" s="35"/>
      <c r="AH46" s="35"/>
      <c r="AI46" s="35"/>
      <c r="AJ46" s="84"/>
      <c r="AK46" s="35"/>
      <c r="AL46" s="35"/>
      <c r="AM46" s="35"/>
      <c r="AN46" s="88"/>
      <c r="AO46" s="88"/>
      <c r="AP46" s="88"/>
      <c r="AQ46" s="88"/>
      <c r="AR46" s="88"/>
      <c r="AS46" s="68"/>
      <c r="AT46" s="68"/>
      <c r="AU46" s="35"/>
      <c r="AV46" s="35"/>
      <c r="AY46" s="709"/>
      <c r="AZ46" s="710" t="s">
        <v>298</v>
      </c>
      <c r="BA46" s="35"/>
      <c r="BC46" s="35"/>
      <c r="BD46" s="704" t="s">
        <v>39</v>
      </c>
      <c r="BE46" s="573"/>
      <c r="BF46" s="704" t="s">
        <v>39</v>
      </c>
      <c r="BG46" s="573"/>
      <c r="BH46" s="124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</row>
    <row r="47" spans="2:72" ht="97.5" customHeight="1" x14ac:dyDescent="0.25">
      <c r="B47" s="709"/>
      <c r="C47" s="608"/>
      <c r="E47" s="66"/>
      <c r="F47" s="66"/>
      <c r="G47" s="67"/>
      <c r="H47" s="66"/>
      <c r="I47" s="66"/>
      <c r="J47" s="67"/>
      <c r="K47" s="67"/>
      <c r="L47" s="67"/>
      <c r="M47" s="67"/>
      <c r="N47" s="67"/>
      <c r="O47" s="96"/>
      <c r="P47" s="96"/>
      <c r="Q47" s="96"/>
      <c r="R47" s="96"/>
      <c r="S47" s="67"/>
      <c r="T47" s="67"/>
      <c r="U47" s="67"/>
      <c r="V47" s="67"/>
      <c r="W47" s="67"/>
      <c r="X47" s="67"/>
      <c r="Y47" s="67"/>
      <c r="Z47" s="67"/>
      <c r="AA47" s="35"/>
      <c r="AB47" s="35"/>
      <c r="AC47" s="35"/>
      <c r="AD47" s="35"/>
      <c r="AE47" s="35"/>
      <c r="AF47" s="35"/>
      <c r="AG47" s="35"/>
      <c r="AH47" s="35"/>
      <c r="AI47" s="35"/>
      <c r="AJ47" s="84"/>
      <c r="AK47" s="35"/>
      <c r="AL47" s="35"/>
      <c r="AM47" s="35"/>
      <c r="AN47" s="88"/>
      <c r="AO47" s="88"/>
      <c r="AP47" s="88"/>
      <c r="AQ47" s="88"/>
      <c r="AR47" s="88"/>
      <c r="AS47" s="185"/>
      <c r="AT47" s="35"/>
      <c r="AU47" s="35"/>
      <c r="AV47" s="35"/>
      <c r="AY47" s="608"/>
      <c r="AZ47" s="711"/>
      <c r="BA47" s="35"/>
      <c r="BC47" s="35"/>
      <c r="BD47" s="707" t="s">
        <v>299</v>
      </c>
      <c r="BE47" s="573"/>
      <c r="BF47" s="707" t="s">
        <v>299</v>
      </c>
      <c r="BG47" s="573"/>
      <c r="BH47" s="124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</row>
    <row r="48" spans="2:72" ht="14.25" customHeight="1" x14ac:dyDescent="0.25">
      <c r="B48" s="709"/>
      <c r="C48" s="159"/>
      <c r="E48" s="66"/>
      <c r="F48" s="66"/>
      <c r="G48" s="67"/>
      <c r="H48" s="66"/>
      <c r="I48" s="66"/>
      <c r="J48" s="67"/>
      <c r="K48" s="67"/>
      <c r="L48" s="67"/>
      <c r="M48" s="67"/>
      <c r="N48" s="67"/>
      <c r="O48" s="96"/>
      <c r="P48" s="96"/>
      <c r="Q48" s="96"/>
      <c r="R48" s="96"/>
      <c r="S48" s="67"/>
      <c r="T48" s="67"/>
      <c r="U48" s="67"/>
      <c r="V48" s="67"/>
      <c r="W48" s="67"/>
      <c r="X48" s="67"/>
      <c r="Y48" s="67"/>
      <c r="Z48" s="67"/>
      <c r="AA48" s="35"/>
      <c r="AB48" s="35"/>
      <c r="AC48" s="35"/>
      <c r="AD48" s="35"/>
      <c r="AE48" s="35"/>
      <c r="AF48" s="35"/>
      <c r="AG48" s="35"/>
      <c r="AH48" s="35"/>
      <c r="AI48" s="35"/>
      <c r="AJ48" s="84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124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</row>
    <row r="49" spans="2:72" ht="14.25" customHeight="1" x14ac:dyDescent="0.25">
      <c r="B49" s="709"/>
      <c r="C49" s="729" t="s">
        <v>116</v>
      </c>
      <c r="E49" s="66"/>
      <c r="F49" s="66"/>
      <c r="G49" s="67"/>
      <c r="H49" s="66"/>
      <c r="I49" s="66"/>
      <c r="J49" s="67"/>
      <c r="K49" s="67"/>
      <c r="L49" s="67"/>
      <c r="M49" s="67"/>
      <c r="N49" s="67"/>
      <c r="O49" s="96"/>
      <c r="P49" s="96"/>
      <c r="Q49" s="96"/>
      <c r="R49" s="96"/>
      <c r="S49" s="67"/>
      <c r="T49" s="67"/>
      <c r="U49" s="67"/>
      <c r="V49" s="67"/>
      <c r="W49" s="67"/>
      <c r="X49" s="67"/>
      <c r="Y49" s="67"/>
      <c r="Z49" s="67"/>
      <c r="AA49" s="35"/>
      <c r="AB49" s="35"/>
      <c r="AC49" s="35"/>
      <c r="AD49" s="35"/>
      <c r="AE49" s="35"/>
      <c r="AF49" s="35"/>
      <c r="AG49" s="35"/>
      <c r="AH49" s="35"/>
      <c r="AI49" s="35"/>
      <c r="AJ49" s="84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124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</row>
    <row r="50" spans="2:72" ht="71.25" customHeight="1" x14ac:dyDescent="0.25">
      <c r="B50" s="709"/>
      <c r="C50" s="593"/>
      <c r="E50" s="66"/>
      <c r="F50" s="66"/>
      <c r="G50" s="67"/>
      <c r="H50" s="66"/>
      <c r="I50" s="66"/>
      <c r="J50" s="67"/>
      <c r="K50" s="67"/>
      <c r="L50" s="67"/>
      <c r="M50" s="67"/>
      <c r="N50" s="67"/>
      <c r="O50" s="96"/>
      <c r="P50" s="96"/>
      <c r="Q50" s="96"/>
      <c r="R50" s="96"/>
      <c r="S50" s="67"/>
      <c r="T50" s="67"/>
      <c r="U50" s="67"/>
      <c r="V50" s="67"/>
      <c r="W50" s="67"/>
      <c r="X50" s="67"/>
      <c r="Y50" s="67"/>
      <c r="Z50" s="67"/>
      <c r="AA50" s="35"/>
      <c r="AB50" s="35"/>
      <c r="AC50" s="35"/>
      <c r="AD50" s="35"/>
      <c r="AE50" s="35"/>
      <c r="AF50" s="35"/>
      <c r="AG50" s="35"/>
      <c r="AH50" s="35"/>
      <c r="AI50" s="35"/>
      <c r="AJ50" s="84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138" t="s">
        <v>160</v>
      </c>
      <c r="AV50" s="35"/>
      <c r="AW50" s="35"/>
      <c r="AX50" s="35"/>
      <c r="AY50" s="35"/>
      <c r="AZ50" s="35"/>
      <c r="BA50" s="35"/>
      <c r="BB50" s="35"/>
      <c r="BC50" s="35"/>
      <c r="BD50" s="210" t="s">
        <v>161</v>
      </c>
      <c r="BE50" s="211" t="s">
        <v>162</v>
      </c>
      <c r="BF50" s="35"/>
      <c r="BG50" s="35"/>
      <c r="BH50" s="124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</row>
    <row r="51" spans="2:72" ht="12.75" customHeight="1" x14ac:dyDescent="0.25">
      <c r="B51" s="709"/>
      <c r="C51" s="159"/>
      <c r="E51" s="66"/>
      <c r="F51" s="66"/>
      <c r="G51" s="67"/>
      <c r="H51" s="66"/>
      <c r="I51" s="66"/>
      <c r="J51" s="67"/>
      <c r="K51" s="67"/>
      <c r="L51" s="67"/>
      <c r="M51" s="67"/>
      <c r="N51" s="67"/>
      <c r="O51" s="96"/>
      <c r="P51" s="96"/>
      <c r="Q51" s="96"/>
      <c r="R51" s="96"/>
      <c r="S51" s="67"/>
      <c r="T51" s="67"/>
      <c r="U51" s="67"/>
      <c r="V51" s="67"/>
      <c r="W51" s="67"/>
      <c r="X51" s="67"/>
      <c r="Y51" s="67"/>
      <c r="Z51" s="67"/>
      <c r="AA51" s="35"/>
      <c r="AB51" s="35"/>
      <c r="AC51" s="35"/>
      <c r="AD51" s="35"/>
      <c r="AE51" s="35"/>
      <c r="AF51" s="35"/>
      <c r="AG51" s="35"/>
      <c r="AH51" s="35"/>
      <c r="AI51" s="35"/>
      <c r="AJ51" s="84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124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</row>
    <row r="52" spans="2:72" ht="2.25" hidden="1" customHeight="1" x14ac:dyDescent="0.25">
      <c r="B52" s="709"/>
      <c r="C52" s="687" t="s">
        <v>48</v>
      </c>
      <c r="E52" s="66"/>
      <c r="F52" s="66"/>
      <c r="G52" s="67"/>
      <c r="H52" s="66"/>
      <c r="I52" s="66"/>
      <c r="J52" s="67"/>
      <c r="K52" s="67"/>
      <c r="L52" s="67"/>
      <c r="M52" s="67"/>
      <c r="N52" s="67"/>
      <c r="O52" s="96"/>
      <c r="P52" s="96"/>
      <c r="Q52" s="96"/>
      <c r="R52" s="96"/>
      <c r="S52" s="67"/>
      <c r="T52" s="67"/>
      <c r="U52" s="67"/>
      <c r="V52" s="67"/>
      <c r="W52" s="67"/>
      <c r="X52" s="67"/>
      <c r="Y52" s="67"/>
      <c r="Z52" s="67"/>
      <c r="AA52" s="35"/>
      <c r="AB52" s="35"/>
      <c r="AC52" s="35"/>
      <c r="AD52" s="35"/>
      <c r="AE52" s="35"/>
      <c r="AF52" s="35"/>
      <c r="AG52" s="35"/>
      <c r="AH52" s="35"/>
      <c r="AI52" s="35"/>
      <c r="AJ52" s="84"/>
      <c r="AK52" s="35"/>
      <c r="AL52" s="35"/>
      <c r="AM52" s="35"/>
      <c r="AN52" s="35"/>
      <c r="AO52" s="35"/>
      <c r="AP52" s="35"/>
      <c r="AQ52" s="35"/>
      <c r="AR52" s="212" t="s">
        <v>253</v>
      </c>
      <c r="AS52" s="35"/>
      <c r="AT52" s="80"/>
      <c r="AU52" s="35"/>
      <c r="AV52" s="35"/>
      <c r="AW52" s="35"/>
      <c r="AX52" s="35"/>
      <c r="AY52" s="35"/>
      <c r="AZ52" s="35"/>
      <c r="BA52" s="35"/>
      <c r="BB52" s="35"/>
      <c r="BC52" s="212" t="s">
        <v>300</v>
      </c>
      <c r="BD52" s="35"/>
      <c r="BE52" s="35"/>
      <c r="BF52" s="35"/>
      <c r="BG52" s="35"/>
      <c r="BH52" s="124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</row>
    <row r="53" spans="2:72" ht="67.5" customHeight="1" x14ac:dyDescent="0.25">
      <c r="B53" s="709"/>
      <c r="C53" s="593"/>
      <c r="E53" s="66"/>
      <c r="F53" s="66"/>
      <c r="G53" s="67"/>
      <c r="H53" s="66"/>
      <c r="I53" s="66"/>
      <c r="J53" s="67"/>
      <c r="K53" s="67"/>
      <c r="L53" s="67"/>
      <c r="M53" s="67"/>
      <c r="N53" s="67"/>
      <c r="O53" s="96"/>
      <c r="P53" s="96"/>
      <c r="Q53" s="96"/>
      <c r="R53" s="96"/>
      <c r="S53" s="67"/>
      <c r="T53" s="67"/>
      <c r="U53" s="67"/>
      <c r="V53" s="67"/>
      <c r="W53" s="67"/>
      <c r="X53" s="67"/>
      <c r="Y53" s="67"/>
      <c r="Z53" s="67"/>
      <c r="AA53" s="35"/>
      <c r="AB53" s="35"/>
      <c r="AC53" s="35"/>
      <c r="AD53" s="35"/>
      <c r="AE53" s="35"/>
      <c r="AF53" s="35"/>
      <c r="AG53" s="35"/>
      <c r="AH53" s="35"/>
      <c r="AI53" s="35"/>
      <c r="AJ53" s="92"/>
      <c r="AK53" s="93"/>
      <c r="AL53" s="93"/>
      <c r="AM53" s="93"/>
      <c r="AN53" s="93"/>
      <c r="AO53" s="93"/>
      <c r="AP53" s="93"/>
      <c r="AQ53" s="93"/>
      <c r="AR53" s="232" t="s">
        <v>334</v>
      </c>
      <c r="AS53" s="93"/>
      <c r="AT53" s="94"/>
      <c r="AU53" s="93"/>
      <c r="AV53" s="93"/>
      <c r="AW53" s="93"/>
      <c r="AX53" s="93"/>
      <c r="AY53" s="93"/>
      <c r="AZ53" s="93"/>
      <c r="BA53" s="93"/>
      <c r="BB53" s="93"/>
      <c r="BC53" s="232" t="s">
        <v>163</v>
      </c>
      <c r="BD53" s="93"/>
      <c r="BE53" s="93"/>
      <c r="BF53" s="93"/>
      <c r="BG53" s="93"/>
      <c r="BH53" s="144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</row>
    <row r="54" spans="2:72" ht="14.25" customHeight="1" x14ac:dyDescent="0.25">
      <c r="B54" s="709"/>
      <c r="C54" s="26"/>
      <c r="E54" s="66"/>
      <c r="F54" s="66"/>
      <c r="G54" s="67"/>
      <c r="H54" s="66"/>
      <c r="I54" s="66"/>
      <c r="J54" s="67"/>
      <c r="K54" s="67"/>
      <c r="L54" s="67"/>
      <c r="M54" s="67"/>
      <c r="N54" s="67"/>
      <c r="O54" s="96"/>
      <c r="P54" s="96"/>
      <c r="Q54" s="96"/>
      <c r="R54" s="96"/>
      <c r="S54" s="67"/>
      <c r="T54" s="67"/>
      <c r="U54" s="67"/>
      <c r="V54" s="67"/>
      <c r="W54" s="67"/>
      <c r="X54" s="67"/>
      <c r="Y54" s="67"/>
      <c r="Z54" s="67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</row>
    <row r="55" spans="2:72" ht="14.25" customHeight="1" x14ac:dyDescent="0.25">
      <c r="B55" s="608"/>
      <c r="C55" s="26"/>
      <c r="E55" s="66"/>
      <c r="F55" s="66"/>
      <c r="G55" s="67"/>
      <c r="H55" s="66"/>
      <c r="I55" s="66"/>
      <c r="J55" s="67"/>
      <c r="K55" s="67"/>
      <c r="L55" s="67"/>
      <c r="M55" s="67"/>
      <c r="N55" s="67"/>
      <c r="O55" s="96"/>
      <c r="P55" s="96"/>
      <c r="Q55" s="96"/>
      <c r="R55" s="96"/>
      <c r="S55" s="67"/>
      <c r="T55" s="67"/>
      <c r="U55" s="67"/>
      <c r="V55" s="67"/>
      <c r="W55" s="67"/>
      <c r="X55" s="67"/>
      <c r="Y55" s="67"/>
      <c r="Z55" s="67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</row>
    <row r="56" spans="2:72" ht="14.25" customHeight="1" x14ac:dyDescent="0.25">
      <c r="C56" s="26"/>
      <c r="E56" s="66"/>
      <c r="F56" s="66"/>
      <c r="G56" s="67"/>
      <c r="H56" s="66"/>
      <c r="I56" s="66"/>
      <c r="J56" s="67"/>
      <c r="K56" s="67"/>
      <c r="L56" s="67"/>
      <c r="M56" s="67"/>
      <c r="N56" s="67"/>
      <c r="O56" s="96"/>
      <c r="P56" s="96"/>
      <c r="Q56" s="96"/>
      <c r="R56" s="96"/>
      <c r="S56" s="67"/>
      <c r="T56" s="67"/>
      <c r="U56" s="67"/>
      <c r="V56" s="67"/>
      <c r="W56" s="67"/>
      <c r="X56" s="67"/>
      <c r="Y56" s="67"/>
      <c r="Z56" s="67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</row>
    <row r="57" spans="2:72" ht="14.25" customHeight="1" x14ac:dyDescent="0.25">
      <c r="C57" s="26"/>
      <c r="E57" s="66"/>
      <c r="F57" s="66"/>
      <c r="G57" s="67"/>
      <c r="H57" s="66"/>
      <c r="I57" s="66"/>
      <c r="J57" s="67"/>
      <c r="K57" s="67"/>
      <c r="L57" s="67"/>
      <c r="M57" s="67"/>
      <c r="N57" s="67"/>
      <c r="O57" s="96"/>
      <c r="P57" s="96"/>
      <c r="Q57" s="96"/>
      <c r="R57" s="96"/>
      <c r="S57" s="67"/>
      <c r="T57" s="67"/>
      <c r="U57" s="67"/>
      <c r="V57" s="67"/>
      <c r="W57" s="67"/>
      <c r="X57" s="67"/>
      <c r="Y57" s="67"/>
      <c r="Z57" s="67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</row>
    <row r="58" spans="2:72" ht="14.25" customHeight="1" x14ac:dyDescent="0.25">
      <c r="C58" s="26"/>
      <c r="E58" s="49"/>
      <c r="F58" s="49"/>
      <c r="H58" s="49"/>
      <c r="I58" s="49"/>
      <c r="O58" s="13"/>
      <c r="P58" s="13"/>
      <c r="Q58" s="13"/>
      <c r="R58" s="13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</row>
    <row r="59" spans="2:72" ht="14.25" customHeight="1" x14ac:dyDescent="0.25">
      <c r="C59" s="26"/>
      <c r="E59" s="49"/>
      <c r="F59" s="49"/>
      <c r="H59" s="49"/>
      <c r="I59" s="49"/>
      <c r="O59" s="13"/>
      <c r="P59" s="13"/>
      <c r="Q59" s="13"/>
      <c r="R59" s="13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</row>
    <row r="60" spans="2:72" ht="14.25" customHeight="1" x14ac:dyDescent="0.25">
      <c r="C60" s="26"/>
      <c r="E60" s="49"/>
      <c r="F60" s="49"/>
      <c r="H60" s="49"/>
      <c r="I60" s="49"/>
      <c r="O60" s="13"/>
      <c r="P60" s="13"/>
      <c r="Q60" s="13"/>
      <c r="R60" s="13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</row>
    <row r="61" spans="2:72" ht="14.25" customHeight="1" x14ac:dyDescent="0.25">
      <c r="C61" s="26"/>
      <c r="E61" s="49"/>
      <c r="F61" s="49"/>
      <c r="H61" s="49"/>
      <c r="I61" s="49"/>
      <c r="O61" s="13"/>
      <c r="P61" s="13"/>
      <c r="Q61" s="13"/>
      <c r="R61" s="13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</row>
    <row r="62" spans="2:72" ht="14.25" customHeight="1" x14ac:dyDescent="0.25">
      <c r="C62" s="26"/>
      <c r="E62" s="49"/>
      <c r="F62" s="49"/>
      <c r="H62" s="49"/>
      <c r="I62" s="49"/>
      <c r="O62" s="13"/>
      <c r="P62" s="13"/>
      <c r="Q62" s="13"/>
      <c r="R62" s="13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</row>
    <row r="63" spans="2:72" ht="14.25" customHeight="1" x14ac:dyDescent="0.25">
      <c r="C63" s="26"/>
      <c r="E63" s="49"/>
      <c r="F63" s="49"/>
      <c r="H63" s="49"/>
      <c r="I63" s="49"/>
      <c r="O63" s="13"/>
      <c r="P63" s="13"/>
      <c r="Q63" s="13"/>
      <c r="R63" s="13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</row>
    <row r="64" spans="2:72" ht="14.25" customHeight="1" x14ac:dyDescent="0.25">
      <c r="C64" s="26"/>
      <c r="E64" s="49"/>
      <c r="F64" s="49"/>
      <c r="H64" s="49"/>
      <c r="I64" s="49"/>
      <c r="O64" s="13"/>
      <c r="P64" s="13"/>
      <c r="Q64" s="13"/>
      <c r="R64" s="13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</row>
    <row r="65" spans="3:54" ht="14.25" customHeight="1" x14ac:dyDescent="0.25">
      <c r="C65" s="26"/>
      <c r="E65" s="49"/>
      <c r="F65" s="49"/>
      <c r="H65" s="49"/>
      <c r="I65" s="49"/>
      <c r="O65" s="13"/>
      <c r="P65" s="13"/>
      <c r="Q65" s="13"/>
      <c r="R65" s="13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</row>
    <row r="66" spans="3:54" ht="14.25" customHeight="1" x14ac:dyDescent="0.25">
      <c r="C66" s="26"/>
      <c r="E66" s="49"/>
      <c r="F66" s="49"/>
      <c r="H66" s="49"/>
      <c r="I66" s="49"/>
      <c r="O66" s="13"/>
      <c r="P66" s="13"/>
      <c r="Q66" s="13"/>
      <c r="R66" s="13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</row>
    <row r="67" spans="3:54" ht="14.25" customHeight="1" x14ac:dyDescent="0.25">
      <c r="C67" s="26"/>
      <c r="E67" s="49"/>
      <c r="F67" s="49"/>
      <c r="H67" s="49"/>
      <c r="I67" s="49"/>
      <c r="O67" s="13"/>
      <c r="P67" s="13"/>
      <c r="Q67" s="13"/>
      <c r="R67" s="13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</row>
    <row r="68" spans="3:54" ht="14.25" customHeight="1" x14ac:dyDescent="0.25">
      <c r="C68" s="26"/>
      <c r="E68" s="49"/>
      <c r="F68" s="49"/>
      <c r="H68" s="49"/>
      <c r="I68" s="49"/>
      <c r="O68" s="13"/>
      <c r="P68" s="13"/>
      <c r="Q68" s="13"/>
      <c r="R68" s="13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</row>
    <row r="69" spans="3:54" ht="14.25" customHeight="1" x14ac:dyDescent="0.25">
      <c r="C69" s="26"/>
      <c r="E69" s="49"/>
      <c r="F69" s="49"/>
      <c r="H69" s="49"/>
      <c r="I69" s="49"/>
      <c r="O69" s="13"/>
      <c r="P69" s="13"/>
      <c r="Q69" s="13"/>
      <c r="R69" s="13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</row>
    <row r="70" spans="3:54" ht="14.25" customHeight="1" x14ac:dyDescent="0.25">
      <c r="C70" s="26"/>
      <c r="E70" s="49"/>
      <c r="F70" s="49"/>
      <c r="H70" s="49"/>
      <c r="I70" s="49"/>
      <c r="O70" s="13"/>
      <c r="P70" s="13"/>
      <c r="Q70" s="13"/>
      <c r="R70" s="13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</row>
    <row r="71" spans="3:54" ht="14.25" customHeight="1" x14ac:dyDescent="0.25">
      <c r="C71" s="26"/>
      <c r="E71" s="49"/>
      <c r="F71" s="49"/>
      <c r="H71" s="49"/>
      <c r="I71" s="49"/>
      <c r="O71" s="13"/>
      <c r="P71" s="13"/>
      <c r="Q71" s="13"/>
      <c r="R71" s="13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</row>
    <row r="72" spans="3:54" ht="14.25" customHeight="1" x14ac:dyDescent="0.25">
      <c r="C72" s="26"/>
      <c r="E72" s="49"/>
      <c r="F72" s="49"/>
      <c r="H72" s="49"/>
      <c r="I72" s="49"/>
      <c r="O72" s="13"/>
      <c r="P72" s="13"/>
      <c r="Q72" s="13"/>
      <c r="R72" s="13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</row>
    <row r="73" spans="3:54" ht="14.25" customHeight="1" x14ac:dyDescent="0.25">
      <c r="C73" s="26"/>
      <c r="E73" s="49"/>
      <c r="F73" s="49"/>
      <c r="H73" s="49"/>
      <c r="I73" s="49"/>
      <c r="O73" s="13"/>
      <c r="P73" s="13"/>
      <c r="Q73" s="13"/>
      <c r="R73" s="13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</row>
    <row r="74" spans="3:54" ht="14.25" customHeight="1" x14ac:dyDescent="0.25">
      <c r="C74" s="26"/>
      <c r="E74" s="49"/>
      <c r="F74" s="49"/>
      <c r="H74" s="49"/>
      <c r="I74" s="49"/>
      <c r="O74" s="13"/>
      <c r="P74" s="13"/>
      <c r="Q74" s="13"/>
      <c r="R74" s="13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</row>
    <row r="75" spans="3:54" ht="14.25" customHeight="1" x14ac:dyDescent="0.25">
      <c r="C75" s="26"/>
      <c r="E75" s="49"/>
      <c r="F75" s="49"/>
      <c r="H75" s="49"/>
      <c r="I75" s="49"/>
      <c r="O75" s="13"/>
      <c r="P75" s="13"/>
      <c r="Q75" s="13"/>
      <c r="R75" s="13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</row>
    <row r="76" spans="3:54" ht="14.25" customHeight="1" x14ac:dyDescent="0.25">
      <c r="C76" s="26"/>
      <c r="E76" s="49"/>
      <c r="F76" s="49"/>
      <c r="H76" s="49"/>
      <c r="I76" s="49"/>
      <c r="O76" s="13"/>
      <c r="P76" s="13"/>
      <c r="Q76" s="13"/>
      <c r="R76" s="13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</row>
    <row r="77" spans="3:54" ht="14.25" customHeight="1" x14ac:dyDescent="0.25">
      <c r="C77" s="26"/>
      <c r="E77" s="49"/>
      <c r="F77" s="49"/>
      <c r="H77" s="49"/>
      <c r="I77" s="49"/>
      <c r="O77" s="13"/>
      <c r="P77" s="13"/>
      <c r="Q77" s="13"/>
      <c r="R77" s="13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</row>
    <row r="78" spans="3:54" ht="14.25" customHeight="1" x14ac:dyDescent="0.25">
      <c r="C78" s="26"/>
      <c r="E78" s="49"/>
      <c r="F78" s="49"/>
      <c r="H78" s="49"/>
      <c r="I78" s="49"/>
      <c r="O78" s="13"/>
      <c r="P78" s="13"/>
      <c r="Q78" s="13"/>
      <c r="R78" s="13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</row>
    <row r="79" spans="3:54" ht="14.25" customHeight="1" x14ac:dyDescent="0.25">
      <c r="C79" s="26"/>
      <c r="E79" s="49"/>
      <c r="F79" s="49"/>
      <c r="H79" s="49"/>
      <c r="I79" s="49"/>
      <c r="O79" s="13"/>
      <c r="P79" s="13"/>
      <c r="Q79" s="13"/>
      <c r="R79" s="13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</row>
    <row r="80" spans="3:54" ht="14.25" customHeight="1" x14ac:dyDescent="0.25">
      <c r="C80" s="26"/>
      <c r="E80" s="49"/>
      <c r="F80" s="49"/>
      <c r="H80" s="49"/>
      <c r="I80" s="49"/>
      <c r="O80" s="13"/>
      <c r="P80" s="13"/>
      <c r="Q80" s="13"/>
      <c r="R80" s="13"/>
    </row>
    <row r="81" spans="3:18" ht="14.25" customHeight="1" x14ac:dyDescent="0.25">
      <c r="C81" s="26"/>
      <c r="E81" s="49"/>
      <c r="F81" s="49"/>
      <c r="H81" s="49"/>
      <c r="I81" s="49"/>
      <c r="O81" s="13"/>
      <c r="P81" s="13"/>
      <c r="Q81" s="13"/>
      <c r="R81" s="13"/>
    </row>
    <row r="82" spans="3:18" ht="14.25" customHeight="1" x14ac:dyDescent="0.25">
      <c r="C82" s="26"/>
      <c r="E82" s="49"/>
      <c r="F82" s="49"/>
      <c r="H82" s="49"/>
      <c r="I82" s="49"/>
      <c r="O82" s="13"/>
      <c r="P82" s="13"/>
      <c r="Q82" s="13"/>
      <c r="R82" s="13"/>
    </row>
    <row r="83" spans="3:18" ht="14.25" customHeight="1" x14ac:dyDescent="0.25">
      <c r="C83" s="26"/>
      <c r="E83" s="49"/>
      <c r="F83" s="49"/>
      <c r="H83" s="49"/>
      <c r="I83" s="49"/>
      <c r="O83" s="13"/>
      <c r="P83" s="13"/>
      <c r="Q83" s="13"/>
      <c r="R83" s="13"/>
    </row>
    <row r="84" spans="3:18" ht="14.25" customHeight="1" x14ac:dyDescent="0.25">
      <c r="C84" s="26"/>
      <c r="E84" s="49"/>
      <c r="F84" s="49"/>
      <c r="H84" s="49"/>
      <c r="I84" s="49"/>
      <c r="O84" s="13"/>
      <c r="P84" s="13"/>
      <c r="Q84" s="13"/>
      <c r="R84" s="13"/>
    </row>
    <row r="85" spans="3:18" ht="14.25" customHeight="1" x14ac:dyDescent="0.25">
      <c r="C85" s="26"/>
      <c r="E85" s="49"/>
      <c r="F85" s="49"/>
      <c r="H85" s="49"/>
      <c r="I85" s="49"/>
      <c r="O85" s="13"/>
      <c r="P85" s="13"/>
      <c r="Q85" s="13"/>
      <c r="R85" s="13"/>
    </row>
    <row r="86" spans="3:18" ht="14.25" customHeight="1" x14ac:dyDescent="0.25">
      <c r="C86" s="26"/>
      <c r="E86" s="49"/>
      <c r="F86" s="49"/>
      <c r="H86" s="49"/>
      <c r="I86" s="49"/>
      <c r="O86" s="13"/>
      <c r="P86" s="13"/>
      <c r="Q86" s="13"/>
      <c r="R86" s="13"/>
    </row>
    <row r="87" spans="3:18" ht="14.25" customHeight="1" x14ac:dyDescent="0.25">
      <c r="C87" s="26"/>
      <c r="E87" s="49"/>
      <c r="F87" s="49"/>
      <c r="H87" s="49"/>
      <c r="I87" s="49"/>
      <c r="O87" s="13"/>
      <c r="P87" s="13"/>
      <c r="Q87" s="13"/>
      <c r="R87" s="13"/>
    </row>
    <row r="88" spans="3:18" ht="14.25" customHeight="1" x14ac:dyDescent="0.25">
      <c r="C88" s="26"/>
      <c r="E88" s="49"/>
      <c r="F88" s="49"/>
      <c r="H88" s="49"/>
      <c r="I88" s="49"/>
      <c r="O88" s="13"/>
      <c r="P88" s="13"/>
      <c r="Q88" s="13"/>
      <c r="R88" s="13"/>
    </row>
    <row r="89" spans="3:18" ht="14.25" customHeight="1" x14ac:dyDescent="0.25">
      <c r="C89" s="26"/>
      <c r="E89" s="49"/>
      <c r="F89" s="49"/>
      <c r="H89" s="49"/>
      <c r="I89" s="49"/>
      <c r="O89" s="13"/>
      <c r="P89" s="13"/>
      <c r="Q89" s="13"/>
      <c r="R89" s="13"/>
    </row>
    <row r="90" spans="3:18" ht="14.25" customHeight="1" x14ac:dyDescent="0.25">
      <c r="C90" s="26"/>
      <c r="E90" s="49"/>
      <c r="F90" s="49"/>
      <c r="H90" s="49"/>
      <c r="I90" s="49"/>
      <c r="O90" s="13"/>
      <c r="P90" s="13"/>
      <c r="Q90" s="13"/>
      <c r="R90" s="13"/>
    </row>
    <row r="91" spans="3:18" ht="14.25" customHeight="1" x14ac:dyDescent="0.25">
      <c r="C91" s="26"/>
      <c r="E91" s="49"/>
      <c r="F91" s="49"/>
      <c r="H91" s="49"/>
      <c r="I91" s="49"/>
      <c r="O91" s="13"/>
      <c r="P91" s="13"/>
      <c r="Q91" s="13"/>
      <c r="R91" s="13"/>
    </row>
    <row r="92" spans="3:18" ht="14.25" customHeight="1" x14ac:dyDescent="0.25">
      <c r="C92" s="26"/>
      <c r="E92" s="49"/>
      <c r="F92" s="49"/>
      <c r="H92" s="49"/>
      <c r="I92" s="49"/>
      <c r="O92" s="13"/>
      <c r="P92" s="13"/>
      <c r="Q92" s="13"/>
      <c r="R92" s="13"/>
    </row>
    <row r="93" spans="3:18" ht="14.25" customHeight="1" x14ac:dyDescent="0.25">
      <c r="C93" s="26"/>
      <c r="E93" s="49"/>
      <c r="F93" s="49"/>
      <c r="H93" s="49"/>
      <c r="I93" s="49"/>
      <c r="O93" s="13"/>
      <c r="P93" s="13"/>
      <c r="Q93" s="13"/>
      <c r="R93" s="13"/>
    </row>
    <row r="94" spans="3:18" ht="14.25" customHeight="1" x14ac:dyDescent="0.25">
      <c r="C94" s="26"/>
      <c r="E94" s="49"/>
      <c r="F94" s="49"/>
      <c r="H94" s="49"/>
      <c r="I94" s="49"/>
      <c r="O94" s="13"/>
      <c r="P94" s="13"/>
      <c r="Q94" s="13"/>
      <c r="R94" s="13"/>
    </row>
    <row r="95" spans="3:18" ht="14.25" customHeight="1" x14ac:dyDescent="0.25">
      <c r="C95" s="26"/>
      <c r="E95" s="49"/>
      <c r="F95" s="49"/>
      <c r="H95" s="49"/>
      <c r="I95" s="49"/>
      <c r="O95" s="13"/>
      <c r="P95" s="13"/>
      <c r="Q95" s="13"/>
      <c r="R95" s="13"/>
    </row>
    <row r="96" spans="3:18" ht="14.25" customHeight="1" x14ac:dyDescent="0.25">
      <c r="C96" s="26"/>
      <c r="E96" s="49"/>
      <c r="F96" s="49"/>
      <c r="H96" s="49"/>
      <c r="I96" s="49"/>
      <c r="O96" s="13"/>
      <c r="P96" s="13"/>
      <c r="Q96" s="13"/>
      <c r="R96" s="13"/>
    </row>
    <row r="97" spans="3:18" ht="14.25" customHeight="1" x14ac:dyDescent="0.25">
      <c r="C97" s="26"/>
      <c r="E97" s="49"/>
      <c r="F97" s="49"/>
      <c r="H97" s="49"/>
      <c r="I97" s="49"/>
      <c r="O97" s="13"/>
      <c r="P97" s="13"/>
      <c r="Q97" s="13"/>
      <c r="R97" s="13"/>
    </row>
    <row r="98" spans="3:18" ht="14.25" customHeight="1" x14ac:dyDescent="0.25">
      <c r="C98" s="26"/>
      <c r="E98" s="49"/>
      <c r="F98" s="49"/>
      <c r="H98" s="49"/>
      <c r="I98" s="49"/>
      <c r="O98" s="13"/>
      <c r="P98" s="13"/>
      <c r="Q98" s="13"/>
      <c r="R98" s="13"/>
    </row>
    <row r="99" spans="3:18" ht="14.25" customHeight="1" x14ac:dyDescent="0.25">
      <c r="C99" s="26"/>
      <c r="E99" s="49"/>
      <c r="F99" s="49"/>
      <c r="H99" s="49"/>
      <c r="I99" s="49"/>
      <c r="O99" s="13"/>
      <c r="P99" s="13"/>
      <c r="Q99" s="13"/>
      <c r="R99" s="13"/>
    </row>
    <row r="100" spans="3:18" ht="14.25" customHeight="1" x14ac:dyDescent="0.25">
      <c r="C100" s="26"/>
      <c r="E100" s="49"/>
      <c r="F100" s="49"/>
      <c r="H100" s="49"/>
      <c r="I100" s="49"/>
      <c r="O100" s="13"/>
      <c r="P100" s="13"/>
      <c r="Q100" s="13"/>
      <c r="R100" s="13"/>
    </row>
    <row r="101" spans="3:18" ht="14.25" customHeight="1" x14ac:dyDescent="0.25">
      <c r="C101" s="26"/>
      <c r="E101" s="49"/>
      <c r="F101" s="49"/>
      <c r="H101" s="49"/>
      <c r="I101" s="49"/>
      <c r="O101" s="13"/>
      <c r="P101" s="13"/>
      <c r="Q101" s="13"/>
      <c r="R101" s="13"/>
    </row>
    <row r="102" spans="3:18" ht="14.25" customHeight="1" x14ac:dyDescent="0.25">
      <c r="C102" s="26"/>
      <c r="E102" s="49"/>
      <c r="F102" s="49"/>
      <c r="H102" s="49"/>
      <c r="I102" s="49"/>
      <c r="O102" s="13"/>
      <c r="P102" s="13"/>
      <c r="Q102" s="13"/>
      <c r="R102" s="13"/>
    </row>
    <row r="103" spans="3:18" ht="14.25" customHeight="1" x14ac:dyDescent="0.25">
      <c r="C103" s="26"/>
      <c r="E103" s="49"/>
      <c r="F103" s="49"/>
      <c r="H103" s="49"/>
      <c r="I103" s="49"/>
      <c r="O103" s="13"/>
      <c r="P103" s="13"/>
      <c r="Q103" s="13"/>
      <c r="R103" s="13"/>
    </row>
    <row r="104" spans="3:18" ht="14.25" customHeight="1" x14ac:dyDescent="0.25">
      <c r="C104" s="26"/>
      <c r="E104" s="49"/>
      <c r="F104" s="49"/>
      <c r="H104" s="49"/>
      <c r="I104" s="49"/>
      <c r="O104" s="13"/>
      <c r="P104" s="13"/>
      <c r="Q104" s="13"/>
      <c r="R104" s="13"/>
    </row>
    <row r="105" spans="3:18" ht="14.25" customHeight="1" x14ac:dyDescent="0.25">
      <c r="C105" s="26"/>
      <c r="E105" s="49"/>
      <c r="F105" s="49"/>
      <c r="H105" s="49"/>
      <c r="I105" s="49"/>
      <c r="O105" s="13"/>
      <c r="P105" s="13"/>
      <c r="Q105" s="13"/>
      <c r="R105" s="13"/>
    </row>
    <row r="106" spans="3:18" ht="14.25" customHeight="1" x14ac:dyDescent="0.25">
      <c r="C106" s="26"/>
      <c r="E106" s="49"/>
      <c r="F106" s="49"/>
      <c r="H106" s="49"/>
      <c r="I106" s="49"/>
      <c r="O106" s="13"/>
      <c r="P106" s="13"/>
      <c r="Q106" s="13"/>
      <c r="R106" s="13"/>
    </row>
    <row r="107" spans="3:18" ht="14.25" customHeight="1" x14ac:dyDescent="0.25">
      <c r="C107" s="26"/>
      <c r="E107" s="49"/>
      <c r="F107" s="49"/>
      <c r="H107" s="49"/>
      <c r="I107" s="49"/>
      <c r="O107" s="13"/>
      <c r="P107" s="13"/>
      <c r="Q107" s="13"/>
      <c r="R107" s="13"/>
    </row>
    <row r="108" spans="3:18" ht="14.25" customHeight="1" x14ac:dyDescent="0.25">
      <c r="C108" s="26"/>
      <c r="E108" s="49"/>
      <c r="F108" s="49"/>
      <c r="H108" s="49"/>
      <c r="I108" s="49"/>
      <c r="O108" s="13"/>
      <c r="P108" s="13"/>
      <c r="Q108" s="13"/>
      <c r="R108" s="13"/>
    </row>
    <row r="109" spans="3:18" ht="14.25" customHeight="1" x14ac:dyDescent="0.25">
      <c r="C109" s="26"/>
      <c r="E109" s="49"/>
      <c r="F109" s="49"/>
      <c r="H109" s="49"/>
      <c r="I109" s="49"/>
      <c r="O109" s="13"/>
      <c r="P109" s="13"/>
      <c r="Q109" s="13"/>
      <c r="R109" s="13"/>
    </row>
    <row r="110" spans="3:18" ht="14.25" customHeight="1" x14ac:dyDescent="0.25">
      <c r="C110" s="26"/>
      <c r="E110" s="49"/>
      <c r="F110" s="49"/>
      <c r="H110" s="49"/>
      <c r="I110" s="49"/>
      <c r="O110" s="13"/>
      <c r="P110" s="13"/>
      <c r="Q110" s="13"/>
      <c r="R110" s="13"/>
    </row>
    <row r="111" spans="3:18" ht="14.25" customHeight="1" x14ac:dyDescent="0.25">
      <c r="C111" s="26"/>
      <c r="E111" s="49"/>
      <c r="F111" s="49"/>
      <c r="H111" s="49"/>
      <c r="I111" s="49"/>
      <c r="O111" s="13"/>
      <c r="P111" s="13"/>
      <c r="Q111" s="13"/>
      <c r="R111" s="13"/>
    </row>
    <row r="112" spans="3:18" ht="14.25" customHeight="1" x14ac:dyDescent="0.25">
      <c r="C112" s="26"/>
      <c r="E112" s="49"/>
      <c r="F112" s="49"/>
      <c r="H112" s="49"/>
      <c r="I112" s="49"/>
      <c r="O112" s="13"/>
      <c r="P112" s="13"/>
      <c r="Q112" s="13"/>
      <c r="R112" s="13"/>
    </row>
    <row r="113" spans="3:18" ht="14.25" customHeight="1" x14ac:dyDescent="0.25">
      <c r="C113" s="26"/>
      <c r="E113" s="49"/>
      <c r="F113" s="49"/>
      <c r="H113" s="49"/>
      <c r="I113" s="49"/>
      <c r="O113" s="13"/>
      <c r="P113" s="13"/>
      <c r="Q113" s="13"/>
      <c r="R113" s="13"/>
    </row>
    <row r="114" spans="3:18" ht="14.25" customHeight="1" x14ac:dyDescent="0.25">
      <c r="C114" s="26"/>
      <c r="E114" s="49"/>
      <c r="F114" s="49"/>
      <c r="H114" s="49"/>
      <c r="I114" s="49"/>
      <c r="O114" s="13"/>
      <c r="P114" s="13"/>
      <c r="Q114" s="13"/>
      <c r="R114" s="13"/>
    </row>
    <row r="115" spans="3:18" ht="14.25" customHeight="1" x14ac:dyDescent="0.25">
      <c r="C115" s="26"/>
      <c r="E115" s="49"/>
      <c r="F115" s="49"/>
      <c r="H115" s="49"/>
      <c r="I115" s="49"/>
      <c r="O115" s="13"/>
      <c r="P115" s="13"/>
      <c r="Q115" s="13"/>
      <c r="R115" s="13"/>
    </row>
    <row r="116" spans="3:18" ht="14.25" customHeight="1" x14ac:dyDescent="0.25">
      <c r="C116" s="26"/>
      <c r="E116" s="49"/>
      <c r="F116" s="49"/>
      <c r="H116" s="49"/>
      <c r="I116" s="49"/>
      <c r="O116" s="13"/>
      <c r="P116" s="13"/>
      <c r="Q116" s="13"/>
      <c r="R116" s="13"/>
    </row>
    <row r="117" spans="3:18" ht="14.25" customHeight="1" x14ac:dyDescent="0.25">
      <c r="C117" s="26"/>
      <c r="E117" s="49"/>
      <c r="F117" s="49"/>
      <c r="H117" s="49"/>
      <c r="I117" s="49"/>
      <c r="O117" s="13"/>
      <c r="P117" s="13"/>
      <c r="Q117" s="13"/>
      <c r="R117" s="13"/>
    </row>
    <row r="118" spans="3:18" ht="14.25" customHeight="1" x14ac:dyDescent="0.25">
      <c r="C118" s="26"/>
      <c r="E118" s="49"/>
      <c r="F118" s="49"/>
      <c r="H118" s="49"/>
      <c r="I118" s="49"/>
      <c r="O118" s="13"/>
      <c r="P118" s="13"/>
      <c r="Q118" s="13"/>
      <c r="R118" s="13"/>
    </row>
    <row r="119" spans="3:18" ht="14.25" customHeight="1" x14ac:dyDescent="0.25">
      <c r="C119" s="26"/>
      <c r="E119" s="49"/>
      <c r="F119" s="49"/>
      <c r="H119" s="49"/>
      <c r="I119" s="49"/>
      <c r="O119" s="13"/>
      <c r="P119" s="13"/>
      <c r="Q119" s="13"/>
      <c r="R119" s="13"/>
    </row>
    <row r="120" spans="3:18" ht="14.25" customHeight="1" x14ac:dyDescent="0.25">
      <c r="C120" s="26"/>
      <c r="E120" s="49"/>
      <c r="F120" s="49"/>
      <c r="H120" s="49"/>
      <c r="I120" s="49"/>
      <c r="O120" s="13"/>
      <c r="P120" s="13"/>
      <c r="Q120" s="13"/>
      <c r="R120" s="13"/>
    </row>
    <row r="121" spans="3:18" ht="14.25" customHeight="1" x14ac:dyDescent="0.25">
      <c r="C121" s="26"/>
      <c r="E121" s="49"/>
      <c r="F121" s="49"/>
      <c r="H121" s="49"/>
      <c r="I121" s="49"/>
      <c r="O121" s="13"/>
      <c r="P121" s="13"/>
      <c r="Q121" s="13"/>
      <c r="R121" s="13"/>
    </row>
    <row r="122" spans="3:18" ht="14.25" customHeight="1" x14ac:dyDescent="0.25">
      <c r="C122" s="26"/>
      <c r="E122" s="49"/>
      <c r="F122" s="49"/>
      <c r="H122" s="49"/>
      <c r="I122" s="49"/>
      <c r="O122" s="13"/>
      <c r="P122" s="13"/>
      <c r="Q122" s="13"/>
      <c r="R122" s="13"/>
    </row>
    <row r="123" spans="3:18" ht="14.25" customHeight="1" x14ac:dyDescent="0.25">
      <c r="C123" s="26"/>
      <c r="E123" s="49"/>
      <c r="F123" s="49"/>
      <c r="H123" s="49"/>
      <c r="I123" s="49"/>
      <c r="O123" s="13"/>
      <c r="P123" s="13"/>
      <c r="Q123" s="13"/>
      <c r="R123" s="13"/>
    </row>
    <row r="124" spans="3:18" ht="14.25" customHeight="1" x14ac:dyDescent="0.25">
      <c r="C124" s="26"/>
      <c r="E124" s="49"/>
      <c r="F124" s="49"/>
      <c r="H124" s="49"/>
      <c r="I124" s="49"/>
      <c r="O124" s="13"/>
      <c r="P124" s="13"/>
      <c r="Q124" s="13"/>
      <c r="R124" s="13"/>
    </row>
    <row r="125" spans="3:18" ht="14.25" customHeight="1" x14ac:dyDescent="0.25">
      <c r="C125" s="26"/>
      <c r="E125" s="49"/>
      <c r="F125" s="49"/>
      <c r="H125" s="49"/>
      <c r="I125" s="49"/>
      <c r="O125" s="13"/>
      <c r="P125" s="13"/>
      <c r="Q125" s="13"/>
      <c r="R125" s="13"/>
    </row>
    <row r="126" spans="3:18" ht="14.25" customHeight="1" x14ac:dyDescent="0.25">
      <c r="C126" s="26"/>
      <c r="E126" s="49"/>
      <c r="F126" s="49"/>
      <c r="H126" s="49"/>
      <c r="I126" s="49"/>
      <c r="O126" s="13"/>
      <c r="P126" s="13"/>
      <c r="Q126" s="13"/>
      <c r="R126" s="13"/>
    </row>
    <row r="127" spans="3:18" ht="14.25" customHeight="1" x14ac:dyDescent="0.25">
      <c r="C127" s="26"/>
      <c r="E127" s="49"/>
      <c r="F127" s="49"/>
      <c r="H127" s="49"/>
      <c r="I127" s="49"/>
      <c r="O127" s="13"/>
      <c r="P127" s="13"/>
      <c r="Q127" s="13"/>
      <c r="R127" s="13"/>
    </row>
    <row r="128" spans="3:18" ht="14.25" customHeight="1" x14ac:dyDescent="0.25">
      <c r="C128" s="26"/>
      <c r="E128" s="49"/>
      <c r="F128" s="49"/>
      <c r="H128" s="49"/>
      <c r="I128" s="49"/>
      <c r="O128" s="13"/>
      <c r="P128" s="13"/>
      <c r="Q128" s="13"/>
      <c r="R128" s="13"/>
    </row>
    <row r="129" spans="3:18" ht="14.25" customHeight="1" x14ac:dyDescent="0.25">
      <c r="C129" s="26"/>
      <c r="E129" s="49"/>
      <c r="F129" s="49"/>
      <c r="H129" s="49"/>
      <c r="I129" s="49"/>
      <c r="O129" s="13"/>
      <c r="P129" s="13"/>
      <c r="Q129" s="13"/>
      <c r="R129" s="13"/>
    </row>
    <row r="130" spans="3:18" ht="14.25" customHeight="1" x14ac:dyDescent="0.25">
      <c r="C130" s="26"/>
      <c r="E130" s="49"/>
      <c r="F130" s="49"/>
      <c r="H130" s="49"/>
      <c r="I130" s="49"/>
      <c r="O130" s="13"/>
      <c r="P130" s="13"/>
      <c r="Q130" s="13"/>
      <c r="R130" s="13"/>
    </row>
    <row r="131" spans="3:18" ht="14.25" customHeight="1" x14ac:dyDescent="0.25">
      <c r="C131" s="26"/>
      <c r="E131" s="49"/>
      <c r="F131" s="49"/>
      <c r="H131" s="49"/>
      <c r="I131" s="49"/>
      <c r="O131" s="13"/>
      <c r="P131" s="13"/>
      <c r="Q131" s="13"/>
      <c r="R131" s="13"/>
    </row>
    <row r="132" spans="3:18" ht="14.25" customHeight="1" x14ac:dyDescent="0.25">
      <c r="C132" s="26"/>
      <c r="E132" s="49"/>
      <c r="F132" s="49"/>
      <c r="H132" s="49"/>
      <c r="I132" s="49"/>
      <c r="O132" s="13"/>
      <c r="P132" s="13"/>
      <c r="Q132" s="13"/>
      <c r="R132" s="13"/>
    </row>
    <row r="133" spans="3:18" ht="14.25" customHeight="1" x14ac:dyDescent="0.25">
      <c r="C133" s="26"/>
      <c r="E133" s="49"/>
      <c r="F133" s="49"/>
      <c r="H133" s="49"/>
      <c r="I133" s="49"/>
      <c r="O133" s="13"/>
      <c r="P133" s="13"/>
      <c r="Q133" s="13"/>
      <c r="R133" s="13"/>
    </row>
    <row r="134" spans="3:18" ht="14.25" customHeight="1" x14ac:dyDescent="0.25">
      <c r="C134" s="26"/>
      <c r="E134" s="49"/>
      <c r="F134" s="49"/>
      <c r="H134" s="49"/>
      <c r="I134" s="49"/>
      <c r="O134" s="13"/>
      <c r="P134" s="13"/>
      <c r="Q134" s="13"/>
      <c r="R134" s="13"/>
    </row>
    <row r="135" spans="3:18" ht="14.25" customHeight="1" x14ac:dyDescent="0.25">
      <c r="C135" s="26"/>
      <c r="E135" s="49"/>
      <c r="F135" s="49"/>
      <c r="H135" s="49"/>
      <c r="I135" s="49"/>
      <c r="O135" s="13"/>
      <c r="P135" s="13"/>
      <c r="Q135" s="13"/>
      <c r="R135" s="13"/>
    </row>
    <row r="136" spans="3:18" ht="14.25" customHeight="1" x14ac:dyDescent="0.25">
      <c r="C136" s="26"/>
      <c r="E136" s="49"/>
      <c r="F136" s="49"/>
      <c r="H136" s="49"/>
      <c r="I136" s="49"/>
      <c r="O136" s="13"/>
      <c r="P136" s="13"/>
      <c r="Q136" s="13"/>
      <c r="R136" s="13"/>
    </row>
    <row r="137" spans="3:18" ht="14.25" customHeight="1" x14ac:dyDescent="0.25">
      <c r="C137" s="26"/>
      <c r="E137" s="49"/>
      <c r="F137" s="49"/>
      <c r="H137" s="49"/>
      <c r="I137" s="49"/>
      <c r="O137" s="13"/>
      <c r="P137" s="13"/>
      <c r="Q137" s="13"/>
      <c r="R137" s="13"/>
    </row>
    <row r="138" spans="3:18" ht="14.25" customHeight="1" x14ac:dyDescent="0.25">
      <c r="C138" s="26"/>
      <c r="E138" s="49"/>
      <c r="F138" s="49"/>
      <c r="H138" s="49"/>
      <c r="I138" s="49"/>
      <c r="O138" s="13"/>
      <c r="P138" s="13"/>
      <c r="Q138" s="13"/>
      <c r="R138" s="13"/>
    </row>
    <row r="139" spans="3:18" ht="14.25" customHeight="1" x14ac:dyDescent="0.25">
      <c r="C139" s="26"/>
      <c r="E139" s="49"/>
      <c r="F139" s="49"/>
      <c r="H139" s="49"/>
      <c r="I139" s="49"/>
      <c r="O139" s="13"/>
      <c r="P139" s="13"/>
      <c r="Q139" s="13"/>
      <c r="R139" s="13"/>
    </row>
    <row r="140" spans="3:18" ht="14.25" customHeight="1" x14ac:dyDescent="0.25">
      <c r="C140" s="26"/>
      <c r="E140" s="49"/>
      <c r="F140" s="49"/>
      <c r="H140" s="49"/>
      <c r="I140" s="49"/>
      <c r="O140" s="13"/>
      <c r="P140" s="13"/>
      <c r="Q140" s="13"/>
      <c r="R140" s="13"/>
    </row>
    <row r="141" spans="3:18" ht="14.25" customHeight="1" x14ac:dyDescent="0.25">
      <c r="C141" s="26"/>
      <c r="E141" s="49"/>
      <c r="F141" s="49"/>
      <c r="H141" s="49"/>
      <c r="I141" s="49"/>
      <c r="O141" s="13"/>
      <c r="P141" s="13"/>
      <c r="Q141" s="13"/>
      <c r="R141" s="13"/>
    </row>
    <row r="142" spans="3:18" ht="14.25" customHeight="1" x14ac:dyDescent="0.25">
      <c r="C142" s="26"/>
      <c r="E142" s="49"/>
      <c r="F142" s="49"/>
      <c r="H142" s="49"/>
      <c r="I142" s="49"/>
      <c r="O142" s="13"/>
      <c r="P142" s="13"/>
      <c r="Q142" s="13"/>
      <c r="R142" s="13"/>
    </row>
    <row r="143" spans="3:18" ht="14.25" customHeight="1" x14ac:dyDescent="0.25">
      <c r="C143" s="26"/>
      <c r="E143" s="49"/>
      <c r="F143" s="49"/>
      <c r="H143" s="49"/>
      <c r="I143" s="49"/>
      <c r="O143" s="13"/>
      <c r="P143" s="13"/>
      <c r="Q143" s="13"/>
      <c r="R143" s="13"/>
    </row>
    <row r="144" spans="3:18" ht="14.25" customHeight="1" x14ac:dyDescent="0.25">
      <c r="C144" s="26"/>
      <c r="E144" s="49"/>
      <c r="F144" s="49"/>
      <c r="H144" s="49"/>
      <c r="I144" s="49"/>
      <c r="O144" s="13"/>
      <c r="P144" s="13"/>
      <c r="Q144" s="13"/>
      <c r="R144" s="13"/>
    </row>
    <row r="145" spans="3:18" ht="14.25" customHeight="1" x14ac:dyDescent="0.25">
      <c r="C145" s="26"/>
      <c r="E145" s="49"/>
      <c r="F145" s="49"/>
      <c r="H145" s="49"/>
      <c r="I145" s="49"/>
      <c r="O145" s="13"/>
      <c r="P145" s="13"/>
      <c r="Q145" s="13"/>
      <c r="R145" s="13"/>
    </row>
    <row r="146" spans="3:18" ht="14.25" customHeight="1" x14ac:dyDescent="0.25">
      <c r="C146" s="26"/>
      <c r="E146" s="49"/>
      <c r="F146" s="49"/>
      <c r="H146" s="49"/>
      <c r="I146" s="49"/>
      <c r="O146" s="13"/>
      <c r="P146" s="13"/>
      <c r="Q146" s="13"/>
      <c r="R146" s="13"/>
    </row>
    <row r="147" spans="3:18" ht="14.25" customHeight="1" x14ac:dyDescent="0.25">
      <c r="C147" s="26"/>
      <c r="E147" s="49"/>
      <c r="F147" s="49"/>
      <c r="H147" s="49"/>
      <c r="I147" s="49"/>
      <c r="O147" s="13"/>
      <c r="P147" s="13"/>
      <c r="Q147" s="13"/>
      <c r="R147" s="13"/>
    </row>
    <row r="148" spans="3:18" ht="14.25" customHeight="1" x14ac:dyDescent="0.25">
      <c r="C148" s="26"/>
      <c r="E148" s="49"/>
      <c r="F148" s="49"/>
      <c r="H148" s="49"/>
      <c r="I148" s="49"/>
      <c r="O148" s="13"/>
      <c r="P148" s="13"/>
      <c r="Q148" s="13"/>
      <c r="R148" s="13"/>
    </row>
    <row r="149" spans="3:18" ht="14.25" customHeight="1" x14ac:dyDescent="0.25">
      <c r="C149" s="26"/>
      <c r="E149" s="49"/>
      <c r="F149" s="49"/>
      <c r="H149" s="49"/>
      <c r="I149" s="49"/>
      <c r="O149" s="13"/>
      <c r="P149" s="13"/>
      <c r="Q149" s="13"/>
      <c r="R149" s="13"/>
    </row>
    <row r="150" spans="3:18" ht="14.25" customHeight="1" x14ac:dyDescent="0.25">
      <c r="C150" s="26"/>
      <c r="E150" s="49"/>
      <c r="F150" s="49"/>
      <c r="H150" s="49"/>
      <c r="I150" s="49"/>
      <c r="O150" s="13"/>
      <c r="P150" s="13"/>
      <c r="Q150" s="13"/>
      <c r="R150" s="13"/>
    </row>
    <row r="151" spans="3:18" ht="14.25" customHeight="1" x14ac:dyDescent="0.25">
      <c r="C151" s="26"/>
      <c r="E151" s="49"/>
      <c r="F151" s="49"/>
      <c r="H151" s="49"/>
      <c r="I151" s="49"/>
      <c r="O151" s="13"/>
      <c r="P151" s="13"/>
      <c r="Q151" s="13"/>
      <c r="R151" s="13"/>
    </row>
    <row r="152" spans="3:18" ht="14.25" customHeight="1" x14ac:dyDescent="0.25">
      <c r="C152" s="26"/>
      <c r="E152" s="49"/>
      <c r="F152" s="49"/>
      <c r="H152" s="49"/>
      <c r="I152" s="49"/>
      <c r="O152" s="13"/>
      <c r="P152" s="13"/>
      <c r="Q152" s="13"/>
      <c r="R152" s="13"/>
    </row>
    <row r="153" spans="3:18" ht="14.25" customHeight="1" x14ac:dyDescent="0.25">
      <c r="C153" s="26"/>
      <c r="E153" s="49"/>
      <c r="F153" s="49"/>
      <c r="H153" s="49"/>
      <c r="I153" s="49"/>
      <c r="O153" s="13"/>
      <c r="P153" s="13"/>
      <c r="Q153" s="13"/>
      <c r="R153" s="13"/>
    </row>
    <row r="154" spans="3:18" ht="14.25" customHeight="1" x14ac:dyDescent="0.25">
      <c r="C154" s="26"/>
      <c r="E154" s="49"/>
      <c r="F154" s="49"/>
      <c r="H154" s="49"/>
      <c r="I154" s="49"/>
      <c r="O154" s="13"/>
      <c r="P154" s="13"/>
      <c r="Q154" s="13"/>
      <c r="R154" s="13"/>
    </row>
    <row r="155" spans="3:18" ht="14.25" customHeight="1" x14ac:dyDescent="0.25">
      <c r="C155" s="26"/>
      <c r="E155" s="49"/>
      <c r="F155" s="49"/>
      <c r="H155" s="49"/>
      <c r="I155" s="49"/>
      <c r="O155" s="13"/>
      <c r="P155" s="13"/>
      <c r="Q155" s="13"/>
      <c r="R155" s="13"/>
    </row>
    <row r="156" spans="3:18" ht="14.25" customHeight="1" x14ac:dyDescent="0.25">
      <c r="C156" s="26"/>
      <c r="E156" s="49"/>
      <c r="F156" s="49"/>
      <c r="H156" s="49"/>
      <c r="I156" s="49"/>
      <c r="O156" s="13"/>
      <c r="P156" s="13"/>
      <c r="Q156" s="13"/>
      <c r="R156" s="13"/>
    </row>
    <row r="157" spans="3:18" ht="14.25" customHeight="1" x14ac:dyDescent="0.25">
      <c r="C157" s="26"/>
      <c r="E157" s="49"/>
      <c r="F157" s="49"/>
      <c r="H157" s="49"/>
      <c r="I157" s="49"/>
      <c r="O157" s="13"/>
      <c r="P157" s="13"/>
      <c r="Q157" s="13"/>
      <c r="R157" s="13"/>
    </row>
    <row r="158" spans="3:18" ht="14.25" customHeight="1" x14ac:dyDescent="0.25">
      <c r="C158" s="26"/>
      <c r="E158" s="49"/>
      <c r="F158" s="49"/>
      <c r="H158" s="49"/>
      <c r="I158" s="49"/>
      <c r="O158" s="13"/>
      <c r="P158" s="13"/>
      <c r="Q158" s="13"/>
      <c r="R158" s="13"/>
    </row>
    <row r="159" spans="3:18" ht="14.25" customHeight="1" x14ac:dyDescent="0.25">
      <c r="C159" s="26"/>
      <c r="E159" s="49"/>
      <c r="F159" s="49"/>
      <c r="H159" s="49"/>
      <c r="I159" s="49"/>
      <c r="O159" s="13"/>
      <c r="P159" s="13"/>
      <c r="Q159" s="13"/>
      <c r="R159" s="13"/>
    </row>
    <row r="160" spans="3:18" ht="14.25" customHeight="1" x14ac:dyDescent="0.25">
      <c r="C160" s="26"/>
      <c r="E160" s="49"/>
      <c r="F160" s="49"/>
      <c r="H160" s="49"/>
      <c r="I160" s="49"/>
      <c r="O160" s="13"/>
      <c r="P160" s="13"/>
      <c r="Q160" s="13"/>
      <c r="R160" s="13"/>
    </row>
    <row r="161" spans="3:18" ht="14.25" customHeight="1" x14ac:dyDescent="0.25">
      <c r="C161" s="26"/>
      <c r="E161" s="49"/>
      <c r="F161" s="49"/>
      <c r="H161" s="49"/>
      <c r="I161" s="49"/>
      <c r="O161" s="13"/>
      <c r="P161" s="13"/>
      <c r="Q161" s="13"/>
      <c r="R161" s="13"/>
    </row>
    <row r="162" spans="3:18" ht="14.25" customHeight="1" x14ac:dyDescent="0.25">
      <c r="C162" s="26"/>
      <c r="E162" s="49"/>
      <c r="F162" s="49"/>
      <c r="H162" s="49"/>
      <c r="I162" s="49"/>
      <c r="O162" s="13"/>
      <c r="P162" s="13"/>
      <c r="Q162" s="13"/>
      <c r="R162" s="13"/>
    </row>
    <row r="163" spans="3:18" ht="14.25" customHeight="1" x14ac:dyDescent="0.25">
      <c r="C163" s="26"/>
      <c r="E163" s="49"/>
      <c r="F163" s="49"/>
      <c r="H163" s="49"/>
      <c r="I163" s="49"/>
      <c r="O163" s="13"/>
      <c r="P163" s="13"/>
      <c r="Q163" s="13"/>
      <c r="R163" s="13"/>
    </row>
    <row r="164" spans="3:18" ht="14.25" customHeight="1" x14ac:dyDescent="0.25">
      <c r="C164" s="26"/>
      <c r="E164" s="49"/>
      <c r="F164" s="49"/>
      <c r="H164" s="49"/>
      <c r="I164" s="49"/>
      <c r="O164" s="13"/>
      <c r="P164" s="13"/>
      <c r="Q164" s="13"/>
      <c r="R164" s="13"/>
    </row>
    <row r="165" spans="3:18" ht="14.25" customHeight="1" x14ac:dyDescent="0.25">
      <c r="C165" s="26"/>
      <c r="E165" s="49"/>
      <c r="F165" s="49"/>
      <c r="H165" s="49"/>
      <c r="I165" s="49"/>
      <c r="O165" s="13"/>
      <c r="P165" s="13"/>
      <c r="Q165" s="13"/>
      <c r="R165" s="13"/>
    </row>
    <row r="166" spans="3:18" ht="14.25" customHeight="1" x14ac:dyDescent="0.25">
      <c r="C166" s="26"/>
      <c r="E166" s="49"/>
      <c r="F166" s="49"/>
      <c r="H166" s="49"/>
      <c r="I166" s="49"/>
      <c r="O166" s="13"/>
      <c r="P166" s="13"/>
      <c r="Q166" s="13"/>
      <c r="R166" s="13"/>
    </row>
    <row r="167" spans="3:18" ht="14.25" customHeight="1" x14ac:dyDescent="0.25">
      <c r="C167" s="26"/>
      <c r="E167" s="49"/>
      <c r="F167" s="49"/>
      <c r="H167" s="49"/>
      <c r="I167" s="49"/>
      <c r="O167" s="13"/>
      <c r="P167" s="13"/>
      <c r="Q167" s="13"/>
      <c r="R167" s="13"/>
    </row>
    <row r="168" spans="3:18" ht="14.25" customHeight="1" x14ac:dyDescent="0.25">
      <c r="C168" s="26"/>
      <c r="E168" s="49"/>
      <c r="F168" s="49"/>
      <c r="H168" s="49"/>
      <c r="I168" s="49"/>
      <c r="O168" s="13"/>
      <c r="P168" s="13"/>
      <c r="Q168" s="13"/>
      <c r="R168" s="13"/>
    </row>
    <row r="169" spans="3:18" ht="14.25" customHeight="1" x14ac:dyDescent="0.25">
      <c r="C169" s="26"/>
      <c r="E169" s="49"/>
      <c r="F169" s="49"/>
      <c r="H169" s="49"/>
      <c r="I169" s="49"/>
      <c r="O169" s="13"/>
      <c r="P169" s="13"/>
      <c r="Q169" s="13"/>
      <c r="R169" s="13"/>
    </row>
    <row r="170" spans="3:18" ht="14.25" customHeight="1" x14ac:dyDescent="0.25">
      <c r="C170" s="26"/>
      <c r="E170" s="49"/>
      <c r="F170" s="49"/>
      <c r="H170" s="49"/>
      <c r="I170" s="49"/>
      <c r="O170" s="13"/>
      <c r="P170" s="13"/>
      <c r="Q170" s="13"/>
      <c r="R170" s="13"/>
    </row>
    <row r="171" spans="3:18" ht="14.25" customHeight="1" x14ac:dyDescent="0.25">
      <c r="C171" s="26"/>
      <c r="E171" s="49"/>
      <c r="F171" s="49"/>
      <c r="H171" s="49"/>
      <c r="I171" s="49"/>
      <c r="O171" s="13"/>
      <c r="P171" s="13"/>
      <c r="Q171" s="13"/>
      <c r="R171" s="13"/>
    </row>
    <row r="172" spans="3:18" ht="14.25" customHeight="1" x14ac:dyDescent="0.25">
      <c r="C172" s="26"/>
      <c r="E172" s="49"/>
      <c r="F172" s="49"/>
      <c r="H172" s="49"/>
      <c r="I172" s="49"/>
      <c r="O172" s="13"/>
      <c r="P172" s="13"/>
      <c r="Q172" s="13"/>
      <c r="R172" s="13"/>
    </row>
    <row r="173" spans="3:18" ht="14.25" customHeight="1" x14ac:dyDescent="0.25">
      <c r="C173" s="26"/>
      <c r="E173" s="49"/>
      <c r="F173" s="49"/>
      <c r="H173" s="49"/>
      <c r="I173" s="49"/>
      <c r="O173" s="13"/>
      <c r="P173" s="13"/>
      <c r="Q173" s="13"/>
      <c r="R173" s="13"/>
    </row>
    <row r="174" spans="3:18" ht="14.25" customHeight="1" x14ac:dyDescent="0.25">
      <c r="C174" s="26"/>
      <c r="E174" s="49"/>
      <c r="F174" s="49"/>
      <c r="H174" s="49"/>
      <c r="I174" s="49"/>
      <c r="O174" s="13"/>
      <c r="P174" s="13"/>
      <c r="Q174" s="13"/>
      <c r="R174" s="13"/>
    </row>
    <row r="175" spans="3:18" ht="14.25" customHeight="1" x14ac:dyDescent="0.25">
      <c r="C175" s="26"/>
      <c r="E175" s="49"/>
      <c r="F175" s="49"/>
      <c r="H175" s="49"/>
      <c r="I175" s="49"/>
      <c r="O175" s="13"/>
      <c r="P175" s="13"/>
      <c r="Q175" s="13"/>
      <c r="R175" s="13"/>
    </row>
    <row r="176" spans="3:18" ht="14.25" customHeight="1" x14ac:dyDescent="0.25">
      <c r="C176" s="26"/>
      <c r="E176" s="49"/>
      <c r="F176" s="49"/>
      <c r="H176" s="49"/>
      <c r="I176" s="49"/>
      <c r="O176" s="13"/>
      <c r="P176" s="13"/>
      <c r="Q176" s="13"/>
      <c r="R176" s="13"/>
    </row>
    <row r="177" spans="3:18" ht="14.25" customHeight="1" x14ac:dyDescent="0.25">
      <c r="C177" s="26"/>
      <c r="E177" s="49"/>
      <c r="F177" s="49"/>
      <c r="H177" s="49"/>
      <c r="I177" s="49"/>
      <c r="O177" s="13"/>
      <c r="P177" s="13"/>
      <c r="Q177" s="13"/>
      <c r="R177" s="13"/>
    </row>
    <row r="178" spans="3:18" ht="14.25" customHeight="1" x14ac:dyDescent="0.25">
      <c r="C178" s="26"/>
      <c r="E178" s="49"/>
      <c r="F178" s="49"/>
      <c r="H178" s="49"/>
      <c r="I178" s="49"/>
      <c r="O178" s="13"/>
      <c r="P178" s="13"/>
      <c r="Q178" s="13"/>
      <c r="R178" s="13"/>
    </row>
    <row r="179" spans="3:18" ht="14.25" customHeight="1" x14ac:dyDescent="0.25">
      <c r="C179" s="26"/>
      <c r="E179" s="49"/>
      <c r="F179" s="49"/>
      <c r="H179" s="49"/>
      <c r="I179" s="49"/>
      <c r="O179" s="13"/>
      <c r="P179" s="13"/>
      <c r="Q179" s="13"/>
      <c r="R179" s="13"/>
    </row>
    <row r="180" spans="3:18" ht="14.25" customHeight="1" x14ac:dyDescent="0.25">
      <c r="C180" s="26"/>
      <c r="E180" s="49"/>
      <c r="F180" s="49"/>
      <c r="H180" s="49"/>
      <c r="I180" s="49"/>
      <c r="O180" s="13"/>
      <c r="P180" s="13"/>
      <c r="Q180" s="13"/>
      <c r="R180" s="13"/>
    </row>
    <row r="181" spans="3:18" ht="14.25" customHeight="1" x14ac:dyDescent="0.25">
      <c r="C181" s="26"/>
      <c r="E181" s="49"/>
      <c r="F181" s="49"/>
      <c r="H181" s="49"/>
      <c r="I181" s="49"/>
      <c r="O181" s="13"/>
      <c r="P181" s="13"/>
      <c r="Q181" s="13"/>
      <c r="R181" s="13"/>
    </row>
    <row r="182" spans="3:18" ht="14.25" customHeight="1" x14ac:dyDescent="0.25">
      <c r="C182" s="26"/>
      <c r="E182" s="49"/>
      <c r="F182" s="49"/>
      <c r="H182" s="49"/>
      <c r="I182" s="49"/>
      <c r="O182" s="13"/>
      <c r="P182" s="13"/>
      <c r="Q182" s="13"/>
      <c r="R182" s="13"/>
    </row>
    <row r="183" spans="3:18" ht="14.25" customHeight="1" x14ac:dyDescent="0.25">
      <c r="C183" s="26"/>
      <c r="E183" s="49"/>
      <c r="F183" s="49"/>
      <c r="H183" s="49"/>
      <c r="I183" s="49"/>
      <c r="O183" s="13"/>
      <c r="P183" s="13"/>
      <c r="Q183" s="13"/>
      <c r="R183" s="13"/>
    </row>
    <row r="184" spans="3:18" ht="14.25" customHeight="1" x14ac:dyDescent="0.25">
      <c r="C184" s="26"/>
      <c r="E184" s="49"/>
      <c r="F184" s="49"/>
      <c r="H184" s="49"/>
      <c r="I184" s="49"/>
      <c r="O184" s="13"/>
      <c r="P184" s="13"/>
      <c r="Q184" s="13"/>
      <c r="R184" s="13"/>
    </row>
    <row r="185" spans="3:18" ht="14.25" customHeight="1" x14ac:dyDescent="0.25">
      <c r="C185" s="26"/>
      <c r="E185" s="49"/>
      <c r="F185" s="49"/>
      <c r="H185" s="49"/>
      <c r="I185" s="49"/>
      <c r="O185" s="13"/>
      <c r="P185" s="13"/>
      <c r="Q185" s="13"/>
      <c r="R185" s="13"/>
    </row>
    <row r="186" spans="3:18" ht="14.25" customHeight="1" x14ac:dyDescent="0.25">
      <c r="C186" s="26"/>
      <c r="E186" s="49"/>
      <c r="F186" s="49"/>
      <c r="H186" s="49"/>
      <c r="I186" s="49"/>
      <c r="O186" s="13"/>
      <c r="P186" s="13"/>
      <c r="Q186" s="13"/>
      <c r="R186" s="13"/>
    </row>
    <row r="187" spans="3:18" ht="14.25" customHeight="1" x14ac:dyDescent="0.25">
      <c r="C187" s="26"/>
      <c r="E187" s="49"/>
      <c r="F187" s="49"/>
      <c r="H187" s="49"/>
      <c r="I187" s="49"/>
      <c r="O187" s="13"/>
      <c r="P187" s="13"/>
      <c r="Q187" s="13"/>
      <c r="R187" s="13"/>
    </row>
    <row r="188" spans="3:18" ht="14.25" customHeight="1" x14ac:dyDescent="0.25">
      <c r="C188" s="26"/>
      <c r="E188" s="49"/>
      <c r="F188" s="49"/>
      <c r="H188" s="49"/>
      <c r="I188" s="49"/>
      <c r="O188" s="13"/>
      <c r="P188" s="13"/>
      <c r="Q188" s="13"/>
      <c r="R188" s="13"/>
    </row>
    <row r="189" spans="3:18" ht="14.25" customHeight="1" x14ac:dyDescent="0.25">
      <c r="C189" s="26"/>
      <c r="E189" s="49"/>
      <c r="F189" s="49"/>
      <c r="H189" s="49"/>
      <c r="I189" s="49"/>
      <c r="O189" s="13"/>
      <c r="P189" s="13"/>
      <c r="Q189" s="13"/>
      <c r="R189" s="13"/>
    </row>
    <row r="190" spans="3:18" ht="14.25" customHeight="1" x14ac:dyDescent="0.25">
      <c r="C190" s="26"/>
      <c r="E190" s="49"/>
      <c r="F190" s="49"/>
      <c r="H190" s="49"/>
      <c r="I190" s="49"/>
      <c r="O190" s="13"/>
      <c r="P190" s="13"/>
      <c r="Q190" s="13"/>
      <c r="R190" s="13"/>
    </row>
    <row r="191" spans="3:18" ht="14.25" customHeight="1" x14ac:dyDescent="0.25">
      <c r="C191" s="26"/>
      <c r="E191" s="49"/>
      <c r="F191" s="49"/>
      <c r="H191" s="49"/>
      <c r="I191" s="49"/>
      <c r="O191" s="13"/>
      <c r="P191" s="13"/>
      <c r="Q191" s="13"/>
      <c r="R191" s="13"/>
    </row>
    <row r="192" spans="3:18" ht="14.25" customHeight="1" x14ac:dyDescent="0.25">
      <c r="C192" s="26"/>
      <c r="E192" s="49"/>
      <c r="F192" s="49"/>
      <c r="H192" s="49"/>
      <c r="I192" s="49"/>
      <c r="O192" s="13"/>
      <c r="P192" s="13"/>
      <c r="Q192" s="13"/>
      <c r="R192" s="13"/>
    </row>
    <row r="193" spans="3:18" ht="14.25" customHeight="1" x14ac:dyDescent="0.25">
      <c r="C193" s="26"/>
      <c r="E193" s="49"/>
      <c r="F193" s="49"/>
      <c r="H193" s="49"/>
      <c r="I193" s="49"/>
      <c r="O193" s="13"/>
      <c r="P193" s="13"/>
      <c r="Q193" s="13"/>
      <c r="R193" s="13"/>
    </row>
    <row r="194" spans="3:18" ht="14.25" customHeight="1" x14ac:dyDescent="0.25">
      <c r="C194" s="26"/>
      <c r="E194" s="49"/>
      <c r="F194" s="49"/>
      <c r="H194" s="49"/>
      <c r="I194" s="49"/>
      <c r="O194" s="13"/>
      <c r="P194" s="13"/>
      <c r="Q194" s="13"/>
      <c r="R194" s="13"/>
    </row>
    <row r="195" spans="3:18" ht="14.25" customHeight="1" x14ac:dyDescent="0.25">
      <c r="C195" s="26"/>
      <c r="E195" s="49"/>
      <c r="F195" s="49"/>
      <c r="H195" s="49"/>
      <c r="I195" s="49"/>
      <c r="O195" s="13"/>
      <c r="P195" s="13"/>
      <c r="Q195" s="13"/>
      <c r="R195" s="13"/>
    </row>
    <row r="196" spans="3:18" ht="14.25" customHeight="1" x14ac:dyDescent="0.25">
      <c r="C196" s="26"/>
      <c r="E196" s="49"/>
      <c r="F196" s="49"/>
      <c r="H196" s="49"/>
      <c r="I196" s="49"/>
      <c r="O196" s="13"/>
      <c r="P196" s="13"/>
      <c r="Q196" s="13"/>
      <c r="R196" s="13"/>
    </row>
    <row r="197" spans="3:18" ht="14.25" customHeight="1" x14ac:dyDescent="0.25">
      <c r="C197" s="26"/>
      <c r="E197" s="49"/>
      <c r="F197" s="49"/>
      <c r="H197" s="49"/>
      <c r="I197" s="49"/>
      <c r="O197" s="13"/>
      <c r="P197" s="13"/>
      <c r="Q197" s="13"/>
      <c r="R197" s="13"/>
    </row>
    <row r="198" spans="3:18" ht="14.25" customHeight="1" x14ac:dyDescent="0.25">
      <c r="C198" s="26"/>
      <c r="E198" s="49"/>
      <c r="F198" s="49"/>
      <c r="H198" s="49"/>
      <c r="I198" s="49"/>
      <c r="O198" s="13"/>
      <c r="P198" s="13"/>
      <c r="Q198" s="13"/>
      <c r="R198" s="13"/>
    </row>
    <row r="199" spans="3:18" ht="14.25" customHeight="1" x14ac:dyDescent="0.25">
      <c r="C199" s="26"/>
      <c r="E199" s="49"/>
      <c r="F199" s="49"/>
      <c r="H199" s="49"/>
      <c r="I199" s="49"/>
      <c r="O199" s="13"/>
      <c r="P199" s="13"/>
      <c r="Q199" s="13"/>
      <c r="R199" s="13"/>
    </row>
    <row r="200" spans="3:18" ht="14.25" customHeight="1" x14ac:dyDescent="0.25">
      <c r="C200" s="26"/>
      <c r="E200" s="49"/>
      <c r="F200" s="49"/>
      <c r="H200" s="49"/>
      <c r="I200" s="49"/>
      <c r="O200" s="13"/>
      <c r="P200" s="13"/>
      <c r="Q200" s="13"/>
      <c r="R200" s="13"/>
    </row>
    <row r="201" spans="3:18" ht="14.25" customHeight="1" x14ac:dyDescent="0.25">
      <c r="C201" s="26"/>
      <c r="E201" s="49"/>
      <c r="F201" s="49"/>
      <c r="H201" s="49"/>
      <c r="I201" s="49"/>
      <c r="O201" s="13"/>
      <c r="P201" s="13"/>
      <c r="Q201" s="13"/>
      <c r="R201" s="13"/>
    </row>
    <row r="202" spans="3:18" ht="14.25" customHeight="1" x14ac:dyDescent="0.25">
      <c r="C202" s="26"/>
      <c r="E202" s="49"/>
      <c r="F202" s="49"/>
      <c r="H202" s="49"/>
      <c r="I202" s="49"/>
      <c r="O202" s="13"/>
      <c r="P202" s="13"/>
      <c r="Q202" s="13"/>
      <c r="R202" s="13"/>
    </row>
    <row r="203" spans="3:18" ht="14.25" customHeight="1" x14ac:dyDescent="0.25">
      <c r="C203" s="26"/>
      <c r="E203" s="49"/>
      <c r="F203" s="49"/>
      <c r="H203" s="49"/>
      <c r="I203" s="49"/>
      <c r="O203" s="13"/>
      <c r="P203" s="13"/>
      <c r="Q203" s="13"/>
      <c r="R203" s="13"/>
    </row>
    <row r="204" spans="3:18" ht="14.25" customHeight="1" x14ac:dyDescent="0.25">
      <c r="C204" s="26"/>
      <c r="E204" s="49"/>
      <c r="F204" s="49"/>
      <c r="H204" s="49"/>
      <c r="I204" s="49"/>
      <c r="O204" s="13"/>
      <c r="P204" s="13"/>
      <c r="Q204" s="13"/>
      <c r="R204" s="13"/>
    </row>
    <row r="205" spans="3:18" ht="14.25" customHeight="1" x14ac:dyDescent="0.25">
      <c r="C205" s="26"/>
      <c r="E205" s="49"/>
      <c r="F205" s="49"/>
      <c r="H205" s="49"/>
      <c r="I205" s="49"/>
      <c r="O205" s="13"/>
      <c r="P205" s="13"/>
      <c r="Q205" s="13"/>
      <c r="R205" s="13"/>
    </row>
    <row r="206" spans="3:18" ht="14.25" customHeight="1" x14ac:dyDescent="0.25">
      <c r="C206" s="26"/>
      <c r="E206" s="49"/>
      <c r="F206" s="49"/>
      <c r="H206" s="49"/>
      <c r="I206" s="49"/>
      <c r="O206" s="13"/>
      <c r="P206" s="13"/>
      <c r="Q206" s="13"/>
      <c r="R206" s="13"/>
    </row>
    <row r="207" spans="3:18" ht="14.25" customHeight="1" x14ac:dyDescent="0.25">
      <c r="C207" s="26"/>
      <c r="E207" s="49"/>
      <c r="F207" s="49"/>
      <c r="H207" s="49"/>
      <c r="I207" s="49"/>
      <c r="O207" s="13"/>
      <c r="P207" s="13"/>
      <c r="Q207" s="13"/>
      <c r="R207" s="13"/>
    </row>
    <row r="208" spans="3:18" ht="14.25" customHeight="1" x14ac:dyDescent="0.25">
      <c r="C208" s="26"/>
      <c r="E208" s="49"/>
      <c r="F208" s="49"/>
      <c r="H208" s="49"/>
      <c r="I208" s="49"/>
      <c r="O208" s="13"/>
      <c r="P208" s="13"/>
      <c r="Q208" s="13"/>
      <c r="R208" s="13"/>
    </row>
    <row r="209" spans="3:18" ht="14.25" customHeight="1" x14ac:dyDescent="0.25">
      <c r="C209" s="26"/>
      <c r="E209" s="49"/>
      <c r="F209" s="49"/>
      <c r="H209" s="49"/>
      <c r="I209" s="49"/>
      <c r="O209" s="13"/>
      <c r="P209" s="13"/>
      <c r="Q209" s="13"/>
      <c r="R209" s="13"/>
    </row>
    <row r="210" spans="3:18" ht="14.25" customHeight="1" x14ac:dyDescent="0.25">
      <c r="C210" s="26"/>
      <c r="E210" s="49"/>
      <c r="F210" s="49"/>
      <c r="H210" s="49"/>
      <c r="I210" s="49"/>
      <c r="O210" s="13"/>
      <c r="P210" s="13"/>
      <c r="Q210" s="13"/>
      <c r="R210" s="13"/>
    </row>
    <row r="211" spans="3:18" ht="14.25" customHeight="1" x14ac:dyDescent="0.25">
      <c r="C211" s="26"/>
      <c r="E211" s="49"/>
      <c r="F211" s="49"/>
      <c r="H211" s="49"/>
      <c r="I211" s="49"/>
      <c r="O211" s="13"/>
      <c r="P211" s="13"/>
      <c r="Q211" s="13"/>
      <c r="R211" s="13"/>
    </row>
    <row r="212" spans="3:18" ht="14.25" customHeight="1" x14ac:dyDescent="0.25">
      <c r="C212" s="26"/>
      <c r="E212" s="49"/>
      <c r="F212" s="49"/>
      <c r="H212" s="49"/>
      <c r="I212" s="49"/>
      <c r="O212" s="13"/>
      <c r="P212" s="13"/>
      <c r="Q212" s="13"/>
      <c r="R212" s="13"/>
    </row>
    <row r="213" spans="3:18" ht="14.25" customHeight="1" x14ac:dyDescent="0.25">
      <c r="C213" s="26"/>
      <c r="E213" s="49"/>
      <c r="F213" s="49"/>
      <c r="H213" s="49"/>
      <c r="I213" s="49"/>
      <c r="O213" s="13"/>
      <c r="P213" s="13"/>
      <c r="Q213" s="13"/>
      <c r="R213" s="13"/>
    </row>
    <row r="214" spans="3:18" ht="14.25" customHeight="1" x14ac:dyDescent="0.25">
      <c r="C214" s="26"/>
      <c r="E214" s="49"/>
      <c r="F214" s="49"/>
      <c r="H214" s="49"/>
      <c r="I214" s="49"/>
      <c r="O214" s="13"/>
      <c r="P214" s="13"/>
      <c r="Q214" s="13"/>
      <c r="R214" s="13"/>
    </row>
    <row r="215" spans="3:18" ht="14.25" customHeight="1" x14ac:dyDescent="0.25">
      <c r="C215" s="26"/>
      <c r="E215" s="49"/>
      <c r="F215" s="49"/>
      <c r="H215" s="49"/>
      <c r="I215" s="49"/>
      <c r="O215" s="13"/>
      <c r="P215" s="13"/>
      <c r="Q215" s="13"/>
      <c r="R215" s="13"/>
    </row>
    <row r="216" spans="3:18" ht="14.25" customHeight="1" x14ac:dyDescent="0.25">
      <c r="C216" s="26"/>
      <c r="E216" s="49"/>
      <c r="F216" s="49"/>
      <c r="H216" s="49"/>
      <c r="I216" s="49"/>
      <c r="O216" s="13"/>
      <c r="P216" s="13"/>
      <c r="Q216" s="13"/>
      <c r="R216" s="13"/>
    </row>
    <row r="217" spans="3:18" ht="14.25" customHeight="1" x14ac:dyDescent="0.25">
      <c r="C217" s="26"/>
      <c r="E217" s="49"/>
      <c r="F217" s="49"/>
      <c r="H217" s="49"/>
      <c r="I217" s="49"/>
      <c r="O217" s="13"/>
      <c r="P217" s="13"/>
      <c r="Q217" s="13"/>
      <c r="R217" s="13"/>
    </row>
    <row r="218" spans="3:18" ht="14.25" customHeight="1" x14ac:dyDescent="0.25">
      <c r="C218" s="26"/>
      <c r="E218" s="49"/>
      <c r="F218" s="49"/>
      <c r="H218" s="49"/>
      <c r="I218" s="49"/>
      <c r="O218" s="13"/>
      <c r="P218" s="13"/>
      <c r="Q218" s="13"/>
      <c r="R218" s="13"/>
    </row>
    <row r="219" spans="3:18" ht="14.25" customHeight="1" x14ac:dyDescent="0.25">
      <c r="C219" s="26"/>
      <c r="E219" s="49"/>
      <c r="F219" s="49"/>
      <c r="H219" s="49"/>
      <c r="I219" s="49"/>
      <c r="O219" s="13"/>
      <c r="P219" s="13"/>
      <c r="Q219" s="13"/>
      <c r="R219" s="13"/>
    </row>
    <row r="220" spans="3:18" ht="14.25" customHeight="1" x14ac:dyDescent="0.25">
      <c r="C220" s="26"/>
      <c r="E220" s="49"/>
      <c r="F220" s="49"/>
      <c r="H220" s="49"/>
      <c r="I220" s="49"/>
      <c r="O220" s="13"/>
      <c r="P220" s="13"/>
      <c r="Q220" s="13"/>
      <c r="R220" s="13"/>
    </row>
    <row r="221" spans="3:18" ht="14.25" customHeight="1" x14ac:dyDescent="0.25">
      <c r="C221" s="26"/>
      <c r="E221" s="49"/>
      <c r="F221" s="49"/>
      <c r="H221" s="49"/>
      <c r="I221" s="49"/>
      <c r="O221" s="13"/>
      <c r="P221" s="13"/>
      <c r="Q221" s="13"/>
      <c r="R221" s="13"/>
    </row>
    <row r="222" spans="3:18" ht="14.25" customHeight="1" x14ac:dyDescent="0.25">
      <c r="C222" s="26"/>
      <c r="E222" s="49"/>
      <c r="F222" s="49"/>
      <c r="H222" s="49"/>
      <c r="I222" s="49"/>
      <c r="O222" s="13"/>
      <c r="P222" s="13"/>
      <c r="Q222" s="13"/>
      <c r="R222" s="13"/>
    </row>
    <row r="223" spans="3:18" ht="14.25" customHeight="1" x14ac:dyDescent="0.25">
      <c r="C223" s="26"/>
      <c r="E223" s="49"/>
      <c r="F223" s="49"/>
      <c r="H223" s="49"/>
      <c r="I223" s="49"/>
      <c r="O223" s="13"/>
      <c r="P223" s="13"/>
      <c r="Q223" s="13"/>
      <c r="R223" s="13"/>
    </row>
    <row r="224" spans="3:18" ht="14.25" customHeight="1" x14ac:dyDescent="0.25">
      <c r="C224" s="26"/>
      <c r="E224" s="49"/>
      <c r="F224" s="49"/>
      <c r="H224" s="49"/>
      <c r="I224" s="49"/>
      <c r="O224" s="13"/>
      <c r="P224" s="13"/>
      <c r="Q224" s="13"/>
      <c r="R224" s="13"/>
    </row>
    <row r="225" spans="3:18" ht="14.25" customHeight="1" x14ac:dyDescent="0.25">
      <c r="C225" s="26"/>
      <c r="E225" s="49"/>
      <c r="F225" s="49"/>
      <c r="H225" s="49"/>
      <c r="I225" s="49"/>
      <c r="O225" s="13"/>
      <c r="P225" s="13"/>
      <c r="Q225" s="13"/>
      <c r="R225" s="13"/>
    </row>
    <row r="226" spans="3:18" ht="14.25" customHeight="1" x14ac:dyDescent="0.25">
      <c r="C226" s="26"/>
      <c r="E226" s="49"/>
      <c r="F226" s="49"/>
      <c r="H226" s="49"/>
      <c r="I226" s="49"/>
      <c r="O226" s="13"/>
      <c r="P226" s="13"/>
      <c r="Q226" s="13"/>
      <c r="R226" s="13"/>
    </row>
    <row r="227" spans="3:18" ht="14.25" customHeight="1" x14ac:dyDescent="0.25">
      <c r="C227" s="26"/>
      <c r="E227" s="49"/>
      <c r="F227" s="49"/>
      <c r="H227" s="49"/>
      <c r="I227" s="49"/>
      <c r="O227" s="13"/>
      <c r="P227" s="13"/>
      <c r="Q227" s="13"/>
      <c r="R227" s="13"/>
    </row>
    <row r="228" spans="3:18" ht="14.25" customHeight="1" x14ac:dyDescent="0.25">
      <c r="C228" s="26"/>
      <c r="E228" s="49"/>
      <c r="F228" s="49"/>
      <c r="H228" s="49"/>
      <c r="I228" s="49"/>
      <c r="O228" s="13"/>
      <c r="P228" s="13"/>
      <c r="Q228" s="13"/>
      <c r="R228" s="13"/>
    </row>
    <row r="229" spans="3:18" ht="14.25" customHeight="1" x14ac:dyDescent="0.25">
      <c r="C229" s="26"/>
      <c r="E229" s="49"/>
      <c r="F229" s="49"/>
      <c r="H229" s="49"/>
      <c r="I229" s="49"/>
      <c r="O229" s="13"/>
      <c r="P229" s="13"/>
      <c r="Q229" s="13"/>
      <c r="R229" s="13"/>
    </row>
    <row r="230" spans="3:18" ht="14.25" customHeight="1" x14ac:dyDescent="0.25">
      <c r="C230" s="26"/>
      <c r="E230" s="49"/>
      <c r="F230" s="49"/>
      <c r="H230" s="49"/>
      <c r="I230" s="49"/>
      <c r="O230" s="13"/>
      <c r="P230" s="13"/>
      <c r="Q230" s="13"/>
      <c r="R230" s="13"/>
    </row>
    <row r="231" spans="3:18" ht="14.25" customHeight="1" x14ac:dyDescent="0.25">
      <c r="C231" s="26"/>
      <c r="E231" s="49"/>
      <c r="F231" s="49"/>
      <c r="H231" s="49"/>
      <c r="I231" s="49"/>
      <c r="O231" s="13"/>
      <c r="P231" s="13"/>
      <c r="Q231" s="13"/>
      <c r="R231" s="13"/>
    </row>
    <row r="232" spans="3:18" ht="14.25" customHeight="1" x14ac:dyDescent="0.25">
      <c r="C232" s="26"/>
      <c r="E232" s="49"/>
      <c r="F232" s="49"/>
      <c r="H232" s="49"/>
      <c r="I232" s="49"/>
      <c r="O232" s="13"/>
      <c r="P232" s="13"/>
      <c r="Q232" s="13"/>
      <c r="R232" s="13"/>
    </row>
    <row r="233" spans="3:18" ht="14.25" customHeight="1" x14ac:dyDescent="0.25">
      <c r="C233" s="26"/>
      <c r="E233" s="49"/>
      <c r="F233" s="49"/>
      <c r="H233" s="49"/>
      <c r="I233" s="49"/>
      <c r="O233" s="13"/>
      <c r="P233" s="13"/>
      <c r="Q233" s="13"/>
      <c r="R233" s="13"/>
    </row>
    <row r="234" spans="3:18" ht="14.25" customHeight="1" x14ac:dyDescent="0.25">
      <c r="C234" s="26"/>
      <c r="E234" s="49"/>
      <c r="F234" s="49"/>
      <c r="H234" s="49"/>
      <c r="I234" s="49"/>
      <c r="O234" s="13"/>
      <c r="P234" s="13"/>
      <c r="Q234" s="13"/>
      <c r="R234" s="13"/>
    </row>
    <row r="235" spans="3:18" ht="14.25" customHeight="1" x14ac:dyDescent="0.25">
      <c r="C235" s="26"/>
      <c r="E235" s="49"/>
      <c r="F235" s="49"/>
      <c r="H235" s="49"/>
      <c r="I235" s="49"/>
      <c r="O235" s="13"/>
      <c r="P235" s="13"/>
      <c r="Q235" s="13"/>
      <c r="R235" s="13"/>
    </row>
    <row r="236" spans="3:18" ht="14.25" customHeight="1" x14ac:dyDescent="0.25">
      <c r="C236" s="26"/>
      <c r="E236" s="49"/>
      <c r="F236" s="49"/>
      <c r="H236" s="49"/>
      <c r="I236" s="49"/>
      <c r="O236" s="13"/>
      <c r="P236" s="13"/>
      <c r="Q236" s="13"/>
      <c r="R236" s="13"/>
    </row>
    <row r="237" spans="3:18" ht="14.25" customHeight="1" x14ac:dyDescent="0.25">
      <c r="C237" s="26"/>
      <c r="E237" s="49"/>
      <c r="F237" s="49"/>
      <c r="H237" s="49"/>
      <c r="I237" s="49"/>
      <c r="O237" s="13"/>
      <c r="P237" s="13"/>
      <c r="Q237" s="13"/>
      <c r="R237" s="13"/>
    </row>
    <row r="238" spans="3:18" ht="14.25" customHeight="1" x14ac:dyDescent="0.25">
      <c r="C238" s="26"/>
      <c r="E238" s="49"/>
      <c r="F238" s="49"/>
      <c r="H238" s="49"/>
      <c r="I238" s="49"/>
      <c r="O238" s="13"/>
      <c r="P238" s="13"/>
      <c r="Q238" s="13"/>
      <c r="R238" s="13"/>
    </row>
    <row r="239" spans="3:18" ht="14.25" customHeight="1" x14ac:dyDescent="0.25">
      <c r="C239" s="26"/>
      <c r="E239" s="49"/>
      <c r="F239" s="49"/>
      <c r="H239" s="49"/>
      <c r="I239" s="49"/>
      <c r="O239" s="13"/>
      <c r="P239" s="13"/>
      <c r="Q239" s="13"/>
      <c r="R239" s="13"/>
    </row>
    <row r="240" spans="3:18" ht="14.25" customHeight="1" x14ac:dyDescent="0.25">
      <c r="C240" s="26"/>
      <c r="E240" s="49"/>
      <c r="F240" s="49"/>
      <c r="H240" s="49"/>
      <c r="I240" s="49"/>
      <c r="O240" s="13"/>
      <c r="P240" s="13"/>
      <c r="Q240" s="13"/>
      <c r="R240" s="13"/>
    </row>
    <row r="241" spans="3:18" ht="14.25" customHeight="1" x14ac:dyDescent="0.25">
      <c r="C241" s="26"/>
      <c r="E241" s="49"/>
      <c r="F241" s="49"/>
      <c r="H241" s="49"/>
      <c r="I241" s="49"/>
      <c r="O241" s="13"/>
      <c r="P241" s="13"/>
      <c r="Q241" s="13"/>
      <c r="R241" s="13"/>
    </row>
    <row r="242" spans="3:18" ht="14.25" customHeight="1" x14ac:dyDescent="0.25">
      <c r="C242" s="26"/>
      <c r="E242" s="49"/>
      <c r="F242" s="49"/>
      <c r="H242" s="49"/>
      <c r="I242" s="49"/>
      <c r="O242" s="13"/>
      <c r="P242" s="13"/>
      <c r="Q242" s="13"/>
      <c r="R242" s="13"/>
    </row>
    <row r="243" spans="3:18" ht="14.25" customHeight="1" x14ac:dyDescent="0.25">
      <c r="C243" s="26"/>
      <c r="E243" s="49"/>
      <c r="F243" s="49"/>
      <c r="H243" s="49"/>
      <c r="I243" s="49"/>
      <c r="O243" s="13"/>
      <c r="P243" s="13"/>
      <c r="Q243" s="13"/>
      <c r="R243" s="13"/>
    </row>
    <row r="244" spans="3:18" ht="14.25" customHeight="1" x14ac:dyDescent="0.25">
      <c r="C244" s="26"/>
      <c r="E244" s="49"/>
      <c r="F244" s="49"/>
      <c r="H244" s="49"/>
      <c r="I244" s="49"/>
      <c r="O244" s="13"/>
      <c r="P244" s="13"/>
      <c r="Q244" s="13"/>
      <c r="R244" s="13"/>
    </row>
    <row r="245" spans="3:18" ht="14.25" customHeight="1" x14ac:dyDescent="0.25">
      <c r="C245" s="26"/>
      <c r="E245" s="49"/>
      <c r="F245" s="49"/>
      <c r="H245" s="49"/>
      <c r="I245" s="49"/>
      <c r="O245" s="13"/>
      <c r="P245" s="13"/>
      <c r="Q245" s="13"/>
      <c r="R245" s="13"/>
    </row>
    <row r="246" spans="3:18" ht="14.25" customHeight="1" x14ac:dyDescent="0.25">
      <c r="C246" s="26"/>
      <c r="E246" s="49"/>
      <c r="F246" s="49"/>
      <c r="H246" s="49"/>
      <c r="I246" s="49"/>
      <c r="O246" s="13"/>
      <c r="P246" s="13"/>
      <c r="Q246" s="13"/>
      <c r="R246" s="13"/>
    </row>
    <row r="247" spans="3:18" ht="14.25" customHeight="1" x14ac:dyDescent="0.25">
      <c r="C247" s="26"/>
      <c r="E247" s="49"/>
      <c r="F247" s="49"/>
      <c r="H247" s="49"/>
      <c r="I247" s="49"/>
      <c r="O247" s="13"/>
      <c r="P247" s="13"/>
      <c r="Q247" s="13"/>
      <c r="R247" s="13"/>
    </row>
    <row r="248" spans="3:18" ht="14.25" customHeight="1" x14ac:dyDescent="0.25">
      <c r="C248" s="26"/>
      <c r="E248" s="49"/>
      <c r="F248" s="49"/>
      <c r="H248" s="49"/>
      <c r="I248" s="49"/>
      <c r="O248" s="13"/>
      <c r="P248" s="13"/>
      <c r="Q248" s="13"/>
      <c r="R248" s="13"/>
    </row>
    <row r="249" spans="3:18" ht="14.25" customHeight="1" x14ac:dyDescent="0.25">
      <c r="C249" s="26"/>
      <c r="E249" s="49"/>
      <c r="F249" s="49"/>
      <c r="H249" s="49"/>
      <c r="I249" s="49"/>
      <c r="O249" s="13"/>
      <c r="P249" s="13"/>
      <c r="Q249" s="13"/>
      <c r="R249" s="13"/>
    </row>
    <row r="250" spans="3:18" ht="14.25" customHeight="1" x14ac:dyDescent="0.25">
      <c r="C250" s="26"/>
      <c r="E250" s="49"/>
      <c r="F250" s="49"/>
      <c r="H250" s="49"/>
      <c r="I250" s="49"/>
      <c r="O250" s="13"/>
      <c r="P250" s="13"/>
      <c r="Q250" s="13"/>
      <c r="R250" s="13"/>
    </row>
    <row r="251" spans="3:18" ht="14.25" customHeight="1" x14ac:dyDescent="0.25">
      <c r="C251" s="26"/>
      <c r="E251" s="49"/>
      <c r="F251" s="49"/>
      <c r="H251" s="49"/>
      <c r="I251" s="49"/>
      <c r="O251" s="13"/>
      <c r="P251" s="13"/>
      <c r="Q251" s="13"/>
      <c r="R251" s="13"/>
    </row>
    <row r="252" spans="3:18" ht="14.25" customHeight="1" x14ac:dyDescent="0.25">
      <c r="C252" s="26"/>
      <c r="E252" s="49"/>
      <c r="F252" s="49"/>
      <c r="H252" s="49"/>
      <c r="I252" s="49"/>
      <c r="O252" s="13"/>
      <c r="P252" s="13"/>
      <c r="Q252" s="13"/>
      <c r="R252" s="13"/>
    </row>
    <row r="253" spans="3:18" ht="14.25" customHeight="1" x14ac:dyDescent="0.25">
      <c r="C253" s="26"/>
      <c r="E253" s="49"/>
      <c r="F253" s="49"/>
      <c r="H253" s="49"/>
      <c r="I253" s="49"/>
      <c r="O253" s="13"/>
      <c r="P253" s="13"/>
      <c r="Q253" s="13"/>
      <c r="R253" s="13"/>
    </row>
    <row r="254" spans="3:18" ht="15.75" customHeight="1" x14ac:dyDescent="0.25">
      <c r="C254" s="26"/>
      <c r="O254" s="13"/>
      <c r="P254" s="13"/>
      <c r="Q254" s="13"/>
      <c r="R254" s="13"/>
    </row>
    <row r="255" spans="3:18" ht="15.75" customHeight="1" x14ac:dyDescent="0.25">
      <c r="C255" s="26"/>
      <c r="O255" s="13"/>
      <c r="P255" s="13"/>
      <c r="Q255" s="13"/>
      <c r="R255" s="13"/>
    </row>
    <row r="256" spans="3:18" ht="15.75" customHeight="1" x14ac:dyDescent="0.25">
      <c r="C256" s="26"/>
      <c r="O256" s="13"/>
      <c r="P256" s="13"/>
      <c r="Q256" s="13"/>
      <c r="R256" s="13"/>
    </row>
    <row r="257" spans="3:18" ht="15.75" customHeight="1" x14ac:dyDescent="0.25">
      <c r="C257" s="26"/>
      <c r="O257" s="13"/>
      <c r="P257" s="13"/>
      <c r="Q257" s="13"/>
      <c r="R257" s="13"/>
    </row>
    <row r="258" spans="3:18" ht="15.75" customHeight="1" x14ac:dyDescent="0.25">
      <c r="C258" s="26"/>
      <c r="O258" s="13"/>
      <c r="P258" s="13"/>
      <c r="Q258" s="13"/>
      <c r="R258" s="13"/>
    </row>
    <row r="259" spans="3:18" ht="15.75" customHeight="1" x14ac:dyDescent="0.25">
      <c r="C259" s="26"/>
      <c r="O259" s="13"/>
      <c r="P259" s="13"/>
      <c r="Q259" s="13"/>
      <c r="R259" s="13"/>
    </row>
    <row r="260" spans="3:18" ht="15.75" customHeight="1" x14ac:dyDescent="0.25">
      <c r="C260" s="26"/>
      <c r="O260" s="13"/>
      <c r="P260" s="13"/>
      <c r="Q260" s="13"/>
      <c r="R260" s="13"/>
    </row>
    <row r="261" spans="3:18" ht="15.75" customHeight="1" x14ac:dyDescent="0.25">
      <c r="C261" s="26"/>
      <c r="O261" s="13"/>
      <c r="P261" s="13"/>
      <c r="Q261" s="13"/>
      <c r="R261" s="13"/>
    </row>
    <row r="262" spans="3:18" ht="15.75" customHeight="1" x14ac:dyDescent="0.25">
      <c r="C262" s="26"/>
      <c r="O262" s="13"/>
      <c r="P262" s="13"/>
      <c r="Q262" s="13"/>
      <c r="R262" s="13"/>
    </row>
    <row r="263" spans="3:18" ht="15.75" customHeight="1" x14ac:dyDescent="0.25">
      <c r="C263" s="26"/>
      <c r="O263" s="13"/>
      <c r="P263" s="13"/>
      <c r="Q263" s="13"/>
      <c r="R263" s="13"/>
    </row>
    <row r="264" spans="3:18" ht="15.75" customHeight="1" x14ac:dyDescent="0.25">
      <c r="C264" s="26"/>
      <c r="O264" s="13"/>
      <c r="P264" s="13"/>
      <c r="Q264" s="13"/>
      <c r="R264" s="13"/>
    </row>
    <row r="265" spans="3:18" ht="15.75" customHeight="1" x14ac:dyDescent="0.25">
      <c r="C265" s="26"/>
      <c r="O265" s="13"/>
      <c r="P265" s="13"/>
      <c r="Q265" s="13"/>
      <c r="R265" s="13"/>
    </row>
    <row r="266" spans="3:18" ht="15.75" customHeight="1" x14ac:dyDescent="0.25">
      <c r="C266" s="26"/>
      <c r="O266" s="13"/>
      <c r="P266" s="13"/>
      <c r="Q266" s="13"/>
      <c r="R266" s="13"/>
    </row>
    <row r="267" spans="3:18" ht="15.75" customHeight="1" x14ac:dyDescent="0.25">
      <c r="C267" s="26"/>
      <c r="O267" s="13"/>
      <c r="P267" s="13"/>
      <c r="Q267" s="13"/>
      <c r="R267" s="13"/>
    </row>
    <row r="268" spans="3:18" ht="15.75" customHeight="1" x14ac:dyDescent="0.25">
      <c r="C268" s="26"/>
      <c r="O268" s="13"/>
      <c r="P268" s="13"/>
      <c r="Q268" s="13"/>
      <c r="R268" s="13"/>
    </row>
    <row r="269" spans="3:18" ht="15.75" customHeight="1" x14ac:dyDescent="0.25">
      <c r="C269" s="26"/>
      <c r="O269" s="13"/>
      <c r="P269" s="13"/>
      <c r="Q269" s="13"/>
      <c r="R269" s="13"/>
    </row>
    <row r="270" spans="3:18" ht="15.75" customHeight="1" x14ac:dyDescent="0.25">
      <c r="C270" s="26"/>
      <c r="O270" s="13"/>
      <c r="P270" s="13"/>
      <c r="Q270" s="13"/>
      <c r="R270" s="13"/>
    </row>
    <row r="271" spans="3:18" ht="15.75" customHeight="1" x14ac:dyDescent="0.25">
      <c r="C271" s="26"/>
      <c r="O271" s="13"/>
      <c r="P271" s="13"/>
      <c r="Q271" s="13"/>
      <c r="R271" s="13"/>
    </row>
    <row r="272" spans="3:18" ht="15.75" customHeight="1" x14ac:dyDescent="0.25">
      <c r="C272" s="26"/>
      <c r="O272" s="13"/>
      <c r="P272" s="13"/>
      <c r="Q272" s="13"/>
      <c r="R272" s="13"/>
    </row>
    <row r="273" spans="3:18" ht="15.75" customHeight="1" x14ac:dyDescent="0.25">
      <c r="C273" s="26"/>
      <c r="O273" s="13"/>
      <c r="P273" s="13"/>
      <c r="Q273" s="13"/>
      <c r="R273" s="13"/>
    </row>
    <row r="274" spans="3:18" ht="15.75" customHeight="1" x14ac:dyDescent="0.25">
      <c r="C274" s="26"/>
      <c r="O274" s="13"/>
      <c r="P274" s="13"/>
      <c r="Q274" s="13"/>
      <c r="R274" s="13"/>
    </row>
    <row r="275" spans="3:18" ht="15.75" customHeight="1" x14ac:dyDescent="0.25">
      <c r="C275" s="26"/>
      <c r="O275" s="13"/>
      <c r="P275" s="13"/>
      <c r="Q275" s="13"/>
      <c r="R275" s="13"/>
    </row>
    <row r="276" spans="3:18" ht="15.75" customHeight="1" x14ac:dyDescent="0.25">
      <c r="C276" s="26"/>
      <c r="O276" s="13"/>
      <c r="P276" s="13"/>
      <c r="Q276" s="13"/>
      <c r="R276" s="13"/>
    </row>
    <row r="277" spans="3:18" ht="15.75" customHeight="1" x14ac:dyDescent="0.25">
      <c r="C277" s="26"/>
      <c r="O277" s="13"/>
      <c r="P277" s="13"/>
      <c r="Q277" s="13"/>
      <c r="R277" s="13"/>
    </row>
    <row r="278" spans="3:18" ht="15.75" customHeight="1" x14ac:dyDescent="0.25">
      <c r="C278" s="26"/>
      <c r="O278" s="13"/>
      <c r="P278" s="13"/>
      <c r="Q278" s="13"/>
      <c r="R278" s="13"/>
    </row>
    <row r="279" spans="3:18" ht="15.75" customHeight="1" x14ac:dyDescent="0.25">
      <c r="C279" s="26"/>
      <c r="O279" s="13"/>
      <c r="P279" s="13"/>
      <c r="Q279" s="13"/>
      <c r="R279" s="13"/>
    </row>
    <row r="280" spans="3:18" ht="15.75" customHeight="1" x14ac:dyDescent="0.25">
      <c r="C280" s="26"/>
      <c r="O280" s="13"/>
      <c r="P280" s="13"/>
      <c r="Q280" s="13"/>
      <c r="R280" s="13"/>
    </row>
    <row r="281" spans="3:18" ht="15.75" customHeight="1" x14ac:dyDescent="0.25">
      <c r="C281" s="26"/>
      <c r="O281" s="13"/>
      <c r="P281" s="13"/>
      <c r="Q281" s="13"/>
      <c r="R281" s="13"/>
    </row>
    <row r="282" spans="3:18" ht="15.75" customHeight="1" x14ac:dyDescent="0.25">
      <c r="C282" s="26"/>
      <c r="O282" s="13"/>
      <c r="P282" s="13"/>
      <c r="Q282" s="13"/>
      <c r="R282" s="13"/>
    </row>
    <row r="283" spans="3:18" ht="15.75" customHeight="1" x14ac:dyDescent="0.25">
      <c r="C283" s="26"/>
      <c r="O283" s="13"/>
      <c r="P283" s="13"/>
      <c r="Q283" s="13"/>
      <c r="R283" s="13"/>
    </row>
    <row r="284" spans="3:18" ht="15.75" customHeight="1" x14ac:dyDescent="0.25">
      <c r="C284" s="26"/>
      <c r="O284" s="13"/>
      <c r="P284" s="13"/>
      <c r="Q284" s="13"/>
      <c r="R284" s="13"/>
    </row>
    <row r="285" spans="3:18" ht="15.75" customHeight="1" x14ac:dyDescent="0.25">
      <c r="C285" s="26"/>
      <c r="O285" s="13"/>
      <c r="P285" s="13"/>
      <c r="Q285" s="13"/>
      <c r="R285" s="13"/>
    </row>
    <row r="286" spans="3:18" ht="15.75" customHeight="1" x14ac:dyDescent="0.25">
      <c r="C286" s="26"/>
      <c r="O286" s="13"/>
      <c r="P286" s="13"/>
      <c r="Q286" s="13"/>
      <c r="R286" s="13"/>
    </row>
    <row r="287" spans="3:18" ht="15.75" customHeight="1" x14ac:dyDescent="0.25">
      <c r="C287" s="26"/>
      <c r="O287" s="13"/>
      <c r="P287" s="13"/>
      <c r="Q287" s="13"/>
      <c r="R287" s="13"/>
    </row>
    <row r="288" spans="3:18" ht="15.75" customHeight="1" x14ac:dyDescent="0.25">
      <c r="C288" s="26"/>
      <c r="O288" s="13"/>
      <c r="P288" s="13"/>
      <c r="Q288" s="13"/>
      <c r="R288" s="13"/>
    </row>
    <row r="289" spans="3:18" ht="15.75" customHeight="1" x14ac:dyDescent="0.25">
      <c r="C289" s="26"/>
      <c r="O289" s="13"/>
      <c r="P289" s="13"/>
      <c r="Q289" s="13"/>
      <c r="R289" s="13"/>
    </row>
    <row r="290" spans="3:18" ht="15.75" customHeight="1" x14ac:dyDescent="0.25">
      <c r="C290" s="26"/>
      <c r="O290" s="13"/>
      <c r="P290" s="13"/>
      <c r="Q290" s="13"/>
      <c r="R290" s="13"/>
    </row>
    <row r="291" spans="3:18" ht="15.75" customHeight="1" x14ac:dyDescent="0.25">
      <c r="C291" s="26"/>
      <c r="O291" s="13"/>
      <c r="P291" s="13"/>
      <c r="Q291" s="13"/>
      <c r="R291" s="13"/>
    </row>
    <row r="292" spans="3:18" ht="15.75" customHeight="1" x14ac:dyDescent="0.25">
      <c r="C292" s="26"/>
      <c r="O292" s="13"/>
      <c r="P292" s="13"/>
      <c r="Q292" s="13"/>
      <c r="R292" s="13"/>
    </row>
    <row r="293" spans="3:18" ht="15.75" customHeight="1" x14ac:dyDescent="0.25">
      <c r="C293" s="26"/>
      <c r="O293" s="13"/>
      <c r="P293" s="13"/>
      <c r="Q293" s="13"/>
      <c r="R293" s="13"/>
    </row>
    <row r="294" spans="3:18" ht="15.75" customHeight="1" x14ac:dyDescent="0.25">
      <c r="C294" s="26"/>
      <c r="O294" s="13"/>
      <c r="P294" s="13"/>
      <c r="Q294" s="13"/>
      <c r="R294" s="13"/>
    </row>
    <row r="295" spans="3:18" ht="15.75" customHeight="1" x14ac:dyDescent="0.25">
      <c r="C295" s="26"/>
      <c r="O295" s="13"/>
      <c r="P295" s="13"/>
      <c r="Q295" s="13"/>
      <c r="R295" s="13"/>
    </row>
    <row r="296" spans="3:18" ht="15.75" customHeight="1" x14ac:dyDescent="0.25">
      <c r="C296" s="26"/>
      <c r="O296" s="13"/>
      <c r="P296" s="13"/>
      <c r="Q296" s="13"/>
      <c r="R296" s="13"/>
    </row>
    <row r="297" spans="3:18" ht="15.75" customHeight="1" x14ac:dyDescent="0.25">
      <c r="C297" s="26"/>
      <c r="O297" s="13"/>
      <c r="P297" s="13"/>
      <c r="Q297" s="13"/>
      <c r="R297" s="13"/>
    </row>
    <row r="298" spans="3:18" ht="15.75" customHeight="1" x14ac:dyDescent="0.25">
      <c r="C298" s="26"/>
      <c r="O298" s="13"/>
      <c r="P298" s="13"/>
      <c r="Q298" s="13"/>
      <c r="R298" s="13"/>
    </row>
    <row r="299" spans="3:18" ht="15.75" customHeight="1" x14ac:dyDescent="0.25">
      <c r="C299" s="26"/>
      <c r="O299" s="13"/>
      <c r="P299" s="13"/>
      <c r="Q299" s="13"/>
      <c r="R299" s="13"/>
    </row>
    <row r="300" spans="3:18" ht="15.75" customHeight="1" x14ac:dyDescent="0.25">
      <c r="C300" s="26"/>
      <c r="O300" s="13"/>
      <c r="P300" s="13"/>
      <c r="Q300" s="13"/>
      <c r="R300" s="13"/>
    </row>
    <row r="301" spans="3:18" ht="15.75" customHeight="1" x14ac:dyDescent="0.25">
      <c r="C301" s="26"/>
      <c r="O301" s="13"/>
      <c r="P301" s="13"/>
      <c r="Q301" s="13"/>
      <c r="R301" s="13"/>
    </row>
    <row r="302" spans="3:18" ht="15.75" customHeight="1" x14ac:dyDescent="0.25">
      <c r="C302" s="26"/>
      <c r="O302" s="13"/>
      <c r="P302" s="13"/>
      <c r="Q302" s="13"/>
      <c r="R302" s="13"/>
    </row>
    <row r="303" spans="3:18" ht="15.75" customHeight="1" x14ac:dyDescent="0.25">
      <c r="C303" s="26"/>
      <c r="O303" s="13"/>
      <c r="P303" s="13"/>
      <c r="Q303" s="13"/>
      <c r="R303" s="13"/>
    </row>
    <row r="304" spans="3:18" ht="15.75" customHeight="1" x14ac:dyDescent="0.25">
      <c r="C304" s="26"/>
      <c r="O304" s="13"/>
      <c r="P304" s="13"/>
      <c r="Q304" s="13"/>
      <c r="R304" s="13"/>
    </row>
    <row r="305" spans="3:18" ht="15.75" customHeight="1" x14ac:dyDescent="0.25">
      <c r="C305" s="26"/>
      <c r="O305" s="13"/>
      <c r="P305" s="13"/>
      <c r="Q305" s="13"/>
      <c r="R305" s="13"/>
    </row>
    <row r="306" spans="3:18" ht="15.75" customHeight="1" x14ac:dyDescent="0.25">
      <c r="C306" s="26"/>
      <c r="O306" s="13"/>
      <c r="P306" s="13"/>
      <c r="Q306" s="13"/>
      <c r="R306" s="13"/>
    </row>
    <row r="307" spans="3:18" ht="15.75" customHeight="1" x14ac:dyDescent="0.25">
      <c r="C307" s="26"/>
      <c r="O307" s="13"/>
      <c r="P307" s="13"/>
      <c r="Q307" s="13"/>
      <c r="R307" s="13"/>
    </row>
    <row r="308" spans="3:18" ht="15.75" customHeight="1" x14ac:dyDescent="0.25">
      <c r="C308" s="26"/>
      <c r="O308" s="13"/>
      <c r="P308" s="13"/>
      <c r="Q308" s="13"/>
      <c r="R308" s="13"/>
    </row>
    <row r="309" spans="3:18" ht="15.75" customHeight="1" x14ac:dyDescent="0.25">
      <c r="C309" s="26"/>
      <c r="O309" s="13"/>
      <c r="P309" s="13"/>
      <c r="Q309" s="13"/>
      <c r="R309" s="13"/>
    </row>
    <row r="310" spans="3:18" ht="15.75" customHeight="1" x14ac:dyDescent="0.25">
      <c r="C310" s="26"/>
      <c r="O310" s="13"/>
      <c r="P310" s="13"/>
      <c r="Q310" s="13"/>
      <c r="R310" s="13"/>
    </row>
    <row r="311" spans="3:18" ht="15.75" customHeight="1" x14ac:dyDescent="0.25">
      <c r="C311" s="26"/>
      <c r="O311" s="13"/>
      <c r="P311" s="13"/>
      <c r="Q311" s="13"/>
      <c r="R311" s="13"/>
    </row>
    <row r="312" spans="3:18" ht="15.75" customHeight="1" x14ac:dyDescent="0.25">
      <c r="C312" s="26"/>
      <c r="O312" s="13"/>
      <c r="P312" s="13"/>
      <c r="Q312" s="13"/>
      <c r="R312" s="13"/>
    </row>
    <row r="313" spans="3:18" ht="15.75" customHeight="1" x14ac:dyDescent="0.25">
      <c r="C313" s="26"/>
      <c r="O313" s="13"/>
      <c r="P313" s="13"/>
      <c r="Q313" s="13"/>
      <c r="R313" s="13"/>
    </row>
    <row r="314" spans="3:18" ht="15.75" customHeight="1" x14ac:dyDescent="0.25">
      <c r="C314" s="26"/>
      <c r="O314" s="13"/>
      <c r="P314" s="13"/>
      <c r="Q314" s="13"/>
      <c r="R314" s="13"/>
    </row>
    <row r="315" spans="3:18" ht="15.75" customHeight="1" x14ac:dyDescent="0.25">
      <c r="C315" s="26"/>
      <c r="O315" s="13"/>
      <c r="P315" s="13"/>
      <c r="Q315" s="13"/>
      <c r="R315" s="13"/>
    </row>
    <row r="316" spans="3:18" ht="15.75" customHeight="1" x14ac:dyDescent="0.25">
      <c r="C316" s="26"/>
      <c r="O316" s="13"/>
      <c r="P316" s="13"/>
      <c r="Q316" s="13"/>
      <c r="R316" s="13"/>
    </row>
    <row r="317" spans="3:18" ht="15.75" customHeight="1" x14ac:dyDescent="0.25">
      <c r="C317" s="26"/>
      <c r="O317" s="13"/>
      <c r="P317" s="13"/>
      <c r="Q317" s="13"/>
      <c r="R317" s="13"/>
    </row>
    <row r="318" spans="3:18" ht="15.75" customHeight="1" x14ac:dyDescent="0.25">
      <c r="C318" s="26"/>
      <c r="O318" s="13"/>
      <c r="P318" s="13"/>
      <c r="Q318" s="13"/>
      <c r="R318" s="13"/>
    </row>
    <row r="319" spans="3:18" ht="15.75" customHeight="1" x14ac:dyDescent="0.25">
      <c r="C319" s="26"/>
      <c r="O319" s="13"/>
      <c r="P319" s="13"/>
      <c r="Q319" s="13"/>
      <c r="R319" s="13"/>
    </row>
    <row r="320" spans="3:18" ht="15.75" customHeight="1" x14ac:dyDescent="0.25">
      <c r="C320" s="26"/>
      <c r="O320" s="13"/>
      <c r="P320" s="13"/>
      <c r="Q320" s="13"/>
      <c r="R320" s="13"/>
    </row>
    <row r="321" spans="3:18" ht="15.75" customHeight="1" x14ac:dyDescent="0.25">
      <c r="C321" s="26"/>
      <c r="O321" s="13"/>
      <c r="P321" s="13"/>
      <c r="Q321" s="13"/>
      <c r="R321" s="13"/>
    </row>
    <row r="322" spans="3:18" ht="15.75" customHeight="1" x14ac:dyDescent="0.25">
      <c r="C322" s="26"/>
      <c r="O322" s="13"/>
      <c r="P322" s="13"/>
      <c r="Q322" s="13"/>
      <c r="R322" s="13"/>
    </row>
    <row r="323" spans="3:18" ht="15.75" customHeight="1" x14ac:dyDescent="0.25">
      <c r="C323" s="26"/>
      <c r="O323" s="13"/>
      <c r="P323" s="13"/>
      <c r="Q323" s="13"/>
      <c r="R323" s="13"/>
    </row>
    <row r="324" spans="3:18" ht="15.75" customHeight="1" x14ac:dyDescent="0.25">
      <c r="C324" s="26"/>
      <c r="O324" s="13"/>
      <c r="P324" s="13"/>
      <c r="Q324" s="13"/>
      <c r="R324" s="13"/>
    </row>
    <row r="325" spans="3:18" ht="15.75" customHeight="1" x14ac:dyDescent="0.25">
      <c r="C325" s="26"/>
      <c r="O325" s="13"/>
      <c r="P325" s="13"/>
      <c r="Q325" s="13"/>
      <c r="R325" s="13"/>
    </row>
    <row r="326" spans="3:18" ht="15.75" customHeight="1" x14ac:dyDescent="0.25">
      <c r="C326" s="26"/>
      <c r="O326" s="13"/>
      <c r="P326" s="13"/>
      <c r="Q326" s="13"/>
      <c r="R326" s="13"/>
    </row>
    <row r="327" spans="3:18" ht="15.75" customHeight="1" x14ac:dyDescent="0.25">
      <c r="C327" s="26"/>
      <c r="O327" s="13"/>
      <c r="P327" s="13"/>
      <c r="Q327" s="13"/>
      <c r="R327" s="13"/>
    </row>
    <row r="328" spans="3:18" ht="15.75" customHeight="1" x14ac:dyDescent="0.25">
      <c r="C328" s="26"/>
      <c r="O328" s="13"/>
      <c r="P328" s="13"/>
      <c r="Q328" s="13"/>
      <c r="R328" s="13"/>
    </row>
    <row r="329" spans="3:18" ht="15.75" customHeight="1" x14ac:dyDescent="0.25">
      <c r="C329" s="26"/>
      <c r="O329" s="13"/>
      <c r="P329" s="13"/>
      <c r="Q329" s="13"/>
      <c r="R329" s="13"/>
    </row>
    <row r="330" spans="3:18" ht="15.75" customHeight="1" x14ac:dyDescent="0.25">
      <c r="C330" s="26"/>
      <c r="O330" s="13"/>
      <c r="P330" s="13"/>
      <c r="Q330" s="13"/>
      <c r="R330" s="13"/>
    </row>
    <row r="331" spans="3:18" ht="15.75" customHeight="1" x14ac:dyDescent="0.25">
      <c r="C331" s="26"/>
      <c r="O331" s="13"/>
      <c r="P331" s="13"/>
      <c r="Q331" s="13"/>
      <c r="R331" s="13"/>
    </row>
    <row r="332" spans="3:18" ht="15.75" customHeight="1" x14ac:dyDescent="0.25">
      <c r="C332" s="26"/>
      <c r="O332" s="13"/>
      <c r="P332" s="13"/>
      <c r="Q332" s="13"/>
      <c r="R332" s="13"/>
    </row>
    <row r="333" spans="3:18" ht="15.75" customHeight="1" x14ac:dyDescent="0.25">
      <c r="C333" s="26"/>
      <c r="O333" s="13"/>
      <c r="P333" s="13"/>
      <c r="Q333" s="13"/>
      <c r="R333" s="13"/>
    </row>
    <row r="334" spans="3:18" ht="15.75" customHeight="1" x14ac:dyDescent="0.25">
      <c r="C334" s="26"/>
      <c r="O334" s="13"/>
      <c r="P334" s="13"/>
      <c r="Q334" s="13"/>
      <c r="R334" s="13"/>
    </row>
    <row r="335" spans="3:18" ht="15.75" customHeight="1" x14ac:dyDescent="0.25">
      <c r="C335" s="26"/>
      <c r="O335" s="13"/>
      <c r="P335" s="13"/>
      <c r="Q335" s="13"/>
      <c r="R335" s="13"/>
    </row>
    <row r="336" spans="3:18" ht="15.75" customHeight="1" x14ac:dyDescent="0.25">
      <c r="C336" s="26"/>
      <c r="O336" s="13"/>
      <c r="P336" s="13"/>
      <c r="Q336" s="13"/>
      <c r="R336" s="13"/>
    </row>
    <row r="337" spans="3:18" ht="15.75" customHeight="1" x14ac:dyDescent="0.25">
      <c r="C337" s="26"/>
      <c r="O337" s="13"/>
      <c r="P337" s="13"/>
      <c r="Q337" s="13"/>
      <c r="R337" s="13"/>
    </row>
    <row r="338" spans="3:18" ht="15.75" customHeight="1" x14ac:dyDescent="0.25">
      <c r="C338" s="26"/>
      <c r="O338" s="13"/>
      <c r="P338" s="13"/>
      <c r="Q338" s="13"/>
      <c r="R338" s="13"/>
    </row>
    <row r="339" spans="3:18" ht="15.75" customHeight="1" x14ac:dyDescent="0.25">
      <c r="C339" s="26"/>
      <c r="O339" s="13"/>
      <c r="P339" s="13"/>
      <c r="Q339" s="13"/>
      <c r="R339" s="13"/>
    </row>
    <row r="340" spans="3:18" ht="15.75" customHeight="1" x14ac:dyDescent="0.25">
      <c r="C340" s="26"/>
      <c r="O340" s="13"/>
      <c r="P340" s="13"/>
      <c r="Q340" s="13"/>
      <c r="R340" s="13"/>
    </row>
    <row r="341" spans="3:18" ht="15.75" customHeight="1" x14ac:dyDescent="0.25">
      <c r="C341" s="26"/>
      <c r="O341" s="13"/>
      <c r="P341" s="13"/>
      <c r="Q341" s="13"/>
      <c r="R341" s="13"/>
    </row>
    <row r="342" spans="3:18" ht="15.75" customHeight="1" x14ac:dyDescent="0.25">
      <c r="C342" s="26"/>
      <c r="O342" s="13"/>
      <c r="P342" s="13"/>
      <c r="Q342" s="13"/>
      <c r="R342" s="13"/>
    </row>
    <row r="343" spans="3:18" ht="15.75" customHeight="1" x14ac:dyDescent="0.25">
      <c r="C343" s="26"/>
      <c r="O343" s="13"/>
      <c r="P343" s="13"/>
      <c r="Q343" s="13"/>
      <c r="R343" s="13"/>
    </row>
    <row r="344" spans="3:18" ht="15.75" customHeight="1" x14ac:dyDescent="0.25">
      <c r="C344" s="26"/>
      <c r="O344" s="13"/>
      <c r="P344" s="13"/>
      <c r="Q344" s="13"/>
      <c r="R344" s="13"/>
    </row>
    <row r="345" spans="3:18" ht="15.75" customHeight="1" x14ac:dyDescent="0.25">
      <c r="C345" s="26"/>
      <c r="O345" s="13"/>
      <c r="P345" s="13"/>
      <c r="Q345" s="13"/>
      <c r="R345" s="13"/>
    </row>
    <row r="346" spans="3:18" ht="15.75" customHeight="1" x14ac:dyDescent="0.25">
      <c r="C346" s="26"/>
      <c r="O346" s="13"/>
      <c r="P346" s="13"/>
      <c r="Q346" s="13"/>
      <c r="R346" s="13"/>
    </row>
    <row r="347" spans="3:18" ht="15.75" customHeight="1" x14ac:dyDescent="0.25">
      <c r="C347" s="26"/>
      <c r="O347" s="13"/>
      <c r="P347" s="13"/>
      <c r="Q347" s="13"/>
      <c r="R347" s="13"/>
    </row>
    <row r="348" spans="3:18" ht="15.75" customHeight="1" x14ac:dyDescent="0.25">
      <c r="C348" s="26"/>
      <c r="O348" s="13"/>
      <c r="P348" s="13"/>
      <c r="Q348" s="13"/>
      <c r="R348" s="13"/>
    </row>
    <row r="349" spans="3:18" ht="15.75" customHeight="1" x14ac:dyDescent="0.25">
      <c r="C349" s="26"/>
      <c r="O349" s="13"/>
      <c r="P349" s="13"/>
      <c r="Q349" s="13"/>
      <c r="R349" s="13"/>
    </row>
    <row r="350" spans="3:18" ht="15.75" customHeight="1" x14ac:dyDescent="0.25">
      <c r="C350" s="26"/>
      <c r="O350" s="13"/>
      <c r="P350" s="13"/>
      <c r="Q350" s="13"/>
      <c r="R350" s="13"/>
    </row>
    <row r="351" spans="3:18" ht="15.75" customHeight="1" x14ac:dyDescent="0.25">
      <c r="C351" s="26"/>
      <c r="O351" s="13"/>
      <c r="P351" s="13"/>
      <c r="Q351" s="13"/>
      <c r="R351" s="13"/>
    </row>
    <row r="352" spans="3:18" ht="15.75" customHeight="1" x14ac:dyDescent="0.25">
      <c r="C352" s="26"/>
      <c r="O352" s="13"/>
      <c r="P352" s="13"/>
      <c r="Q352" s="13"/>
      <c r="R352" s="13"/>
    </row>
    <row r="353" spans="3:18" ht="15.75" customHeight="1" x14ac:dyDescent="0.25">
      <c r="C353" s="26"/>
      <c r="O353" s="13"/>
      <c r="P353" s="13"/>
      <c r="Q353" s="13"/>
      <c r="R353" s="13"/>
    </row>
    <row r="354" spans="3:18" ht="15.75" customHeight="1" x14ac:dyDescent="0.25">
      <c r="C354" s="26"/>
      <c r="O354" s="13"/>
      <c r="P354" s="13"/>
      <c r="Q354" s="13"/>
      <c r="R354" s="13"/>
    </row>
    <row r="355" spans="3:18" ht="15.75" customHeight="1" x14ac:dyDescent="0.25">
      <c r="C355" s="26"/>
      <c r="O355" s="13"/>
      <c r="P355" s="13"/>
      <c r="Q355" s="13"/>
      <c r="R355" s="13"/>
    </row>
    <row r="356" spans="3:18" ht="15.75" customHeight="1" x14ac:dyDescent="0.25">
      <c r="C356" s="26"/>
      <c r="O356" s="13"/>
      <c r="P356" s="13"/>
      <c r="Q356" s="13"/>
      <c r="R356" s="13"/>
    </row>
    <row r="357" spans="3:18" ht="15.75" customHeight="1" x14ac:dyDescent="0.25">
      <c r="C357" s="26"/>
      <c r="O357" s="13"/>
      <c r="P357" s="13"/>
      <c r="Q357" s="13"/>
      <c r="R357" s="13"/>
    </row>
    <row r="358" spans="3:18" ht="15.75" customHeight="1" x14ac:dyDescent="0.25">
      <c r="C358" s="26"/>
      <c r="O358" s="13"/>
      <c r="P358" s="13"/>
      <c r="Q358" s="13"/>
      <c r="R358" s="13"/>
    </row>
    <row r="359" spans="3:18" ht="15.75" customHeight="1" x14ac:dyDescent="0.25">
      <c r="C359" s="26"/>
      <c r="O359" s="13"/>
      <c r="P359" s="13"/>
      <c r="Q359" s="13"/>
      <c r="R359" s="13"/>
    </row>
    <row r="360" spans="3:18" ht="15.75" customHeight="1" x14ac:dyDescent="0.25">
      <c r="C360" s="26"/>
      <c r="O360" s="13"/>
      <c r="P360" s="13"/>
      <c r="Q360" s="13"/>
      <c r="R360" s="13"/>
    </row>
    <row r="361" spans="3:18" ht="15.75" customHeight="1" x14ac:dyDescent="0.25">
      <c r="C361" s="26"/>
      <c r="O361" s="13"/>
      <c r="P361" s="13"/>
      <c r="Q361" s="13"/>
      <c r="R361" s="13"/>
    </row>
    <row r="362" spans="3:18" ht="15.75" customHeight="1" x14ac:dyDescent="0.25">
      <c r="C362" s="26"/>
      <c r="O362" s="13"/>
      <c r="P362" s="13"/>
      <c r="Q362" s="13"/>
      <c r="R362" s="13"/>
    </row>
    <row r="363" spans="3:18" ht="15.75" customHeight="1" x14ac:dyDescent="0.25">
      <c r="C363" s="26"/>
      <c r="O363" s="13"/>
      <c r="P363" s="13"/>
      <c r="Q363" s="13"/>
      <c r="R363" s="13"/>
    </row>
    <row r="364" spans="3:18" ht="15.75" customHeight="1" x14ac:dyDescent="0.25">
      <c r="C364" s="26"/>
      <c r="O364" s="13"/>
      <c r="P364" s="13"/>
      <c r="Q364" s="13"/>
      <c r="R364" s="13"/>
    </row>
    <row r="365" spans="3:18" ht="15.75" customHeight="1" x14ac:dyDescent="0.25">
      <c r="C365" s="26"/>
      <c r="O365" s="13"/>
      <c r="P365" s="13"/>
      <c r="Q365" s="13"/>
      <c r="R365" s="13"/>
    </row>
    <row r="366" spans="3:18" ht="15.75" customHeight="1" x14ac:dyDescent="0.25">
      <c r="C366" s="26"/>
      <c r="O366" s="13"/>
      <c r="P366" s="13"/>
      <c r="Q366" s="13"/>
      <c r="R366" s="13"/>
    </row>
    <row r="367" spans="3:18" ht="15.75" customHeight="1" x14ac:dyDescent="0.25">
      <c r="C367" s="26"/>
      <c r="O367" s="13"/>
      <c r="P367" s="13"/>
      <c r="Q367" s="13"/>
      <c r="R367" s="13"/>
    </row>
    <row r="368" spans="3:18" ht="15.75" customHeight="1" x14ac:dyDescent="0.25">
      <c r="C368" s="26"/>
      <c r="O368" s="13"/>
      <c r="P368" s="13"/>
      <c r="Q368" s="13"/>
      <c r="R368" s="13"/>
    </row>
    <row r="369" spans="3:18" ht="15.75" customHeight="1" x14ac:dyDescent="0.25">
      <c r="C369" s="26"/>
      <c r="O369" s="13"/>
      <c r="P369" s="13"/>
      <c r="Q369" s="13"/>
      <c r="R369" s="13"/>
    </row>
    <row r="370" spans="3:18" ht="15.75" customHeight="1" x14ac:dyDescent="0.25">
      <c r="C370" s="26"/>
      <c r="O370" s="13"/>
      <c r="P370" s="13"/>
      <c r="Q370" s="13"/>
      <c r="R370" s="13"/>
    </row>
    <row r="371" spans="3:18" ht="15.75" customHeight="1" x14ac:dyDescent="0.25">
      <c r="C371" s="26"/>
      <c r="O371" s="13"/>
      <c r="P371" s="13"/>
      <c r="Q371" s="13"/>
      <c r="R371" s="13"/>
    </row>
    <row r="372" spans="3:18" ht="15.75" customHeight="1" x14ac:dyDescent="0.25">
      <c r="C372" s="26"/>
      <c r="O372" s="13"/>
      <c r="P372" s="13"/>
      <c r="Q372" s="13"/>
      <c r="R372" s="13"/>
    </row>
    <row r="373" spans="3:18" ht="15.75" customHeight="1" x14ac:dyDescent="0.25">
      <c r="C373" s="26"/>
      <c r="O373" s="13"/>
      <c r="P373" s="13"/>
      <c r="Q373" s="13"/>
      <c r="R373" s="13"/>
    </row>
    <row r="374" spans="3:18" ht="15.75" customHeight="1" x14ac:dyDescent="0.25">
      <c r="C374" s="26"/>
      <c r="O374" s="13"/>
      <c r="P374" s="13"/>
      <c r="Q374" s="13"/>
      <c r="R374" s="13"/>
    </row>
    <row r="375" spans="3:18" ht="15.75" customHeight="1" x14ac:dyDescent="0.25">
      <c r="C375" s="26"/>
      <c r="O375" s="13"/>
      <c r="P375" s="13"/>
      <c r="Q375" s="13"/>
      <c r="R375" s="13"/>
    </row>
    <row r="376" spans="3:18" ht="15.75" customHeight="1" x14ac:dyDescent="0.25">
      <c r="C376" s="26"/>
      <c r="O376" s="13"/>
      <c r="P376" s="13"/>
      <c r="Q376" s="13"/>
      <c r="R376" s="13"/>
    </row>
    <row r="377" spans="3:18" ht="15.75" customHeight="1" x14ac:dyDescent="0.25">
      <c r="C377" s="26"/>
      <c r="O377" s="13"/>
      <c r="P377" s="13"/>
      <c r="Q377" s="13"/>
      <c r="R377" s="13"/>
    </row>
    <row r="378" spans="3:18" ht="15.75" customHeight="1" x14ac:dyDescent="0.25">
      <c r="C378" s="26"/>
      <c r="O378" s="13"/>
      <c r="P378" s="13"/>
      <c r="Q378" s="13"/>
      <c r="R378" s="13"/>
    </row>
    <row r="379" spans="3:18" ht="15.75" customHeight="1" x14ac:dyDescent="0.25">
      <c r="C379" s="26"/>
      <c r="O379" s="13"/>
      <c r="P379" s="13"/>
      <c r="Q379" s="13"/>
      <c r="R379" s="13"/>
    </row>
    <row r="380" spans="3:18" ht="15.75" customHeight="1" x14ac:dyDescent="0.25">
      <c r="C380" s="26"/>
      <c r="O380" s="13"/>
      <c r="P380" s="13"/>
      <c r="Q380" s="13"/>
      <c r="R380" s="13"/>
    </row>
    <row r="381" spans="3:18" ht="15.75" customHeight="1" x14ac:dyDescent="0.25">
      <c r="C381" s="26"/>
      <c r="O381" s="13"/>
      <c r="P381" s="13"/>
      <c r="Q381" s="13"/>
      <c r="R381" s="13"/>
    </row>
    <row r="382" spans="3:18" ht="15.75" customHeight="1" x14ac:dyDescent="0.25">
      <c r="C382" s="26"/>
      <c r="O382" s="13"/>
      <c r="P382" s="13"/>
      <c r="Q382" s="13"/>
      <c r="R382" s="13"/>
    </row>
    <row r="383" spans="3:18" ht="15.75" customHeight="1" x14ac:dyDescent="0.25">
      <c r="C383" s="26"/>
      <c r="O383" s="13"/>
      <c r="P383" s="13"/>
      <c r="Q383" s="13"/>
      <c r="R383" s="13"/>
    </row>
    <row r="384" spans="3:18" ht="15.75" customHeight="1" x14ac:dyDescent="0.25">
      <c r="C384" s="26"/>
      <c r="O384" s="13"/>
      <c r="P384" s="13"/>
      <c r="Q384" s="13"/>
      <c r="R384" s="13"/>
    </row>
    <row r="385" spans="3:18" ht="15.75" customHeight="1" x14ac:dyDescent="0.25">
      <c r="C385" s="26"/>
      <c r="O385" s="13"/>
      <c r="P385" s="13"/>
      <c r="Q385" s="13"/>
      <c r="R385" s="13"/>
    </row>
    <row r="386" spans="3:18" ht="15.75" customHeight="1" x14ac:dyDescent="0.25">
      <c r="C386" s="26"/>
      <c r="O386" s="13"/>
      <c r="P386" s="13"/>
      <c r="Q386" s="13"/>
      <c r="R386" s="13"/>
    </row>
    <row r="387" spans="3:18" ht="15.75" customHeight="1" x14ac:dyDescent="0.25">
      <c r="C387" s="26"/>
      <c r="O387" s="13"/>
      <c r="P387" s="13"/>
      <c r="Q387" s="13"/>
      <c r="R387" s="13"/>
    </row>
    <row r="388" spans="3:18" ht="15.75" customHeight="1" x14ac:dyDescent="0.25">
      <c r="C388" s="26"/>
      <c r="O388" s="13"/>
      <c r="P388" s="13"/>
      <c r="Q388" s="13"/>
      <c r="R388" s="13"/>
    </row>
    <row r="389" spans="3:18" ht="15.75" customHeight="1" x14ac:dyDescent="0.25">
      <c r="C389" s="26"/>
      <c r="O389" s="13"/>
      <c r="P389" s="13"/>
      <c r="Q389" s="13"/>
      <c r="R389" s="13"/>
    </row>
    <row r="390" spans="3:18" ht="15.75" customHeight="1" x14ac:dyDescent="0.25">
      <c r="C390" s="26"/>
      <c r="O390" s="13"/>
      <c r="P390" s="13"/>
      <c r="Q390" s="13"/>
      <c r="R390" s="13"/>
    </row>
    <row r="391" spans="3:18" ht="15.75" customHeight="1" x14ac:dyDescent="0.25">
      <c r="C391" s="26"/>
      <c r="O391" s="13"/>
      <c r="P391" s="13"/>
      <c r="Q391" s="13"/>
      <c r="R391" s="13"/>
    </row>
    <row r="392" spans="3:18" ht="15.75" customHeight="1" x14ac:dyDescent="0.25">
      <c r="C392" s="26"/>
      <c r="O392" s="13"/>
      <c r="P392" s="13"/>
      <c r="Q392" s="13"/>
      <c r="R392" s="13"/>
    </row>
    <row r="393" spans="3:18" ht="15.75" customHeight="1" x14ac:dyDescent="0.25">
      <c r="C393" s="26"/>
      <c r="O393" s="13"/>
      <c r="P393" s="13"/>
      <c r="Q393" s="13"/>
      <c r="R393" s="13"/>
    </row>
    <row r="394" spans="3:18" ht="15.75" customHeight="1" x14ac:dyDescent="0.25">
      <c r="C394" s="26"/>
      <c r="O394" s="13"/>
      <c r="P394" s="13"/>
      <c r="Q394" s="13"/>
      <c r="R394" s="13"/>
    </row>
    <row r="395" spans="3:18" ht="15.75" customHeight="1" x14ac:dyDescent="0.25">
      <c r="C395" s="26"/>
      <c r="O395" s="13"/>
      <c r="P395" s="13"/>
      <c r="Q395" s="13"/>
      <c r="R395" s="13"/>
    </row>
    <row r="396" spans="3:18" ht="15.75" customHeight="1" x14ac:dyDescent="0.25">
      <c r="C396" s="26"/>
      <c r="O396" s="13"/>
      <c r="P396" s="13"/>
      <c r="Q396" s="13"/>
      <c r="R396" s="13"/>
    </row>
    <row r="397" spans="3:18" ht="15.75" customHeight="1" x14ac:dyDescent="0.25">
      <c r="C397" s="26"/>
      <c r="O397" s="13"/>
      <c r="P397" s="13"/>
      <c r="Q397" s="13"/>
      <c r="R397" s="13"/>
    </row>
    <row r="398" spans="3:18" ht="15.75" customHeight="1" x14ac:dyDescent="0.25">
      <c r="C398" s="26"/>
      <c r="O398" s="13"/>
      <c r="P398" s="13"/>
      <c r="Q398" s="13"/>
      <c r="R398" s="13"/>
    </row>
    <row r="399" spans="3:18" ht="15.75" customHeight="1" x14ac:dyDescent="0.25">
      <c r="C399" s="26"/>
      <c r="O399" s="13"/>
      <c r="P399" s="13"/>
      <c r="Q399" s="13"/>
      <c r="R399" s="13"/>
    </row>
    <row r="400" spans="3:18" ht="15.75" customHeight="1" x14ac:dyDescent="0.25">
      <c r="C400" s="26"/>
      <c r="O400" s="13"/>
      <c r="P400" s="13"/>
      <c r="Q400" s="13"/>
      <c r="R400" s="13"/>
    </row>
    <row r="401" spans="3:18" ht="15.75" customHeight="1" x14ac:dyDescent="0.25">
      <c r="C401" s="26"/>
      <c r="O401" s="13"/>
      <c r="P401" s="13"/>
      <c r="Q401" s="13"/>
      <c r="R401" s="13"/>
    </row>
    <row r="402" spans="3:18" ht="15.75" customHeight="1" x14ac:dyDescent="0.25">
      <c r="C402" s="26"/>
      <c r="O402" s="13"/>
      <c r="P402" s="13"/>
      <c r="Q402" s="13"/>
      <c r="R402" s="13"/>
    </row>
    <row r="403" spans="3:18" ht="15.75" customHeight="1" x14ac:dyDescent="0.25">
      <c r="C403" s="26"/>
      <c r="O403" s="13"/>
      <c r="P403" s="13"/>
      <c r="Q403" s="13"/>
      <c r="R403" s="13"/>
    </row>
    <row r="404" spans="3:18" ht="15.75" customHeight="1" x14ac:dyDescent="0.25">
      <c r="C404" s="26"/>
      <c r="O404" s="13"/>
      <c r="P404" s="13"/>
      <c r="Q404" s="13"/>
      <c r="R404" s="13"/>
    </row>
    <row r="405" spans="3:18" ht="15.75" customHeight="1" x14ac:dyDescent="0.25">
      <c r="C405" s="26"/>
      <c r="O405" s="13"/>
      <c r="P405" s="13"/>
      <c r="Q405" s="13"/>
      <c r="R405" s="13"/>
    </row>
    <row r="406" spans="3:18" ht="15.75" customHeight="1" x14ac:dyDescent="0.25">
      <c r="C406" s="26"/>
      <c r="O406" s="13"/>
      <c r="P406" s="13"/>
      <c r="Q406" s="13"/>
      <c r="R406" s="13"/>
    </row>
    <row r="407" spans="3:18" ht="15.75" customHeight="1" x14ac:dyDescent="0.25">
      <c r="C407" s="26"/>
      <c r="O407" s="13"/>
      <c r="P407" s="13"/>
      <c r="Q407" s="13"/>
      <c r="R407" s="13"/>
    </row>
    <row r="408" spans="3:18" ht="15.75" customHeight="1" x14ac:dyDescent="0.25">
      <c r="C408" s="26"/>
      <c r="O408" s="13"/>
      <c r="P408" s="13"/>
      <c r="Q408" s="13"/>
      <c r="R408" s="13"/>
    </row>
    <row r="409" spans="3:18" ht="15.75" customHeight="1" x14ac:dyDescent="0.25">
      <c r="C409" s="26"/>
      <c r="O409" s="13"/>
      <c r="P409" s="13"/>
      <c r="Q409" s="13"/>
      <c r="R409" s="13"/>
    </row>
    <row r="410" spans="3:18" ht="15.75" customHeight="1" x14ac:dyDescent="0.25">
      <c r="C410" s="26"/>
      <c r="O410" s="13"/>
      <c r="P410" s="13"/>
      <c r="Q410" s="13"/>
      <c r="R410" s="13"/>
    </row>
    <row r="411" spans="3:18" ht="15.75" customHeight="1" x14ac:dyDescent="0.25">
      <c r="C411" s="26"/>
      <c r="O411" s="13"/>
      <c r="P411" s="13"/>
      <c r="Q411" s="13"/>
      <c r="R411" s="13"/>
    </row>
    <row r="412" spans="3:18" ht="15.75" customHeight="1" x14ac:dyDescent="0.25">
      <c r="C412" s="26"/>
      <c r="O412" s="13"/>
      <c r="P412" s="13"/>
      <c r="Q412" s="13"/>
      <c r="R412" s="13"/>
    </row>
    <row r="413" spans="3:18" ht="15.75" customHeight="1" x14ac:dyDescent="0.25">
      <c r="C413" s="26"/>
      <c r="O413" s="13"/>
      <c r="P413" s="13"/>
      <c r="Q413" s="13"/>
      <c r="R413" s="13"/>
    </row>
    <row r="414" spans="3:18" ht="15.75" customHeight="1" x14ac:dyDescent="0.25">
      <c r="C414" s="26"/>
      <c r="O414" s="13"/>
      <c r="P414" s="13"/>
      <c r="Q414" s="13"/>
      <c r="R414" s="13"/>
    </row>
    <row r="415" spans="3:18" ht="15.75" customHeight="1" x14ac:dyDescent="0.25">
      <c r="C415" s="26"/>
      <c r="O415" s="13"/>
      <c r="P415" s="13"/>
      <c r="Q415" s="13"/>
      <c r="R415" s="13"/>
    </row>
    <row r="416" spans="3:18" ht="15.75" customHeight="1" x14ac:dyDescent="0.25">
      <c r="C416" s="26"/>
      <c r="O416" s="13"/>
      <c r="P416" s="13"/>
      <c r="Q416" s="13"/>
      <c r="R416" s="13"/>
    </row>
    <row r="417" spans="3:18" ht="15.75" customHeight="1" x14ac:dyDescent="0.25">
      <c r="C417" s="26"/>
      <c r="O417" s="13"/>
      <c r="P417" s="13"/>
      <c r="Q417" s="13"/>
      <c r="R417" s="13"/>
    </row>
    <row r="418" spans="3:18" ht="15.75" customHeight="1" x14ac:dyDescent="0.25">
      <c r="C418" s="26"/>
      <c r="O418" s="13"/>
      <c r="P418" s="13"/>
      <c r="Q418" s="13"/>
      <c r="R418" s="13"/>
    </row>
    <row r="419" spans="3:18" ht="15.75" customHeight="1" x14ac:dyDescent="0.25">
      <c r="C419" s="26"/>
      <c r="O419" s="13"/>
      <c r="P419" s="13"/>
      <c r="Q419" s="13"/>
      <c r="R419" s="13"/>
    </row>
    <row r="420" spans="3:18" ht="15.75" customHeight="1" x14ac:dyDescent="0.25">
      <c r="C420" s="26"/>
      <c r="O420" s="13"/>
      <c r="P420" s="13"/>
      <c r="Q420" s="13"/>
      <c r="R420" s="13"/>
    </row>
    <row r="421" spans="3:18" ht="15.75" customHeight="1" x14ac:dyDescent="0.25">
      <c r="C421" s="26"/>
      <c r="O421" s="13"/>
      <c r="P421" s="13"/>
      <c r="Q421" s="13"/>
      <c r="R421" s="13"/>
    </row>
    <row r="422" spans="3:18" ht="15.75" customHeight="1" x14ac:dyDescent="0.25">
      <c r="C422" s="26"/>
      <c r="O422" s="13"/>
      <c r="P422" s="13"/>
      <c r="Q422" s="13"/>
      <c r="R422" s="13"/>
    </row>
    <row r="423" spans="3:18" ht="15.75" customHeight="1" x14ac:dyDescent="0.25">
      <c r="C423" s="26"/>
      <c r="O423" s="13"/>
      <c r="P423" s="13"/>
      <c r="Q423" s="13"/>
      <c r="R423" s="13"/>
    </row>
    <row r="424" spans="3:18" ht="15.75" customHeight="1" x14ac:dyDescent="0.25">
      <c r="C424" s="26"/>
      <c r="O424" s="13"/>
      <c r="P424" s="13"/>
      <c r="Q424" s="13"/>
      <c r="R424" s="13"/>
    </row>
    <row r="425" spans="3:18" ht="15.75" customHeight="1" x14ac:dyDescent="0.25">
      <c r="C425" s="26"/>
      <c r="O425" s="13"/>
      <c r="P425" s="13"/>
      <c r="Q425" s="13"/>
      <c r="R425" s="13"/>
    </row>
    <row r="426" spans="3:18" ht="15.75" customHeight="1" x14ac:dyDescent="0.25">
      <c r="C426" s="26"/>
      <c r="O426" s="13"/>
      <c r="P426" s="13"/>
      <c r="Q426" s="13"/>
      <c r="R426" s="13"/>
    </row>
    <row r="427" spans="3:18" ht="15.75" customHeight="1" x14ac:dyDescent="0.25">
      <c r="C427" s="26"/>
      <c r="O427" s="13"/>
      <c r="P427" s="13"/>
      <c r="Q427" s="13"/>
      <c r="R427" s="13"/>
    </row>
    <row r="428" spans="3:18" ht="15.75" customHeight="1" x14ac:dyDescent="0.25">
      <c r="C428" s="26"/>
      <c r="O428" s="13"/>
      <c r="P428" s="13"/>
      <c r="Q428" s="13"/>
      <c r="R428" s="13"/>
    </row>
    <row r="429" spans="3:18" ht="15.75" customHeight="1" x14ac:dyDescent="0.25">
      <c r="C429" s="26"/>
      <c r="O429" s="13"/>
      <c r="P429" s="13"/>
      <c r="Q429" s="13"/>
      <c r="R429" s="13"/>
    </row>
    <row r="430" spans="3:18" ht="15.75" customHeight="1" x14ac:dyDescent="0.25">
      <c r="C430" s="26"/>
      <c r="O430" s="13"/>
      <c r="P430" s="13"/>
      <c r="Q430" s="13"/>
      <c r="R430" s="13"/>
    </row>
    <row r="431" spans="3:18" ht="15.75" customHeight="1" x14ac:dyDescent="0.25">
      <c r="C431" s="26"/>
      <c r="O431" s="13"/>
      <c r="P431" s="13"/>
      <c r="Q431" s="13"/>
      <c r="R431" s="13"/>
    </row>
    <row r="432" spans="3:18" ht="15.75" customHeight="1" x14ac:dyDescent="0.25">
      <c r="C432" s="26"/>
      <c r="O432" s="13"/>
      <c r="P432" s="13"/>
      <c r="Q432" s="13"/>
      <c r="R432" s="13"/>
    </row>
    <row r="433" spans="3:18" ht="15.75" customHeight="1" x14ac:dyDescent="0.25">
      <c r="C433" s="26"/>
      <c r="O433" s="13"/>
      <c r="P433" s="13"/>
      <c r="Q433" s="13"/>
      <c r="R433" s="13"/>
    </row>
    <row r="434" spans="3:18" ht="15.75" customHeight="1" x14ac:dyDescent="0.25">
      <c r="C434" s="26"/>
      <c r="O434" s="13"/>
      <c r="P434" s="13"/>
      <c r="Q434" s="13"/>
      <c r="R434" s="13"/>
    </row>
    <row r="435" spans="3:18" ht="15.75" customHeight="1" x14ac:dyDescent="0.25">
      <c r="C435" s="26"/>
      <c r="O435" s="13"/>
      <c r="P435" s="13"/>
      <c r="Q435" s="13"/>
      <c r="R435" s="13"/>
    </row>
    <row r="436" spans="3:18" ht="15.75" customHeight="1" x14ac:dyDescent="0.25">
      <c r="C436" s="26"/>
      <c r="O436" s="13"/>
      <c r="P436" s="13"/>
      <c r="Q436" s="13"/>
      <c r="R436" s="13"/>
    </row>
    <row r="437" spans="3:18" ht="15.75" customHeight="1" x14ac:dyDescent="0.25">
      <c r="C437" s="26"/>
      <c r="O437" s="13"/>
      <c r="P437" s="13"/>
      <c r="Q437" s="13"/>
      <c r="R437" s="13"/>
    </row>
    <row r="438" spans="3:18" ht="15.75" customHeight="1" x14ac:dyDescent="0.25">
      <c r="C438" s="26"/>
      <c r="O438" s="13"/>
      <c r="P438" s="13"/>
      <c r="Q438" s="13"/>
      <c r="R438" s="13"/>
    </row>
    <row r="439" spans="3:18" ht="15.75" customHeight="1" x14ac:dyDescent="0.25">
      <c r="C439" s="26"/>
      <c r="O439" s="13"/>
      <c r="P439" s="13"/>
      <c r="Q439" s="13"/>
      <c r="R439" s="13"/>
    </row>
    <row r="440" spans="3:18" ht="15.75" customHeight="1" x14ac:dyDescent="0.25">
      <c r="C440" s="26"/>
      <c r="O440" s="13"/>
      <c r="P440" s="13"/>
      <c r="Q440" s="13"/>
      <c r="R440" s="13"/>
    </row>
    <row r="441" spans="3:18" ht="15.75" customHeight="1" x14ac:dyDescent="0.25">
      <c r="C441" s="26"/>
      <c r="O441" s="13"/>
      <c r="P441" s="13"/>
      <c r="Q441" s="13"/>
      <c r="R441" s="13"/>
    </row>
    <row r="442" spans="3:18" ht="15.75" customHeight="1" x14ac:dyDescent="0.25">
      <c r="C442" s="26"/>
      <c r="O442" s="13"/>
      <c r="P442" s="13"/>
      <c r="Q442" s="13"/>
      <c r="R442" s="13"/>
    </row>
    <row r="443" spans="3:18" ht="15.75" customHeight="1" x14ac:dyDescent="0.25">
      <c r="C443" s="26"/>
      <c r="O443" s="13"/>
      <c r="P443" s="13"/>
      <c r="Q443" s="13"/>
      <c r="R443" s="13"/>
    </row>
    <row r="444" spans="3:18" ht="15.75" customHeight="1" x14ac:dyDescent="0.25">
      <c r="C444" s="26"/>
      <c r="O444" s="13"/>
      <c r="P444" s="13"/>
      <c r="Q444" s="13"/>
      <c r="R444" s="13"/>
    </row>
    <row r="445" spans="3:18" ht="15.75" customHeight="1" x14ac:dyDescent="0.25">
      <c r="C445" s="26"/>
      <c r="O445" s="13"/>
      <c r="P445" s="13"/>
      <c r="Q445" s="13"/>
      <c r="R445" s="13"/>
    </row>
    <row r="446" spans="3:18" ht="15.75" customHeight="1" x14ac:dyDescent="0.25">
      <c r="C446" s="26"/>
      <c r="O446" s="13"/>
      <c r="P446" s="13"/>
      <c r="Q446" s="13"/>
      <c r="R446" s="13"/>
    </row>
    <row r="447" spans="3:18" ht="15.75" customHeight="1" x14ac:dyDescent="0.25">
      <c r="C447" s="26"/>
      <c r="O447" s="13"/>
      <c r="P447" s="13"/>
      <c r="Q447" s="13"/>
      <c r="R447" s="13"/>
    </row>
    <row r="448" spans="3:18" ht="15.75" customHeight="1" x14ac:dyDescent="0.25">
      <c r="C448" s="26"/>
      <c r="O448" s="13"/>
      <c r="P448" s="13"/>
      <c r="Q448" s="13"/>
      <c r="R448" s="13"/>
    </row>
    <row r="449" spans="3:18" ht="15.75" customHeight="1" x14ac:dyDescent="0.25">
      <c r="C449" s="26"/>
      <c r="O449" s="13"/>
      <c r="P449" s="13"/>
      <c r="Q449" s="13"/>
      <c r="R449" s="13"/>
    </row>
    <row r="450" spans="3:18" ht="15.75" customHeight="1" x14ac:dyDescent="0.25">
      <c r="C450" s="26"/>
      <c r="O450" s="13"/>
      <c r="P450" s="13"/>
      <c r="Q450" s="13"/>
      <c r="R450" s="13"/>
    </row>
    <row r="451" spans="3:18" ht="15.75" customHeight="1" x14ac:dyDescent="0.25">
      <c r="C451" s="26"/>
      <c r="O451" s="13"/>
      <c r="P451" s="13"/>
      <c r="Q451" s="13"/>
      <c r="R451" s="13"/>
    </row>
    <row r="452" spans="3:18" ht="15.75" customHeight="1" x14ac:dyDescent="0.25">
      <c r="C452" s="26"/>
      <c r="O452" s="13"/>
      <c r="P452" s="13"/>
      <c r="Q452" s="13"/>
      <c r="R452" s="13"/>
    </row>
    <row r="453" spans="3:18" ht="15.75" customHeight="1" x14ac:dyDescent="0.25">
      <c r="C453" s="26"/>
      <c r="O453" s="13"/>
      <c r="P453" s="13"/>
      <c r="Q453" s="13"/>
      <c r="R453" s="13"/>
    </row>
    <row r="454" spans="3:18" ht="15.75" customHeight="1" x14ac:dyDescent="0.25">
      <c r="C454" s="26"/>
      <c r="O454" s="13"/>
      <c r="P454" s="13"/>
      <c r="Q454" s="13"/>
      <c r="R454" s="13"/>
    </row>
    <row r="455" spans="3:18" ht="15.75" customHeight="1" x14ac:dyDescent="0.25">
      <c r="C455" s="26"/>
      <c r="O455" s="13"/>
      <c r="P455" s="13"/>
      <c r="Q455" s="13"/>
      <c r="R455" s="13"/>
    </row>
    <row r="456" spans="3:18" ht="15.75" customHeight="1" x14ac:dyDescent="0.25">
      <c r="C456" s="26"/>
      <c r="O456" s="13"/>
      <c r="P456" s="13"/>
      <c r="Q456" s="13"/>
      <c r="R456" s="13"/>
    </row>
    <row r="457" spans="3:18" ht="15.75" customHeight="1" x14ac:dyDescent="0.25">
      <c r="C457" s="26"/>
      <c r="O457" s="13"/>
      <c r="P457" s="13"/>
      <c r="Q457" s="13"/>
      <c r="R457" s="13"/>
    </row>
    <row r="458" spans="3:18" ht="15.75" customHeight="1" x14ac:dyDescent="0.25">
      <c r="C458" s="26"/>
      <c r="O458" s="13"/>
      <c r="P458" s="13"/>
      <c r="Q458" s="13"/>
      <c r="R458" s="13"/>
    </row>
    <row r="459" spans="3:18" ht="15.75" customHeight="1" x14ac:dyDescent="0.25">
      <c r="C459" s="26"/>
      <c r="O459" s="13"/>
      <c r="P459" s="13"/>
      <c r="Q459" s="13"/>
      <c r="R459" s="13"/>
    </row>
    <row r="460" spans="3:18" ht="15.75" customHeight="1" x14ac:dyDescent="0.25">
      <c r="C460" s="26"/>
      <c r="O460" s="13"/>
      <c r="P460" s="13"/>
      <c r="Q460" s="13"/>
      <c r="R460" s="13"/>
    </row>
    <row r="461" spans="3:18" ht="15.75" customHeight="1" x14ac:dyDescent="0.25">
      <c r="C461" s="26"/>
      <c r="O461" s="13"/>
      <c r="P461" s="13"/>
      <c r="Q461" s="13"/>
      <c r="R461" s="13"/>
    </row>
    <row r="462" spans="3:18" ht="15.75" customHeight="1" x14ac:dyDescent="0.25">
      <c r="C462" s="26"/>
      <c r="O462" s="13"/>
      <c r="P462" s="13"/>
      <c r="Q462" s="13"/>
      <c r="R462" s="13"/>
    </row>
    <row r="463" spans="3:18" ht="15.75" customHeight="1" x14ac:dyDescent="0.25">
      <c r="C463" s="26"/>
      <c r="O463" s="13"/>
      <c r="P463" s="13"/>
      <c r="Q463" s="13"/>
      <c r="R463" s="13"/>
    </row>
    <row r="464" spans="3:18" ht="15.75" customHeight="1" x14ac:dyDescent="0.25">
      <c r="C464" s="26"/>
      <c r="O464" s="13"/>
      <c r="P464" s="13"/>
      <c r="Q464" s="13"/>
      <c r="R464" s="13"/>
    </row>
    <row r="465" spans="3:18" ht="15.75" customHeight="1" x14ac:dyDescent="0.25">
      <c r="C465" s="26"/>
      <c r="O465" s="13"/>
      <c r="P465" s="13"/>
      <c r="Q465" s="13"/>
      <c r="R465" s="13"/>
    </row>
    <row r="466" spans="3:18" ht="15.75" customHeight="1" x14ac:dyDescent="0.25">
      <c r="C466" s="26"/>
      <c r="O466" s="13"/>
      <c r="P466" s="13"/>
      <c r="Q466" s="13"/>
      <c r="R466" s="13"/>
    </row>
    <row r="467" spans="3:18" ht="15.75" customHeight="1" x14ac:dyDescent="0.25">
      <c r="C467" s="26"/>
      <c r="O467" s="13"/>
      <c r="P467" s="13"/>
      <c r="Q467" s="13"/>
      <c r="R467" s="13"/>
    </row>
    <row r="468" spans="3:18" ht="15.75" customHeight="1" x14ac:dyDescent="0.25">
      <c r="C468" s="26"/>
      <c r="O468" s="13"/>
      <c r="P468" s="13"/>
      <c r="Q468" s="13"/>
      <c r="R468" s="13"/>
    </row>
    <row r="469" spans="3:18" ht="15.75" customHeight="1" x14ac:dyDescent="0.25">
      <c r="C469" s="26"/>
      <c r="O469" s="13"/>
      <c r="P469" s="13"/>
      <c r="Q469" s="13"/>
      <c r="R469" s="13"/>
    </row>
    <row r="470" spans="3:18" ht="15.75" customHeight="1" x14ac:dyDescent="0.25">
      <c r="C470" s="26"/>
      <c r="O470" s="13"/>
      <c r="P470" s="13"/>
      <c r="Q470" s="13"/>
      <c r="R470" s="13"/>
    </row>
    <row r="471" spans="3:18" ht="15.75" customHeight="1" x14ac:dyDescent="0.25">
      <c r="C471" s="26"/>
      <c r="O471" s="13"/>
      <c r="P471" s="13"/>
      <c r="Q471" s="13"/>
      <c r="R471" s="13"/>
    </row>
    <row r="472" spans="3:18" ht="15.75" customHeight="1" x14ac:dyDescent="0.25">
      <c r="C472" s="26"/>
      <c r="O472" s="13"/>
      <c r="P472" s="13"/>
      <c r="Q472" s="13"/>
      <c r="R472" s="13"/>
    </row>
    <row r="473" spans="3:18" ht="15.75" customHeight="1" x14ac:dyDescent="0.25">
      <c r="C473" s="26"/>
      <c r="O473" s="13"/>
      <c r="P473" s="13"/>
      <c r="Q473" s="13"/>
      <c r="R473" s="13"/>
    </row>
    <row r="474" spans="3:18" ht="15.75" customHeight="1" x14ac:dyDescent="0.25">
      <c r="C474" s="26"/>
      <c r="O474" s="13"/>
      <c r="P474" s="13"/>
      <c r="Q474" s="13"/>
      <c r="R474" s="13"/>
    </row>
    <row r="475" spans="3:18" ht="15.75" customHeight="1" x14ac:dyDescent="0.25">
      <c r="C475" s="26"/>
      <c r="O475" s="13"/>
      <c r="P475" s="13"/>
      <c r="Q475" s="13"/>
      <c r="R475" s="13"/>
    </row>
    <row r="476" spans="3:18" ht="15.75" customHeight="1" x14ac:dyDescent="0.25">
      <c r="C476" s="26"/>
      <c r="O476" s="13"/>
      <c r="P476" s="13"/>
      <c r="Q476" s="13"/>
      <c r="R476" s="13"/>
    </row>
    <row r="477" spans="3:18" ht="15.75" customHeight="1" x14ac:dyDescent="0.25">
      <c r="C477" s="26"/>
      <c r="O477" s="13"/>
      <c r="P477" s="13"/>
      <c r="Q477" s="13"/>
      <c r="R477" s="13"/>
    </row>
    <row r="478" spans="3:18" ht="15.75" customHeight="1" x14ac:dyDescent="0.25">
      <c r="C478" s="26"/>
      <c r="O478" s="13"/>
      <c r="P478" s="13"/>
      <c r="Q478" s="13"/>
      <c r="R478" s="13"/>
    </row>
    <row r="479" spans="3:18" ht="15.75" customHeight="1" x14ac:dyDescent="0.25">
      <c r="C479" s="26"/>
      <c r="O479" s="13"/>
      <c r="P479" s="13"/>
      <c r="Q479" s="13"/>
      <c r="R479" s="13"/>
    </row>
    <row r="480" spans="3:18" ht="15.75" customHeight="1" x14ac:dyDescent="0.25">
      <c r="C480" s="26"/>
      <c r="O480" s="13"/>
      <c r="P480" s="13"/>
      <c r="Q480" s="13"/>
      <c r="R480" s="13"/>
    </row>
    <row r="481" spans="3:18" ht="15.75" customHeight="1" x14ac:dyDescent="0.25">
      <c r="C481" s="26"/>
      <c r="O481" s="13"/>
      <c r="P481" s="13"/>
      <c r="Q481" s="13"/>
      <c r="R481" s="13"/>
    </row>
    <row r="482" spans="3:18" ht="15.75" customHeight="1" x14ac:dyDescent="0.25">
      <c r="C482" s="26"/>
      <c r="O482" s="13"/>
      <c r="P482" s="13"/>
      <c r="Q482" s="13"/>
      <c r="R482" s="13"/>
    </row>
    <row r="483" spans="3:18" ht="15.75" customHeight="1" x14ac:dyDescent="0.25">
      <c r="C483" s="26"/>
      <c r="O483" s="13"/>
      <c r="P483" s="13"/>
      <c r="Q483" s="13"/>
      <c r="R483" s="13"/>
    </row>
    <row r="484" spans="3:18" ht="15.75" customHeight="1" x14ac:dyDescent="0.25">
      <c r="C484" s="26"/>
      <c r="O484" s="13"/>
      <c r="P484" s="13"/>
      <c r="Q484" s="13"/>
      <c r="R484" s="13"/>
    </row>
    <row r="485" spans="3:18" ht="15.75" customHeight="1" x14ac:dyDescent="0.25">
      <c r="C485" s="26"/>
      <c r="O485" s="13"/>
      <c r="P485" s="13"/>
      <c r="Q485" s="13"/>
      <c r="R485" s="13"/>
    </row>
    <row r="486" spans="3:18" ht="15.75" customHeight="1" x14ac:dyDescent="0.25">
      <c r="C486" s="26"/>
      <c r="O486" s="13"/>
      <c r="P486" s="13"/>
      <c r="Q486" s="13"/>
      <c r="R486" s="13"/>
    </row>
    <row r="487" spans="3:18" ht="15.75" customHeight="1" x14ac:dyDescent="0.25">
      <c r="C487" s="26"/>
      <c r="O487" s="13"/>
      <c r="P487" s="13"/>
      <c r="Q487" s="13"/>
      <c r="R487" s="13"/>
    </row>
    <row r="488" spans="3:18" ht="15.75" customHeight="1" x14ac:dyDescent="0.25">
      <c r="C488" s="26"/>
      <c r="O488" s="13"/>
      <c r="P488" s="13"/>
      <c r="Q488" s="13"/>
      <c r="R488" s="13"/>
    </row>
    <row r="489" spans="3:18" ht="15.75" customHeight="1" x14ac:dyDescent="0.25">
      <c r="C489" s="26"/>
      <c r="O489" s="13"/>
      <c r="P489" s="13"/>
      <c r="Q489" s="13"/>
      <c r="R489" s="13"/>
    </row>
    <row r="490" spans="3:18" ht="15.75" customHeight="1" x14ac:dyDescent="0.25">
      <c r="C490" s="26"/>
      <c r="O490" s="13"/>
      <c r="P490" s="13"/>
      <c r="Q490" s="13"/>
      <c r="R490" s="13"/>
    </row>
    <row r="491" spans="3:18" ht="15.75" customHeight="1" x14ac:dyDescent="0.25">
      <c r="C491" s="26"/>
      <c r="O491" s="13"/>
      <c r="P491" s="13"/>
      <c r="Q491" s="13"/>
      <c r="R491" s="13"/>
    </row>
    <row r="492" spans="3:18" ht="15.75" customHeight="1" x14ac:dyDescent="0.25">
      <c r="C492" s="26"/>
      <c r="O492" s="13"/>
      <c r="P492" s="13"/>
      <c r="Q492" s="13"/>
      <c r="R492" s="13"/>
    </row>
    <row r="493" spans="3:18" ht="15.75" customHeight="1" x14ac:dyDescent="0.25">
      <c r="C493" s="26"/>
      <c r="O493" s="13"/>
      <c r="P493" s="13"/>
      <c r="Q493" s="13"/>
      <c r="R493" s="13"/>
    </row>
    <row r="494" spans="3:18" ht="15.75" customHeight="1" x14ac:dyDescent="0.25">
      <c r="C494" s="26"/>
      <c r="O494" s="13"/>
      <c r="P494" s="13"/>
      <c r="Q494" s="13"/>
      <c r="R494" s="13"/>
    </row>
    <row r="495" spans="3:18" ht="15.75" customHeight="1" x14ac:dyDescent="0.25">
      <c r="C495" s="26"/>
      <c r="O495" s="13"/>
      <c r="P495" s="13"/>
      <c r="Q495" s="13"/>
      <c r="R495" s="13"/>
    </row>
    <row r="496" spans="3:18" ht="15.75" customHeight="1" x14ac:dyDescent="0.25">
      <c r="C496" s="26"/>
      <c r="O496" s="13"/>
      <c r="P496" s="13"/>
      <c r="Q496" s="13"/>
      <c r="R496" s="13"/>
    </row>
    <row r="497" spans="3:18" ht="15.75" customHeight="1" x14ac:dyDescent="0.25">
      <c r="C497" s="26"/>
      <c r="O497" s="13"/>
      <c r="P497" s="13"/>
      <c r="Q497" s="13"/>
      <c r="R497" s="13"/>
    </row>
    <row r="498" spans="3:18" ht="15.75" customHeight="1" x14ac:dyDescent="0.25">
      <c r="C498" s="26"/>
      <c r="O498" s="13"/>
      <c r="P498" s="13"/>
      <c r="Q498" s="13"/>
      <c r="R498" s="13"/>
    </row>
    <row r="499" spans="3:18" ht="15.75" customHeight="1" x14ac:dyDescent="0.25">
      <c r="C499" s="26"/>
      <c r="O499" s="13"/>
      <c r="P499" s="13"/>
      <c r="Q499" s="13"/>
      <c r="R499" s="13"/>
    </row>
    <row r="500" spans="3:18" ht="15.75" customHeight="1" x14ac:dyDescent="0.25">
      <c r="C500" s="26"/>
      <c r="O500" s="13"/>
      <c r="P500" s="13"/>
      <c r="Q500" s="13"/>
      <c r="R500" s="13"/>
    </row>
    <row r="501" spans="3:18" ht="15.75" customHeight="1" x14ac:dyDescent="0.25">
      <c r="C501" s="26"/>
      <c r="O501" s="13"/>
      <c r="P501" s="13"/>
      <c r="Q501" s="13"/>
      <c r="R501" s="13"/>
    </row>
    <row r="502" spans="3:18" ht="15.75" customHeight="1" x14ac:dyDescent="0.25">
      <c r="C502" s="26"/>
      <c r="O502" s="13"/>
      <c r="P502" s="13"/>
      <c r="Q502" s="13"/>
      <c r="R502" s="13"/>
    </row>
    <row r="503" spans="3:18" ht="15.75" customHeight="1" x14ac:dyDescent="0.25">
      <c r="C503" s="26"/>
      <c r="O503" s="13"/>
      <c r="P503" s="13"/>
      <c r="Q503" s="13"/>
      <c r="R503" s="13"/>
    </row>
    <row r="504" spans="3:18" ht="15.75" customHeight="1" x14ac:dyDescent="0.25">
      <c r="C504" s="26"/>
      <c r="O504" s="13"/>
      <c r="P504" s="13"/>
      <c r="Q504" s="13"/>
      <c r="R504" s="13"/>
    </row>
    <row r="505" spans="3:18" ht="15.75" customHeight="1" x14ac:dyDescent="0.25">
      <c r="C505" s="26"/>
      <c r="O505" s="13"/>
      <c r="P505" s="13"/>
      <c r="Q505" s="13"/>
      <c r="R505" s="13"/>
    </row>
    <row r="506" spans="3:18" ht="15.75" customHeight="1" x14ac:dyDescent="0.25">
      <c r="C506" s="26"/>
      <c r="O506" s="13"/>
      <c r="P506" s="13"/>
      <c r="Q506" s="13"/>
      <c r="R506" s="13"/>
    </row>
    <row r="507" spans="3:18" ht="15.75" customHeight="1" x14ac:dyDescent="0.25">
      <c r="C507" s="26"/>
      <c r="O507" s="13"/>
      <c r="P507" s="13"/>
      <c r="Q507" s="13"/>
      <c r="R507" s="13"/>
    </row>
    <row r="508" spans="3:18" ht="15.75" customHeight="1" x14ac:dyDescent="0.25">
      <c r="C508" s="26"/>
      <c r="O508" s="13"/>
      <c r="P508" s="13"/>
      <c r="Q508" s="13"/>
      <c r="R508" s="13"/>
    </row>
    <row r="509" spans="3:18" ht="15.75" customHeight="1" x14ac:dyDescent="0.25">
      <c r="C509" s="26"/>
      <c r="O509" s="13"/>
      <c r="P509" s="13"/>
      <c r="Q509" s="13"/>
      <c r="R509" s="13"/>
    </row>
    <row r="510" spans="3:18" ht="15.75" customHeight="1" x14ac:dyDescent="0.25">
      <c r="C510" s="26"/>
      <c r="O510" s="13"/>
      <c r="P510" s="13"/>
      <c r="Q510" s="13"/>
      <c r="R510" s="13"/>
    </row>
    <row r="511" spans="3:18" ht="15.75" customHeight="1" x14ac:dyDescent="0.25">
      <c r="C511" s="26"/>
      <c r="O511" s="13"/>
      <c r="P511" s="13"/>
      <c r="Q511" s="13"/>
      <c r="R511" s="13"/>
    </row>
    <row r="512" spans="3:18" ht="15.75" customHeight="1" x14ac:dyDescent="0.25">
      <c r="C512" s="26"/>
      <c r="O512" s="13"/>
      <c r="P512" s="13"/>
      <c r="Q512" s="13"/>
      <c r="R512" s="13"/>
    </row>
    <row r="513" spans="3:18" ht="15.75" customHeight="1" x14ac:dyDescent="0.25">
      <c r="C513" s="26"/>
      <c r="O513" s="13"/>
      <c r="P513" s="13"/>
      <c r="Q513" s="13"/>
      <c r="R513" s="13"/>
    </row>
    <row r="514" spans="3:18" ht="15.75" customHeight="1" x14ac:dyDescent="0.25">
      <c r="C514" s="26"/>
      <c r="O514" s="13"/>
      <c r="P514" s="13"/>
      <c r="Q514" s="13"/>
      <c r="R514" s="13"/>
    </row>
    <row r="515" spans="3:18" ht="15.75" customHeight="1" x14ac:dyDescent="0.25">
      <c r="C515" s="26"/>
      <c r="O515" s="13"/>
      <c r="P515" s="13"/>
      <c r="Q515" s="13"/>
      <c r="R515" s="13"/>
    </row>
    <row r="516" spans="3:18" ht="15.75" customHeight="1" x14ac:dyDescent="0.25">
      <c r="C516" s="26"/>
      <c r="O516" s="13"/>
      <c r="P516" s="13"/>
      <c r="Q516" s="13"/>
      <c r="R516" s="13"/>
    </row>
    <row r="517" spans="3:18" ht="15.75" customHeight="1" x14ac:dyDescent="0.25">
      <c r="C517" s="26"/>
      <c r="O517" s="13"/>
      <c r="P517" s="13"/>
      <c r="Q517" s="13"/>
      <c r="R517" s="13"/>
    </row>
    <row r="518" spans="3:18" ht="15.75" customHeight="1" x14ac:dyDescent="0.25">
      <c r="C518" s="26"/>
      <c r="O518" s="13"/>
      <c r="P518" s="13"/>
      <c r="Q518" s="13"/>
      <c r="R518" s="13"/>
    </row>
    <row r="519" spans="3:18" ht="15.75" customHeight="1" x14ac:dyDescent="0.25">
      <c r="C519" s="26"/>
      <c r="O519" s="13"/>
      <c r="P519" s="13"/>
      <c r="Q519" s="13"/>
      <c r="R519" s="13"/>
    </row>
    <row r="520" spans="3:18" ht="15.75" customHeight="1" x14ac:dyDescent="0.25">
      <c r="C520" s="26"/>
      <c r="O520" s="13"/>
      <c r="P520" s="13"/>
      <c r="Q520" s="13"/>
      <c r="R520" s="13"/>
    </row>
    <row r="521" spans="3:18" ht="15.75" customHeight="1" x14ac:dyDescent="0.25">
      <c r="C521" s="26"/>
      <c r="O521" s="13"/>
      <c r="P521" s="13"/>
      <c r="Q521" s="13"/>
      <c r="R521" s="13"/>
    </row>
    <row r="522" spans="3:18" ht="15.75" customHeight="1" x14ac:dyDescent="0.25">
      <c r="C522" s="26"/>
      <c r="O522" s="13"/>
      <c r="P522" s="13"/>
      <c r="Q522" s="13"/>
      <c r="R522" s="13"/>
    </row>
    <row r="523" spans="3:18" ht="15.75" customHeight="1" x14ac:dyDescent="0.25">
      <c r="C523" s="26"/>
      <c r="O523" s="13"/>
      <c r="P523" s="13"/>
      <c r="Q523" s="13"/>
      <c r="R523" s="13"/>
    </row>
    <row r="524" spans="3:18" ht="15.75" customHeight="1" x14ac:dyDescent="0.25">
      <c r="C524" s="26"/>
      <c r="O524" s="13"/>
      <c r="P524" s="13"/>
      <c r="Q524" s="13"/>
      <c r="R524" s="13"/>
    </row>
    <row r="525" spans="3:18" ht="15.75" customHeight="1" x14ac:dyDescent="0.25">
      <c r="C525" s="26"/>
      <c r="O525" s="13"/>
      <c r="P525" s="13"/>
      <c r="Q525" s="13"/>
      <c r="R525" s="13"/>
    </row>
    <row r="526" spans="3:18" ht="15.75" customHeight="1" x14ac:dyDescent="0.25">
      <c r="C526" s="26"/>
      <c r="O526" s="13"/>
      <c r="P526" s="13"/>
      <c r="Q526" s="13"/>
      <c r="R526" s="13"/>
    </row>
    <row r="527" spans="3:18" ht="15.75" customHeight="1" x14ac:dyDescent="0.25">
      <c r="C527" s="26"/>
      <c r="O527" s="13"/>
      <c r="P527" s="13"/>
      <c r="Q527" s="13"/>
      <c r="R527" s="13"/>
    </row>
    <row r="528" spans="3:18" ht="15.75" customHeight="1" x14ac:dyDescent="0.25">
      <c r="C528" s="26"/>
      <c r="O528" s="13"/>
      <c r="P528" s="13"/>
      <c r="Q528" s="13"/>
      <c r="R528" s="13"/>
    </row>
    <row r="529" spans="3:18" ht="15.75" customHeight="1" x14ac:dyDescent="0.25">
      <c r="C529" s="26"/>
      <c r="O529" s="13"/>
      <c r="P529" s="13"/>
      <c r="Q529" s="13"/>
      <c r="R529" s="13"/>
    </row>
    <row r="530" spans="3:18" ht="15.75" customHeight="1" x14ac:dyDescent="0.25">
      <c r="C530" s="26"/>
      <c r="O530" s="13"/>
      <c r="P530" s="13"/>
      <c r="Q530" s="13"/>
      <c r="R530" s="13"/>
    </row>
    <row r="531" spans="3:18" ht="15.75" customHeight="1" x14ac:dyDescent="0.25">
      <c r="C531" s="26"/>
      <c r="O531" s="13"/>
      <c r="P531" s="13"/>
      <c r="Q531" s="13"/>
      <c r="R531" s="13"/>
    </row>
    <row r="532" spans="3:18" ht="15.75" customHeight="1" x14ac:dyDescent="0.25">
      <c r="C532" s="26"/>
      <c r="O532" s="13"/>
      <c r="P532" s="13"/>
      <c r="Q532" s="13"/>
      <c r="R532" s="13"/>
    </row>
    <row r="533" spans="3:18" ht="15.75" customHeight="1" x14ac:dyDescent="0.25">
      <c r="C533" s="26"/>
      <c r="O533" s="13"/>
      <c r="P533" s="13"/>
      <c r="Q533" s="13"/>
      <c r="R533" s="13"/>
    </row>
    <row r="534" spans="3:18" ht="15.75" customHeight="1" x14ac:dyDescent="0.25">
      <c r="C534" s="26"/>
      <c r="O534" s="13"/>
      <c r="P534" s="13"/>
      <c r="Q534" s="13"/>
      <c r="R534" s="13"/>
    </row>
    <row r="535" spans="3:18" ht="15.75" customHeight="1" x14ac:dyDescent="0.25">
      <c r="C535" s="26"/>
      <c r="O535" s="13"/>
      <c r="P535" s="13"/>
      <c r="Q535" s="13"/>
      <c r="R535" s="13"/>
    </row>
    <row r="536" spans="3:18" ht="15.75" customHeight="1" x14ac:dyDescent="0.25">
      <c r="C536" s="26"/>
      <c r="O536" s="13"/>
      <c r="P536" s="13"/>
      <c r="Q536" s="13"/>
      <c r="R536" s="13"/>
    </row>
    <row r="537" spans="3:18" ht="15.75" customHeight="1" x14ac:dyDescent="0.25">
      <c r="C537" s="26"/>
      <c r="O537" s="13"/>
      <c r="P537" s="13"/>
      <c r="Q537" s="13"/>
      <c r="R537" s="13"/>
    </row>
    <row r="538" spans="3:18" ht="15.75" customHeight="1" x14ac:dyDescent="0.25">
      <c r="C538" s="26"/>
      <c r="O538" s="13"/>
      <c r="P538" s="13"/>
      <c r="Q538" s="13"/>
      <c r="R538" s="13"/>
    </row>
    <row r="539" spans="3:18" ht="15.75" customHeight="1" x14ac:dyDescent="0.25">
      <c r="C539" s="26"/>
      <c r="O539" s="13"/>
      <c r="P539" s="13"/>
      <c r="Q539" s="13"/>
      <c r="R539" s="13"/>
    </row>
    <row r="540" spans="3:18" ht="15.75" customHeight="1" x14ac:dyDescent="0.25">
      <c r="C540" s="26"/>
      <c r="O540" s="13"/>
      <c r="P540" s="13"/>
      <c r="Q540" s="13"/>
      <c r="R540" s="13"/>
    </row>
    <row r="541" spans="3:18" ht="15.75" customHeight="1" x14ac:dyDescent="0.25">
      <c r="C541" s="26"/>
      <c r="O541" s="13"/>
      <c r="P541" s="13"/>
      <c r="Q541" s="13"/>
      <c r="R541" s="13"/>
    </row>
    <row r="542" spans="3:18" ht="15.75" customHeight="1" x14ac:dyDescent="0.25">
      <c r="C542" s="26"/>
      <c r="O542" s="13"/>
      <c r="P542" s="13"/>
      <c r="Q542" s="13"/>
      <c r="R542" s="13"/>
    </row>
    <row r="543" spans="3:18" ht="15.75" customHeight="1" x14ac:dyDescent="0.25">
      <c r="C543" s="26"/>
      <c r="O543" s="13"/>
      <c r="P543" s="13"/>
      <c r="Q543" s="13"/>
      <c r="R543" s="13"/>
    </row>
    <row r="544" spans="3:18" ht="15.75" customHeight="1" x14ac:dyDescent="0.25">
      <c r="C544" s="26"/>
      <c r="O544" s="13"/>
      <c r="P544" s="13"/>
      <c r="Q544" s="13"/>
      <c r="R544" s="13"/>
    </row>
    <row r="545" spans="3:18" ht="15.75" customHeight="1" x14ac:dyDescent="0.25">
      <c r="C545" s="26"/>
      <c r="O545" s="13"/>
      <c r="P545" s="13"/>
      <c r="Q545" s="13"/>
      <c r="R545" s="13"/>
    </row>
    <row r="546" spans="3:18" ht="15.75" customHeight="1" x14ac:dyDescent="0.25">
      <c r="C546" s="26"/>
      <c r="O546" s="13"/>
      <c r="P546" s="13"/>
      <c r="Q546" s="13"/>
      <c r="R546" s="13"/>
    </row>
    <row r="547" spans="3:18" ht="15.75" customHeight="1" x14ac:dyDescent="0.25">
      <c r="C547" s="26"/>
      <c r="O547" s="13"/>
      <c r="P547" s="13"/>
      <c r="Q547" s="13"/>
      <c r="R547" s="13"/>
    </row>
    <row r="548" spans="3:18" ht="15.75" customHeight="1" x14ac:dyDescent="0.25">
      <c r="C548" s="26"/>
      <c r="O548" s="13"/>
      <c r="P548" s="13"/>
      <c r="Q548" s="13"/>
      <c r="R548" s="13"/>
    </row>
    <row r="549" spans="3:18" ht="15.75" customHeight="1" x14ac:dyDescent="0.25">
      <c r="C549" s="26"/>
      <c r="O549" s="13"/>
      <c r="P549" s="13"/>
      <c r="Q549" s="13"/>
      <c r="R549" s="13"/>
    </row>
    <row r="550" spans="3:18" ht="15.75" customHeight="1" x14ac:dyDescent="0.25">
      <c r="C550" s="26"/>
      <c r="O550" s="13"/>
      <c r="P550" s="13"/>
      <c r="Q550" s="13"/>
      <c r="R550" s="13"/>
    </row>
    <row r="551" spans="3:18" ht="15.75" customHeight="1" x14ac:dyDescent="0.25">
      <c r="C551" s="26"/>
      <c r="O551" s="13"/>
      <c r="P551" s="13"/>
      <c r="Q551" s="13"/>
      <c r="R551" s="13"/>
    </row>
    <row r="552" spans="3:18" ht="15.75" customHeight="1" x14ac:dyDescent="0.25">
      <c r="C552" s="26"/>
      <c r="O552" s="13"/>
      <c r="P552" s="13"/>
      <c r="Q552" s="13"/>
      <c r="R552" s="13"/>
    </row>
    <row r="553" spans="3:18" ht="15.75" customHeight="1" x14ac:dyDescent="0.25">
      <c r="C553" s="26"/>
      <c r="O553" s="13"/>
      <c r="P553" s="13"/>
      <c r="Q553" s="13"/>
      <c r="R553" s="13"/>
    </row>
    <row r="554" spans="3:18" ht="15.75" customHeight="1" x14ac:dyDescent="0.25">
      <c r="C554" s="26"/>
      <c r="O554" s="13"/>
      <c r="P554" s="13"/>
      <c r="Q554" s="13"/>
      <c r="R554" s="13"/>
    </row>
    <row r="555" spans="3:18" ht="15.75" customHeight="1" x14ac:dyDescent="0.25">
      <c r="C555" s="26"/>
      <c r="O555" s="13"/>
      <c r="P555" s="13"/>
      <c r="Q555" s="13"/>
      <c r="R555" s="13"/>
    </row>
    <row r="556" spans="3:18" ht="15.75" customHeight="1" x14ac:dyDescent="0.25">
      <c r="C556" s="26"/>
      <c r="O556" s="13"/>
      <c r="P556" s="13"/>
      <c r="Q556" s="13"/>
      <c r="R556" s="13"/>
    </row>
    <row r="557" spans="3:18" ht="15.75" customHeight="1" x14ac:dyDescent="0.25">
      <c r="C557" s="26"/>
      <c r="O557" s="13"/>
      <c r="P557" s="13"/>
      <c r="Q557" s="13"/>
      <c r="R557" s="13"/>
    </row>
    <row r="558" spans="3:18" ht="15.75" customHeight="1" x14ac:dyDescent="0.25">
      <c r="C558" s="26"/>
      <c r="O558" s="13"/>
      <c r="P558" s="13"/>
      <c r="Q558" s="13"/>
      <c r="R558" s="13"/>
    </row>
    <row r="559" spans="3:18" ht="15.75" customHeight="1" x14ac:dyDescent="0.25">
      <c r="C559" s="26"/>
      <c r="O559" s="13"/>
      <c r="P559" s="13"/>
      <c r="Q559" s="13"/>
      <c r="R559" s="13"/>
    </row>
    <row r="560" spans="3:18" ht="15.75" customHeight="1" x14ac:dyDescent="0.25">
      <c r="C560" s="26"/>
      <c r="O560" s="13"/>
      <c r="P560" s="13"/>
      <c r="Q560" s="13"/>
      <c r="R560" s="13"/>
    </row>
    <row r="561" spans="3:18" ht="15.75" customHeight="1" x14ac:dyDescent="0.25">
      <c r="C561" s="26"/>
      <c r="O561" s="13"/>
      <c r="P561" s="13"/>
      <c r="Q561" s="13"/>
      <c r="R561" s="13"/>
    </row>
    <row r="562" spans="3:18" ht="15.75" customHeight="1" x14ac:dyDescent="0.25">
      <c r="C562" s="26"/>
      <c r="O562" s="13"/>
      <c r="P562" s="13"/>
      <c r="Q562" s="13"/>
      <c r="R562" s="13"/>
    </row>
    <row r="563" spans="3:18" ht="15.75" customHeight="1" x14ac:dyDescent="0.25">
      <c r="C563" s="26"/>
      <c r="O563" s="13"/>
      <c r="P563" s="13"/>
      <c r="Q563" s="13"/>
      <c r="R563" s="13"/>
    </row>
    <row r="564" spans="3:18" ht="15.75" customHeight="1" x14ac:dyDescent="0.25">
      <c r="C564" s="26"/>
      <c r="O564" s="13"/>
      <c r="P564" s="13"/>
      <c r="Q564" s="13"/>
      <c r="R564" s="13"/>
    </row>
    <row r="565" spans="3:18" ht="15.75" customHeight="1" x14ac:dyDescent="0.25">
      <c r="C565" s="26"/>
      <c r="O565" s="13"/>
      <c r="P565" s="13"/>
      <c r="Q565" s="13"/>
      <c r="R565" s="13"/>
    </row>
    <row r="566" spans="3:18" ht="15.75" customHeight="1" x14ac:dyDescent="0.25">
      <c r="C566" s="26"/>
      <c r="O566" s="13"/>
      <c r="P566" s="13"/>
      <c r="Q566" s="13"/>
      <c r="R566" s="13"/>
    </row>
    <row r="567" spans="3:18" ht="15.75" customHeight="1" x14ac:dyDescent="0.25">
      <c r="C567" s="26"/>
      <c r="O567" s="13"/>
      <c r="P567" s="13"/>
      <c r="Q567" s="13"/>
      <c r="R567" s="13"/>
    </row>
    <row r="568" spans="3:18" ht="15.75" customHeight="1" x14ac:dyDescent="0.25">
      <c r="C568" s="26"/>
      <c r="O568" s="13"/>
      <c r="P568" s="13"/>
      <c r="Q568" s="13"/>
      <c r="R568" s="13"/>
    </row>
    <row r="569" spans="3:18" ht="15.75" customHeight="1" x14ac:dyDescent="0.25">
      <c r="C569" s="26"/>
      <c r="O569" s="13"/>
      <c r="P569" s="13"/>
      <c r="Q569" s="13"/>
      <c r="R569" s="13"/>
    </row>
    <row r="570" spans="3:18" ht="15.75" customHeight="1" x14ac:dyDescent="0.25">
      <c r="C570" s="26"/>
      <c r="O570" s="13"/>
      <c r="P570" s="13"/>
      <c r="Q570" s="13"/>
      <c r="R570" s="13"/>
    </row>
    <row r="571" spans="3:18" ht="15.75" customHeight="1" x14ac:dyDescent="0.25">
      <c r="C571" s="26"/>
      <c r="O571" s="13"/>
      <c r="P571" s="13"/>
      <c r="Q571" s="13"/>
      <c r="R571" s="13"/>
    </row>
    <row r="572" spans="3:18" ht="15.75" customHeight="1" x14ac:dyDescent="0.25">
      <c r="C572" s="26"/>
      <c r="O572" s="13"/>
      <c r="P572" s="13"/>
      <c r="Q572" s="13"/>
      <c r="R572" s="13"/>
    </row>
    <row r="573" spans="3:18" ht="15.75" customHeight="1" x14ac:dyDescent="0.25">
      <c r="C573" s="26"/>
      <c r="O573" s="13"/>
      <c r="P573" s="13"/>
      <c r="Q573" s="13"/>
      <c r="R573" s="13"/>
    </row>
    <row r="574" spans="3:18" ht="15.75" customHeight="1" x14ac:dyDescent="0.25">
      <c r="C574" s="26"/>
      <c r="O574" s="13"/>
      <c r="P574" s="13"/>
      <c r="Q574" s="13"/>
      <c r="R574" s="13"/>
    </row>
    <row r="575" spans="3:18" ht="15.75" customHeight="1" x14ac:dyDescent="0.25">
      <c r="C575" s="26"/>
      <c r="O575" s="13"/>
      <c r="P575" s="13"/>
      <c r="Q575" s="13"/>
      <c r="R575" s="13"/>
    </row>
    <row r="576" spans="3:18" ht="15.75" customHeight="1" x14ac:dyDescent="0.25">
      <c r="C576" s="26"/>
      <c r="O576" s="13"/>
      <c r="P576" s="13"/>
      <c r="Q576" s="13"/>
      <c r="R576" s="13"/>
    </row>
    <row r="577" spans="3:18" ht="15.75" customHeight="1" x14ac:dyDescent="0.25">
      <c r="C577" s="26"/>
      <c r="O577" s="13"/>
      <c r="P577" s="13"/>
      <c r="Q577" s="13"/>
      <c r="R577" s="13"/>
    </row>
    <row r="578" spans="3:18" ht="15.75" customHeight="1" x14ac:dyDescent="0.25">
      <c r="C578" s="26"/>
      <c r="O578" s="13"/>
      <c r="P578" s="13"/>
      <c r="Q578" s="13"/>
      <c r="R578" s="13"/>
    </row>
    <row r="579" spans="3:18" ht="15.75" customHeight="1" x14ac:dyDescent="0.25">
      <c r="C579" s="26"/>
      <c r="O579" s="13"/>
      <c r="P579" s="13"/>
      <c r="Q579" s="13"/>
      <c r="R579" s="13"/>
    </row>
    <row r="580" spans="3:18" ht="15.75" customHeight="1" x14ac:dyDescent="0.25">
      <c r="C580" s="26"/>
      <c r="O580" s="13"/>
      <c r="P580" s="13"/>
      <c r="Q580" s="13"/>
      <c r="R580" s="13"/>
    </row>
    <row r="581" spans="3:18" ht="15.75" customHeight="1" x14ac:dyDescent="0.25">
      <c r="C581" s="26"/>
      <c r="O581" s="13"/>
      <c r="P581" s="13"/>
      <c r="Q581" s="13"/>
      <c r="R581" s="13"/>
    </row>
    <row r="582" spans="3:18" ht="15.75" customHeight="1" x14ac:dyDescent="0.25">
      <c r="C582" s="26"/>
      <c r="O582" s="13"/>
      <c r="P582" s="13"/>
      <c r="Q582" s="13"/>
      <c r="R582" s="13"/>
    </row>
    <row r="583" spans="3:18" ht="15.75" customHeight="1" x14ac:dyDescent="0.25">
      <c r="C583" s="26"/>
      <c r="O583" s="13"/>
      <c r="P583" s="13"/>
      <c r="Q583" s="13"/>
      <c r="R583" s="13"/>
    </row>
    <row r="584" spans="3:18" ht="15.75" customHeight="1" x14ac:dyDescent="0.25">
      <c r="C584" s="26"/>
      <c r="O584" s="13"/>
      <c r="P584" s="13"/>
      <c r="Q584" s="13"/>
      <c r="R584" s="13"/>
    </row>
    <row r="585" spans="3:18" ht="15.75" customHeight="1" x14ac:dyDescent="0.25">
      <c r="C585" s="26"/>
      <c r="O585" s="13"/>
      <c r="P585" s="13"/>
      <c r="Q585" s="13"/>
      <c r="R585" s="13"/>
    </row>
    <row r="586" spans="3:18" ht="15.75" customHeight="1" x14ac:dyDescent="0.25">
      <c r="C586" s="26"/>
      <c r="O586" s="13"/>
      <c r="P586" s="13"/>
      <c r="Q586" s="13"/>
      <c r="R586" s="13"/>
    </row>
    <row r="587" spans="3:18" ht="15.75" customHeight="1" x14ac:dyDescent="0.25">
      <c r="C587" s="26"/>
      <c r="O587" s="13"/>
      <c r="P587" s="13"/>
      <c r="Q587" s="13"/>
      <c r="R587" s="13"/>
    </row>
    <row r="588" spans="3:18" ht="15.75" customHeight="1" x14ac:dyDescent="0.25">
      <c r="C588" s="26"/>
      <c r="O588" s="13"/>
      <c r="P588" s="13"/>
      <c r="Q588" s="13"/>
      <c r="R588" s="13"/>
    </row>
    <row r="589" spans="3:18" ht="15.75" customHeight="1" x14ac:dyDescent="0.25">
      <c r="C589" s="26"/>
      <c r="O589" s="13"/>
      <c r="P589" s="13"/>
      <c r="Q589" s="13"/>
      <c r="R589" s="13"/>
    </row>
    <row r="590" spans="3:18" ht="15.75" customHeight="1" x14ac:dyDescent="0.25">
      <c r="C590" s="26"/>
      <c r="O590" s="13"/>
      <c r="P590" s="13"/>
      <c r="Q590" s="13"/>
      <c r="R590" s="13"/>
    </row>
    <row r="591" spans="3:18" ht="15.75" customHeight="1" x14ac:dyDescent="0.25">
      <c r="C591" s="26"/>
      <c r="O591" s="13"/>
      <c r="P591" s="13"/>
      <c r="Q591" s="13"/>
      <c r="R591" s="13"/>
    </row>
    <row r="592" spans="3:18" ht="15.75" customHeight="1" x14ac:dyDescent="0.25">
      <c r="C592" s="26"/>
      <c r="O592" s="13"/>
      <c r="P592" s="13"/>
      <c r="Q592" s="13"/>
      <c r="R592" s="13"/>
    </row>
    <row r="593" spans="3:18" ht="15.75" customHeight="1" x14ac:dyDescent="0.25">
      <c r="C593" s="26"/>
      <c r="O593" s="13"/>
      <c r="P593" s="13"/>
      <c r="Q593" s="13"/>
      <c r="R593" s="13"/>
    </row>
    <row r="594" spans="3:18" ht="15.75" customHeight="1" x14ac:dyDescent="0.25">
      <c r="C594" s="26"/>
      <c r="O594" s="13"/>
      <c r="P594" s="13"/>
      <c r="Q594" s="13"/>
      <c r="R594" s="13"/>
    </row>
    <row r="595" spans="3:18" ht="15.75" customHeight="1" x14ac:dyDescent="0.25">
      <c r="C595" s="26"/>
      <c r="O595" s="13"/>
      <c r="P595" s="13"/>
      <c r="Q595" s="13"/>
      <c r="R595" s="13"/>
    </row>
    <row r="596" spans="3:18" ht="15.75" customHeight="1" x14ac:dyDescent="0.25">
      <c r="C596" s="26"/>
      <c r="O596" s="13"/>
      <c r="P596" s="13"/>
      <c r="Q596" s="13"/>
      <c r="R596" s="13"/>
    </row>
    <row r="597" spans="3:18" ht="15.75" customHeight="1" x14ac:dyDescent="0.25">
      <c r="C597" s="26"/>
      <c r="O597" s="13"/>
      <c r="P597" s="13"/>
      <c r="Q597" s="13"/>
      <c r="R597" s="13"/>
    </row>
    <row r="598" spans="3:18" ht="15.75" customHeight="1" x14ac:dyDescent="0.25">
      <c r="C598" s="26"/>
      <c r="O598" s="13"/>
      <c r="P598" s="13"/>
      <c r="Q598" s="13"/>
      <c r="R598" s="13"/>
    </row>
    <row r="599" spans="3:18" ht="15.75" customHeight="1" x14ac:dyDescent="0.25">
      <c r="C599" s="26"/>
      <c r="O599" s="13"/>
      <c r="P599" s="13"/>
      <c r="Q599" s="13"/>
      <c r="R599" s="13"/>
    </row>
    <row r="600" spans="3:18" ht="15.75" customHeight="1" x14ac:dyDescent="0.25">
      <c r="C600" s="26"/>
      <c r="O600" s="13"/>
      <c r="P600" s="13"/>
      <c r="Q600" s="13"/>
      <c r="R600" s="13"/>
    </row>
    <row r="601" spans="3:18" ht="15.75" customHeight="1" x14ac:dyDescent="0.25">
      <c r="C601" s="26"/>
      <c r="O601" s="13"/>
      <c r="P601" s="13"/>
      <c r="Q601" s="13"/>
      <c r="R601" s="13"/>
    </row>
    <row r="602" spans="3:18" ht="15.75" customHeight="1" x14ac:dyDescent="0.25">
      <c r="C602" s="26"/>
      <c r="O602" s="13"/>
      <c r="P602" s="13"/>
      <c r="Q602" s="13"/>
      <c r="R602" s="13"/>
    </row>
    <row r="603" spans="3:18" ht="15.75" customHeight="1" x14ac:dyDescent="0.25">
      <c r="C603" s="26"/>
      <c r="O603" s="13"/>
      <c r="P603" s="13"/>
      <c r="Q603" s="13"/>
      <c r="R603" s="13"/>
    </row>
    <row r="604" spans="3:18" ht="15.75" customHeight="1" x14ac:dyDescent="0.25">
      <c r="C604" s="26"/>
      <c r="O604" s="13"/>
      <c r="P604" s="13"/>
      <c r="Q604" s="13"/>
      <c r="R604" s="13"/>
    </row>
    <row r="605" spans="3:18" ht="15.75" customHeight="1" x14ac:dyDescent="0.25">
      <c r="C605" s="26"/>
      <c r="O605" s="13"/>
      <c r="P605" s="13"/>
      <c r="Q605" s="13"/>
      <c r="R605" s="13"/>
    </row>
    <row r="606" spans="3:18" ht="15.75" customHeight="1" x14ac:dyDescent="0.25">
      <c r="C606" s="26"/>
      <c r="O606" s="13"/>
      <c r="P606" s="13"/>
      <c r="Q606" s="13"/>
      <c r="R606" s="13"/>
    </row>
    <row r="607" spans="3:18" ht="15.75" customHeight="1" x14ac:dyDescent="0.25">
      <c r="C607" s="26"/>
      <c r="O607" s="13"/>
      <c r="P607" s="13"/>
      <c r="Q607" s="13"/>
      <c r="R607" s="13"/>
    </row>
    <row r="608" spans="3:18" ht="15.75" customHeight="1" x14ac:dyDescent="0.25">
      <c r="C608" s="26"/>
      <c r="O608" s="13"/>
      <c r="P608" s="13"/>
      <c r="Q608" s="13"/>
      <c r="R608" s="13"/>
    </row>
    <row r="609" spans="3:18" ht="15.75" customHeight="1" x14ac:dyDescent="0.25">
      <c r="C609" s="26"/>
      <c r="O609" s="13"/>
      <c r="P609" s="13"/>
      <c r="Q609" s="13"/>
      <c r="R609" s="13"/>
    </row>
    <row r="610" spans="3:18" ht="15.75" customHeight="1" x14ac:dyDescent="0.25">
      <c r="C610" s="26"/>
      <c r="O610" s="13"/>
      <c r="P610" s="13"/>
      <c r="Q610" s="13"/>
      <c r="R610" s="13"/>
    </row>
    <row r="611" spans="3:18" ht="15.75" customHeight="1" x14ac:dyDescent="0.25">
      <c r="C611" s="26"/>
      <c r="O611" s="13"/>
      <c r="P611" s="13"/>
      <c r="Q611" s="13"/>
      <c r="R611" s="13"/>
    </row>
    <row r="612" spans="3:18" ht="15.75" customHeight="1" x14ac:dyDescent="0.25">
      <c r="C612" s="26"/>
      <c r="O612" s="13"/>
      <c r="P612" s="13"/>
      <c r="Q612" s="13"/>
      <c r="R612" s="13"/>
    </row>
    <row r="613" spans="3:18" ht="15.75" customHeight="1" x14ac:dyDescent="0.25">
      <c r="C613" s="26"/>
      <c r="O613" s="13"/>
      <c r="P613" s="13"/>
      <c r="Q613" s="13"/>
      <c r="R613" s="13"/>
    </row>
    <row r="614" spans="3:18" ht="15.75" customHeight="1" x14ac:dyDescent="0.25">
      <c r="C614" s="26"/>
      <c r="O614" s="13"/>
      <c r="P614" s="13"/>
      <c r="Q614" s="13"/>
      <c r="R614" s="13"/>
    </row>
    <row r="615" spans="3:18" ht="15.75" customHeight="1" x14ac:dyDescent="0.25">
      <c r="C615" s="26"/>
      <c r="O615" s="13"/>
      <c r="P615" s="13"/>
      <c r="Q615" s="13"/>
      <c r="R615" s="13"/>
    </row>
    <row r="616" spans="3:18" ht="15.75" customHeight="1" x14ac:dyDescent="0.25">
      <c r="C616" s="26"/>
      <c r="O616" s="13"/>
      <c r="P616" s="13"/>
      <c r="Q616" s="13"/>
      <c r="R616" s="13"/>
    </row>
    <row r="617" spans="3:18" ht="15.75" customHeight="1" x14ac:dyDescent="0.25">
      <c r="C617" s="26"/>
      <c r="O617" s="13"/>
      <c r="P617" s="13"/>
      <c r="Q617" s="13"/>
      <c r="R617" s="13"/>
    </row>
    <row r="618" spans="3:18" ht="15.75" customHeight="1" x14ac:dyDescent="0.25">
      <c r="C618" s="26"/>
      <c r="O618" s="13"/>
      <c r="P618" s="13"/>
      <c r="Q618" s="13"/>
      <c r="R618" s="13"/>
    </row>
    <row r="619" spans="3:18" ht="15.75" customHeight="1" x14ac:dyDescent="0.25">
      <c r="C619" s="26"/>
      <c r="O619" s="13"/>
      <c r="P619" s="13"/>
      <c r="Q619" s="13"/>
      <c r="R619" s="13"/>
    </row>
    <row r="620" spans="3:18" ht="15.75" customHeight="1" x14ac:dyDescent="0.25">
      <c r="C620" s="26"/>
      <c r="O620" s="13"/>
      <c r="P620" s="13"/>
      <c r="Q620" s="13"/>
      <c r="R620" s="13"/>
    </row>
    <row r="621" spans="3:18" ht="15.75" customHeight="1" x14ac:dyDescent="0.25">
      <c r="C621" s="26"/>
      <c r="O621" s="13"/>
      <c r="P621" s="13"/>
      <c r="Q621" s="13"/>
      <c r="R621" s="13"/>
    </row>
    <row r="622" spans="3:18" ht="15.75" customHeight="1" x14ac:dyDescent="0.25">
      <c r="C622" s="26"/>
      <c r="O622" s="13"/>
      <c r="P622" s="13"/>
      <c r="Q622" s="13"/>
      <c r="R622" s="13"/>
    </row>
    <row r="623" spans="3:18" ht="15.75" customHeight="1" x14ac:dyDescent="0.25">
      <c r="C623" s="26"/>
      <c r="O623" s="13"/>
      <c r="P623" s="13"/>
      <c r="Q623" s="13"/>
      <c r="R623" s="13"/>
    </row>
    <row r="624" spans="3:18" ht="15.75" customHeight="1" x14ac:dyDescent="0.25">
      <c r="C624" s="26"/>
      <c r="O624" s="13"/>
      <c r="P624" s="13"/>
      <c r="Q624" s="13"/>
      <c r="R624" s="13"/>
    </row>
    <row r="625" spans="3:18" ht="15.75" customHeight="1" x14ac:dyDescent="0.25">
      <c r="C625" s="26"/>
      <c r="O625" s="13"/>
      <c r="P625" s="13"/>
      <c r="Q625" s="13"/>
      <c r="R625" s="13"/>
    </row>
    <row r="626" spans="3:18" ht="15.75" customHeight="1" x14ac:dyDescent="0.25">
      <c r="C626" s="26"/>
      <c r="O626" s="13"/>
      <c r="P626" s="13"/>
      <c r="Q626" s="13"/>
      <c r="R626" s="13"/>
    </row>
    <row r="627" spans="3:18" ht="15.75" customHeight="1" x14ac:dyDescent="0.25">
      <c r="C627" s="26"/>
      <c r="O627" s="13"/>
      <c r="P627" s="13"/>
      <c r="Q627" s="13"/>
      <c r="R627" s="13"/>
    </row>
    <row r="628" spans="3:18" ht="15.75" customHeight="1" x14ac:dyDescent="0.25">
      <c r="C628" s="26"/>
      <c r="O628" s="13"/>
      <c r="P628" s="13"/>
      <c r="Q628" s="13"/>
      <c r="R628" s="13"/>
    </row>
    <row r="629" spans="3:18" ht="15.75" customHeight="1" x14ac:dyDescent="0.25">
      <c r="C629" s="26"/>
      <c r="O629" s="13"/>
      <c r="P629" s="13"/>
      <c r="Q629" s="13"/>
      <c r="R629" s="13"/>
    </row>
    <row r="630" spans="3:18" ht="15.75" customHeight="1" x14ac:dyDescent="0.25">
      <c r="C630" s="26"/>
      <c r="O630" s="13"/>
      <c r="P630" s="13"/>
      <c r="Q630" s="13"/>
      <c r="R630" s="13"/>
    </row>
    <row r="631" spans="3:18" ht="15.75" customHeight="1" x14ac:dyDescent="0.25">
      <c r="C631" s="26"/>
      <c r="O631" s="13"/>
      <c r="P631" s="13"/>
      <c r="Q631" s="13"/>
      <c r="R631" s="13"/>
    </row>
    <row r="632" spans="3:18" ht="15.75" customHeight="1" x14ac:dyDescent="0.25">
      <c r="C632" s="26"/>
      <c r="O632" s="13"/>
      <c r="P632" s="13"/>
      <c r="Q632" s="13"/>
      <c r="R632" s="13"/>
    </row>
    <row r="633" spans="3:18" ht="15.75" customHeight="1" x14ac:dyDescent="0.25">
      <c r="C633" s="26"/>
      <c r="O633" s="13"/>
      <c r="P633" s="13"/>
      <c r="Q633" s="13"/>
      <c r="R633" s="13"/>
    </row>
    <row r="634" spans="3:18" ht="15.75" customHeight="1" x14ac:dyDescent="0.25">
      <c r="C634" s="26"/>
      <c r="O634" s="13"/>
      <c r="P634" s="13"/>
      <c r="Q634" s="13"/>
      <c r="R634" s="13"/>
    </row>
    <row r="635" spans="3:18" ht="15.75" customHeight="1" x14ac:dyDescent="0.25">
      <c r="C635" s="26"/>
      <c r="O635" s="13"/>
      <c r="P635" s="13"/>
      <c r="Q635" s="13"/>
      <c r="R635" s="13"/>
    </row>
    <row r="636" spans="3:18" ht="15.75" customHeight="1" x14ac:dyDescent="0.25">
      <c r="C636" s="26"/>
      <c r="O636" s="13"/>
      <c r="P636" s="13"/>
      <c r="Q636" s="13"/>
      <c r="R636" s="13"/>
    </row>
    <row r="637" spans="3:18" ht="15.75" customHeight="1" x14ac:dyDescent="0.25">
      <c r="C637" s="26"/>
      <c r="O637" s="13"/>
      <c r="P637" s="13"/>
      <c r="Q637" s="13"/>
      <c r="R637" s="13"/>
    </row>
    <row r="638" spans="3:18" ht="15.75" customHeight="1" x14ac:dyDescent="0.25">
      <c r="C638" s="26"/>
      <c r="O638" s="13"/>
      <c r="P638" s="13"/>
      <c r="Q638" s="13"/>
      <c r="R638" s="13"/>
    </row>
    <row r="639" spans="3:18" ht="15.75" customHeight="1" x14ac:dyDescent="0.25">
      <c r="C639" s="26"/>
      <c r="O639" s="13"/>
      <c r="P639" s="13"/>
      <c r="Q639" s="13"/>
      <c r="R639" s="13"/>
    </row>
    <row r="640" spans="3:18" ht="15.75" customHeight="1" x14ac:dyDescent="0.25">
      <c r="C640" s="26"/>
      <c r="O640" s="13"/>
      <c r="P640" s="13"/>
      <c r="Q640" s="13"/>
      <c r="R640" s="13"/>
    </row>
    <row r="641" spans="3:18" ht="15.75" customHeight="1" x14ac:dyDescent="0.25">
      <c r="C641" s="26"/>
      <c r="O641" s="13"/>
      <c r="P641" s="13"/>
      <c r="Q641" s="13"/>
      <c r="R641" s="13"/>
    </row>
    <row r="642" spans="3:18" ht="15.75" customHeight="1" x14ac:dyDescent="0.25">
      <c r="C642" s="26"/>
      <c r="O642" s="13"/>
      <c r="P642" s="13"/>
      <c r="Q642" s="13"/>
      <c r="R642" s="13"/>
    </row>
    <row r="643" spans="3:18" ht="15.75" customHeight="1" x14ac:dyDescent="0.25">
      <c r="C643" s="26"/>
      <c r="O643" s="13"/>
      <c r="P643" s="13"/>
      <c r="Q643" s="13"/>
      <c r="R643" s="13"/>
    </row>
    <row r="644" spans="3:18" ht="15.75" customHeight="1" x14ac:dyDescent="0.25">
      <c r="C644" s="26"/>
      <c r="O644" s="13"/>
      <c r="P644" s="13"/>
      <c r="Q644" s="13"/>
      <c r="R644" s="13"/>
    </row>
    <row r="645" spans="3:18" ht="15.75" customHeight="1" x14ac:dyDescent="0.25">
      <c r="C645" s="26"/>
      <c r="O645" s="13"/>
      <c r="P645" s="13"/>
      <c r="Q645" s="13"/>
      <c r="R645" s="13"/>
    </row>
    <row r="646" spans="3:18" ht="15.75" customHeight="1" x14ac:dyDescent="0.25">
      <c r="C646" s="26"/>
      <c r="O646" s="13"/>
      <c r="P646" s="13"/>
      <c r="Q646" s="13"/>
      <c r="R646" s="13"/>
    </row>
    <row r="647" spans="3:18" ht="15.75" customHeight="1" x14ac:dyDescent="0.25">
      <c r="C647" s="26"/>
      <c r="O647" s="13"/>
      <c r="P647" s="13"/>
      <c r="Q647" s="13"/>
      <c r="R647" s="13"/>
    </row>
    <row r="648" spans="3:18" ht="15.75" customHeight="1" x14ac:dyDescent="0.25">
      <c r="C648" s="26"/>
      <c r="O648" s="13"/>
      <c r="P648" s="13"/>
      <c r="Q648" s="13"/>
      <c r="R648" s="13"/>
    </row>
    <row r="649" spans="3:18" ht="15.75" customHeight="1" x14ac:dyDescent="0.25">
      <c r="C649" s="26"/>
      <c r="O649" s="13"/>
      <c r="P649" s="13"/>
      <c r="Q649" s="13"/>
      <c r="R649" s="13"/>
    </row>
    <row r="650" spans="3:18" ht="15.75" customHeight="1" x14ac:dyDescent="0.25">
      <c r="C650" s="26"/>
      <c r="O650" s="13"/>
      <c r="P650" s="13"/>
      <c r="Q650" s="13"/>
      <c r="R650" s="13"/>
    </row>
    <row r="651" spans="3:18" ht="15.75" customHeight="1" x14ac:dyDescent="0.25">
      <c r="C651" s="26"/>
      <c r="O651" s="13"/>
      <c r="P651" s="13"/>
      <c r="Q651" s="13"/>
      <c r="R651" s="13"/>
    </row>
    <row r="652" spans="3:18" ht="15.75" customHeight="1" x14ac:dyDescent="0.25">
      <c r="C652" s="26"/>
      <c r="O652" s="13"/>
      <c r="P652" s="13"/>
      <c r="Q652" s="13"/>
      <c r="R652" s="13"/>
    </row>
    <row r="653" spans="3:18" ht="15.75" customHeight="1" x14ac:dyDescent="0.25">
      <c r="C653" s="26"/>
      <c r="O653" s="13"/>
      <c r="P653" s="13"/>
      <c r="Q653" s="13"/>
      <c r="R653" s="13"/>
    </row>
    <row r="654" spans="3:18" ht="15.75" customHeight="1" x14ac:dyDescent="0.25">
      <c r="C654" s="26"/>
      <c r="O654" s="13"/>
      <c r="P654" s="13"/>
      <c r="Q654" s="13"/>
      <c r="R654" s="13"/>
    </row>
    <row r="655" spans="3:18" ht="15.75" customHeight="1" x14ac:dyDescent="0.25">
      <c r="C655" s="26"/>
      <c r="O655" s="13"/>
      <c r="P655" s="13"/>
      <c r="Q655" s="13"/>
      <c r="R655" s="13"/>
    </row>
    <row r="656" spans="3:18" ht="15.75" customHeight="1" x14ac:dyDescent="0.25">
      <c r="C656" s="26"/>
      <c r="O656" s="13"/>
      <c r="P656" s="13"/>
      <c r="Q656" s="13"/>
      <c r="R656" s="13"/>
    </row>
    <row r="657" spans="3:18" ht="15.75" customHeight="1" x14ac:dyDescent="0.25">
      <c r="C657" s="26"/>
      <c r="O657" s="13"/>
      <c r="P657" s="13"/>
      <c r="Q657" s="13"/>
      <c r="R657" s="13"/>
    </row>
    <row r="658" spans="3:18" ht="15.75" customHeight="1" x14ac:dyDescent="0.25">
      <c r="C658" s="26"/>
      <c r="O658" s="13"/>
      <c r="P658" s="13"/>
      <c r="Q658" s="13"/>
      <c r="R658" s="13"/>
    </row>
    <row r="659" spans="3:18" ht="15.75" customHeight="1" x14ac:dyDescent="0.25">
      <c r="C659" s="26"/>
      <c r="O659" s="13"/>
      <c r="P659" s="13"/>
      <c r="Q659" s="13"/>
      <c r="R659" s="13"/>
    </row>
    <row r="660" spans="3:18" ht="15.75" customHeight="1" x14ac:dyDescent="0.25">
      <c r="C660" s="26"/>
      <c r="O660" s="13"/>
      <c r="P660" s="13"/>
      <c r="Q660" s="13"/>
      <c r="R660" s="13"/>
    </row>
    <row r="661" spans="3:18" ht="15.75" customHeight="1" x14ac:dyDescent="0.25">
      <c r="C661" s="26"/>
      <c r="O661" s="13"/>
      <c r="P661" s="13"/>
      <c r="Q661" s="13"/>
      <c r="R661" s="13"/>
    </row>
    <row r="662" spans="3:18" ht="15.75" customHeight="1" x14ac:dyDescent="0.25">
      <c r="C662" s="26"/>
      <c r="O662" s="13"/>
      <c r="P662" s="13"/>
      <c r="Q662" s="13"/>
      <c r="R662" s="13"/>
    </row>
    <row r="663" spans="3:18" ht="15.75" customHeight="1" x14ac:dyDescent="0.25">
      <c r="C663" s="26"/>
      <c r="O663" s="13"/>
      <c r="P663" s="13"/>
      <c r="Q663" s="13"/>
      <c r="R663" s="13"/>
    </row>
    <row r="664" spans="3:18" ht="15.75" customHeight="1" x14ac:dyDescent="0.25">
      <c r="C664" s="26"/>
      <c r="O664" s="13"/>
      <c r="P664" s="13"/>
      <c r="Q664" s="13"/>
      <c r="R664" s="13"/>
    </row>
    <row r="665" spans="3:18" ht="15.75" customHeight="1" x14ac:dyDescent="0.25">
      <c r="C665" s="26"/>
      <c r="O665" s="13"/>
      <c r="P665" s="13"/>
      <c r="Q665" s="13"/>
      <c r="R665" s="13"/>
    </row>
    <row r="666" spans="3:18" ht="15.75" customHeight="1" x14ac:dyDescent="0.25">
      <c r="C666" s="26"/>
      <c r="O666" s="13"/>
      <c r="P666" s="13"/>
      <c r="Q666" s="13"/>
      <c r="R666" s="13"/>
    </row>
    <row r="667" spans="3:18" ht="15.75" customHeight="1" x14ac:dyDescent="0.25">
      <c r="C667" s="26"/>
      <c r="O667" s="13"/>
      <c r="P667" s="13"/>
      <c r="Q667" s="13"/>
      <c r="R667" s="13"/>
    </row>
    <row r="668" spans="3:18" ht="15.75" customHeight="1" x14ac:dyDescent="0.25">
      <c r="C668" s="26"/>
      <c r="O668" s="13"/>
      <c r="P668" s="13"/>
      <c r="Q668" s="13"/>
      <c r="R668" s="13"/>
    </row>
    <row r="669" spans="3:18" ht="15.75" customHeight="1" x14ac:dyDescent="0.25">
      <c r="C669" s="26"/>
      <c r="O669" s="13"/>
      <c r="P669" s="13"/>
      <c r="Q669" s="13"/>
      <c r="R669" s="13"/>
    </row>
    <row r="670" spans="3:18" ht="15.75" customHeight="1" x14ac:dyDescent="0.25">
      <c r="C670" s="26"/>
      <c r="O670" s="13"/>
      <c r="P670" s="13"/>
      <c r="Q670" s="13"/>
      <c r="R670" s="13"/>
    </row>
    <row r="671" spans="3:18" ht="15.75" customHeight="1" x14ac:dyDescent="0.25">
      <c r="C671" s="26"/>
      <c r="O671" s="13"/>
      <c r="P671" s="13"/>
      <c r="Q671" s="13"/>
      <c r="R671" s="13"/>
    </row>
    <row r="672" spans="3:18" ht="15.75" customHeight="1" x14ac:dyDescent="0.25">
      <c r="C672" s="26"/>
      <c r="O672" s="13"/>
      <c r="P672" s="13"/>
      <c r="Q672" s="13"/>
      <c r="R672" s="13"/>
    </row>
    <row r="673" spans="3:18" ht="15.75" customHeight="1" x14ac:dyDescent="0.25">
      <c r="C673" s="26"/>
      <c r="O673" s="13"/>
      <c r="P673" s="13"/>
      <c r="Q673" s="13"/>
      <c r="R673" s="13"/>
    </row>
    <row r="674" spans="3:18" ht="15.75" customHeight="1" x14ac:dyDescent="0.25">
      <c r="C674" s="26"/>
      <c r="O674" s="13"/>
      <c r="P674" s="13"/>
      <c r="Q674" s="13"/>
      <c r="R674" s="13"/>
    </row>
    <row r="675" spans="3:18" ht="15.75" customHeight="1" x14ac:dyDescent="0.25">
      <c r="C675" s="26"/>
      <c r="O675" s="13"/>
      <c r="P675" s="13"/>
      <c r="Q675" s="13"/>
      <c r="R675" s="13"/>
    </row>
    <row r="676" spans="3:18" ht="15.75" customHeight="1" x14ac:dyDescent="0.25">
      <c r="C676" s="26"/>
      <c r="O676" s="13"/>
      <c r="P676" s="13"/>
      <c r="Q676" s="13"/>
      <c r="R676" s="13"/>
    </row>
    <row r="677" spans="3:18" ht="15.75" customHeight="1" x14ac:dyDescent="0.25">
      <c r="C677" s="26"/>
      <c r="O677" s="13"/>
      <c r="P677" s="13"/>
      <c r="Q677" s="13"/>
      <c r="R677" s="13"/>
    </row>
    <row r="678" spans="3:18" ht="15.75" customHeight="1" x14ac:dyDescent="0.25">
      <c r="C678" s="26"/>
      <c r="O678" s="13"/>
      <c r="P678" s="13"/>
      <c r="Q678" s="13"/>
      <c r="R678" s="13"/>
    </row>
    <row r="679" spans="3:18" ht="15.75" customHeight="1" x14ac:dyDescent="0.25">
      <c r="C679" s="26"/>
      <c r="O679" s="13"/>
      <c r="P679" s="13"/>
      <c r="Q679" s="13"/>
      <c r="R679" s="13"/>
    </row>
    <row r="680" spans="3:18" ht="15.75" customHeight="1" x14ac:dyDescent="0.25">
      <c r="C680" s="26"/>
      <c r="O680" s="13"/>
      <c r="P680" s="13"/>
      <c r="Q680" s="13"/>
      <c r="R680" s="13"/>
    </row>
    <row r="681" spans="3:18" ht="15.75" customHeight="1" x14ac:dyDescent="0.25">
      <c r="C681" s="26"/>
      <c r="O681" s="13"/>
      <c r="P681" s="13"/>
      <c r="Q681" s="13"/>
      <c r="R681" s="13"/>
    </row>
    <row r="682" spans="3:18" ht="15.75" customHeight="1" x14ac:dyDescent="0.25">
      <c r="C682" s="26"/>
      <c r="O682" s="13"/>
      <c r="P682" s="13"/>
      <c r="Q682" s="13"/>
      <c r="R682" s="13"/>
    </row>
    <row r="683" spans="3:18" ht="15.75" customHeight="1" x14ac:dyDescent="0.25">
      <c r="C683" s="26"/>
      <c r="O683" s="13"/>
      <c r="P683" s="13"/>
      <c r="Q683" s="13"/>
      <c r="R683" s="13"/>
    </row>
    <row r="684" spans="3:18" ht="15.75" customHeight="1" x14ac:dyDescent="0.25">
      <c r="C684" s="26"/>
      <c r="O684" s="13"/>
      <c r="P684" s="13"/>
      <c r="Q684" s="13"/>
      <c r="R684" s="13"/>
    </row>
    <row r="685" spans="3:18" ht="15.75" customHeight="1" x14ac:dyDescent="0.25">
      <c r="C685" s="26"/>
      <c r="O685" s="13"/>
      <c r="P685" s="13"/>
      <c r="Q685" s="13"/>
      <c r="R685" s="13"/>
    </row>
    <row r="686" spans="3:18" ht="15.75" customHeight="1" x14ac:dyDescent="0.25">
      <c r="C686" s="26"/>
      <c r="O686" s="13"/>
      <c r="P686" s="13"/>
      <c r="Q686" s="13"/>
      <c r="R686" s="13"/>
    </row>
    <row r="687" spans="3:18" ht="15.75" customHeight="1" x14ac:dyDescent="0.25">
      <c r="C687" s="26"/>
      <c r="O687" s="13"/>
      <c r="P687" s="13"/>
      <c r="Q687" s="13"/>
      <c r="R687" s="13"/>
    </row>
    <row r="688" spans="3:18" ht="15.75" customHeight="1" x14ac:dyDescent="0.25">
      <c r="C688" s="26"/>
      <c r="O688" s="13"/>
      <c r="P688" s="13"/>
      <c r="Q688" s="13"/>
      <c r="R688" s="13"/>
    </row>
    <row r="689" spans="3:18" ht="15.75" customHeight="1" x14ac:dyDescent="0.25">
      <c r="C689" s="26"/>
      <c r="O689" s="13"/>
      <c r="P689" s="13"/>
      <c r="Q689" s="13"/>
      <c r="R689" s="13"/>
    </row>
    <row r="690" spans="3:18" ht="15.75" customHeight="1" x14ac:dyDescent="0.25">
      <c r="C690" s="26"/>
      <c r="O690" s="13"/>
      <c r="P690" s="13"/>
      <c r="Q690" s="13"/>
      <c r="R690" s="13"/>
    </row>
    <row r="691" spans="3:18" ht="15.75" customHeight="1" x14ac:dyDescent="0.25">
      <c r="C691" s="26"/>
      <c r="O691" s="13"/>
      <c r="P691" s="13"/>
      <c r="Q691" s="13"/>
      <c r="R691" s="13"/>
    </row>
    <row r="692" spans="3:18" ht="15.75" customHeight="1" x14ac:dyDescent="0.25">
      <c r="C692" s="26"/>
      <c r="O692" s="13"/>
      <c r="P692" s="13"/>
      <c r="Q692" s="13"/>
      <c r="R692" s="13"/>
    </row>
    <row r="693" spans="3:18" ht="15.75" customHeight="1" x14ac:dyDescent="0.25">
      <c r="C693" s="26"/>
      <c r="O693" s="13"/>
      <c r="P693" s="13"/>
      <c r="Q693" s="13"/>
      <c r="R693" s="13"/>
    </row>
    <row r="694" spans="3:18" ht="15.75" customHeight="1" x14ac:dyDescent="0.25">
      <c r="C694" s="26"/>
      <c r="O694" s="13"/>
      <c r="P694" s="13"/>
      <c r="Q694" s="13"/>
      <c r="R694" s="13"/>
    </row>
    <row r="695" spans="3:18" ht="15.75" customHeight="1" x14ac:dyDescent="0.25">
      <c r="C695" s="26"/>
      <c r="O695" s="13"/>
      <c r="P695" s="13"/>
      <c r="Q695" s="13"/>
      <c r="R695" s="13"/>
    </row>
    <row r="696" spans="3:18" ht="15.75" customHeight="1" x14ac:dyDescent="0.25">
      <c r="C696" s="26"/>
      <c r="O696" s="13"/>
      <c r="P696" s="13"/>
      <c r="Q696" s="13"/>
      <c r="R696" s="13"/>
    </row>
    <row r="697" spans="3:18" ht="15.75" customHeight="1" x14ac:dyDescent="0.25">
      <c r="C697" s="26"/>
      <c r="O697" s="13"/>
      <c r="P697" s="13"/>
      <c r="Q697" s="13"/>
      <c r="R697" s="13"/>
    </row>
    <row r="698" spans="3:18" ht="15.75" customHeight="1" x14ac:dyDescent="0.25">
      <c r="C698" s="26"/>
      <c r="O698" s="13"/>
      <c r="P698" s="13"/>
      <c r="Q698" s="13"/>
      <c r="R698" s="13"/>
    </row>
    <row r="699" spans="3:18" ht="15.75" customHeight="1" x14ac:dyDescent="0.25">
      <c r="C699" s="26"/>
      <c r="O699" s="13"/>
      <c r="P699" s="13"/>
      <c r="Q699" s="13"/>
      <c r="R699" s="13"/>
    </row>
    <row r="700" spans="3:18" ht="15.75" customHeight="1" x14ac:dyDescent="0.25">
      <c r="C700" s="26"/>
      <c r="O700" s="13"/>
      <c r="P700" s="13"/>
      <c r="Q700" s="13"/>
      <c r="R700" s="13"/>
    </row>
    <row r="701" spans="3:18" ht="15.75" customHeight="1" x14ac:dyDescent="0.25">
      <c r="C701" s="26"/>
      <c r="O701" s="13"/>
      <c r="P701" s="13"/>
      <c r="Q701" s="13"/>
      <c r="R701" s="13"/>
    </row>
    <row r="702" spans="3:18" ht="15.75" customHeight="1" x14ac:dyDescent="0.25">
      <c r="C702" s="26"/>
      <c r="O702" s="13"/>
      <c r="P702" s="13"/>
      <c r="Q702" s="13"/>
      <c r="R702" s="13"/>
    </row>
    <row r="703" spans="3:18" ht="15.75" customHeight="1" x14ac:dyDescent="0.25">
      <c r="C703" s="26"/>
      <c r="O703" s="13"/>
      <c r="P703" s="13"/>
      <c r="Q703" s="13"/>
      <c r="R703" s="13"/>
    </row>
    <row r="704" spans="3:18" ht="15.75" customHeight="1" x14ac:dyDescent="0.25">
      <c r="C704" s="26"/>
      <c r="O704" s="13"/>
      <c r="P704" s="13"/>
      <c r="Q704" s="13"/>
      <c r="R704" s="13"/>
    </row>
    <row r="705" spans="3:18" ht="15.75" customHeight="1" x14ac:dyDescent="0.25">
      <c r="C705" s="26"/>
      <c r="O705" s="13"/>
      <c r="P705" s="13"/>
      <c r="Q705" s="13"/>
      <c r="R705" s="13"/>
    </row>
    <row r="706" spans="3:18" ht="15.75" customHeight="1" x14ac:dyDescent="0.25">
      <c r="C706" s="26"/>
      <c r="O706" s="13"/>
      <c r="P706" s="13"/>
      <c r="Q706" s="13"/>
      <c r="R706" s="13"/>
    </row>
    <row r="707" spans="3:18" ht="15.75" customHeight="1" x14ac:dyDescent="0.25">
      <c r="C707" s="26"/>
      <c r="O707" s="13"/>
      <c r="P707" s="13"/>
      <c r="Q707" s="13"/>
      <c r="R707" s="13"/>
    </row>
    <row r="708" spans="3:18" ht="15.75" customHeight="1" x14ac:dyDescent="0.25">
      <c r="C708" s="26"/>
      <c r="O708" s="13"/>
      <c r="P708" s="13"/>
      <c r="Q708" s="13"/>
      <c r="R708" s="13"/>
    </row>
    <row r="709" spans="3:18" ht="15.75" customHeight="1" x14ac:dyDescent="0.25">
      <c r="C709" s="26"/>
      <c r="O709" s="13"/>
      <c r="P709" s="13"/>
      <c r="Q709" s="13"/>
      <c r="R709" s="13"/>
    </row>
    <row r="710" spans="3:18" ht="15.75" customHeight="1" x14ac:dyDescent="0.25">
      <c r="C710" s="26"/>
      <c r="O710" s="13"/>
      <c r="P710" s="13"/>
      <c r="Q710" s="13"/>
      <c r="R710" s="13"/>
    </row>
    <row r="711" spans="3:18" ht="15.75" customHeight="1" x14ac:dyDescent="0.25">
      <c r="C711" s="26"/>
      <c r="O711" s="13"/>
      <c r="P711" s="13"/>
      <c r="Q711" s="13"/>
      <c r="R711" s="13"/>
    </row>
    <row r="712" spans="3:18" ht="15.75" customHeight="1" x14ac:dyDescent="0.25">
      <c r="C712" s="26"/>
      <c r="O712" s="13"/>
      <c r="P712" s="13"/>
      <c r="Q712" s="13"/>
      <c r="R712" s="13"/>
    </row>
    <row r="713" spans="3:18" ht="15.75" customHeight="1" x14ac:dyDescent="0.25">
      <c r="C713" s="26"/>
      <c r="O713" s="13"/>
      <c r="P713" s="13"/>
      <c r="Q713" s="13"/>
      <c r="R713" s="13"/>
    </row>
    <row r="714" spans="3:18" ht="15.75" customHeight="1" x14ac:dyDescent="0.25">
      <c r="C714" s="26"/>
      <c r="O714" s="13"/>
      <c r="P714" s="13"/>
      <c r="Q714" s="13"/>
      <c r="R714" s="13"/>
    </row>
    <row r="715" spans="3:18" ht="15.75" customHeight="1" x14ac:dyDescent="0.25">
      <c r="C715" s="26"/>
      <c r="O715" s="13"/>
      <c r="P715" s="13"/>
      <c r="Q715" s="13"/>
      <c r="R715" s="13"/>
    </row>
    <row r="716" spans="3:18" ht="15.75" customHeight="1" x14ac:dyDescent="0.25">
      <c r="C716" s="26"/>
      <c r="O716" s="13"/>
      <c r="P716" s="13"/>
      <c r="Q716" s="13"/>
      <c r="R716" s="13"/>
    </row>
    <row r="717" spans="3:18" ht="15.75" customHeight="1" x14ac:dyDescent="0.25">
      <c r="C717" s="26"/>
      <c r="O717" s="13"/>
      <c r="P717" s="13"/>
      <c r="Q717" s="13"/>
      <c r="R717" s="13"/>
    </row>
    <row r="718" spans="3:18" ht="15.75" customHeight="1" x14ac:dyDescent="0.25">
      <c r="C718" s="26"/>
      <c r="O718" s="13"/>
      <c r="P718" s="13"/>
      <c r="Q718" s="13"/>
      <c r="R718" s="13"/>
    </row>
    <row r="719" spans="3:18" ht="15.75" customHeight="1" x14ac:dyDescent="0.25">
      <c r="C719" s="26"/>
      <c r="O719" s="13"/>
      <c r="P719" s="13"/>
      <c r="Q719" s="13"/>
      <c r="R719" s="13"/>
    </row>
    <row r="720" spans="3:18" ht="15.75" customHeight="1" x14ac:dyDescent="0.25">
      <c r="C720" s="26"/>
      <c r="O720" s="13"/>
      <c r="P720" s="13"/>
      <c r="Q720" s="13"/>
      <c r="R720" s="13"/>
    </row>
    <row r="721" spans="3:18" ht="15.75" customHeight="1" x14ac:dyDescent="0.25">
      <c r="C721" s="26"/>
      <c r="O721" s="13"/>
      <c r="P721" s="13"/>
      <c r="Q721" s="13"/>
      <c r="R721" s="13"/>
    </row>
    <row r="722" spans="3:18" ht="15.75" customHeight="1" x14ac:dyDescent="0.25">
      <c r="C722" s="26"/>
      <c r="O722" s="13"/>
      <c r="P722" s="13"/>
      <c r="Q722" s="13"/>
      <c r="R722" s="13"/>
    </row>
    <row r="723" spans="3:18" ht="15.75" customHeight="1" x14ac:dyDescent="0.25">
      <c r="C723" s="26"/>
      <c r="O723" s="13"/>
      <c r="P723" s="13"/>
      <c r="Q723" s="13"/>
      <c r="R723" s="13"/>
    </row>
    <row r="724" spans="3:18" ht="15.75" customHeight="1" x14ac:dyDescent="0.25">
      <c r="C724" s="26"/>
      <c r="O724" s="13"/>
      <c r="P724" s="13"/>
      <c r="Q724" s="13"/>
      <c r="R724" s="13"/>
    </row>
    <row r="725" spans="3:18" ht="15.75" customHeight="1" x14ac:dyDescent="0.25">
      <c r="C725" s="26"/>
      <c r="O725" s="13"/>
      <c r="P725" s="13"/>
      <c r="Q725" s="13"/>
      <c r="R725" s="13"/>
    </row>
    <row r="726" spans="3:18" ht="15.75" customHeight="1" x14ac:dyDescent="0.25">
      <c r="C726" s="26"/>
      <c r="O726" s="13"/>
      <c r="P726" s="13"/>
      <c r="Q726" s="13"/>
      <c r="R726" s="13"/>
    </row>
    <row r="727" spans="3:18" ht="15.75" customHeight="1" x14ac:dyDescent="0.25">
      <c r="C727" s="26"/>
      <c r="O727" s="13"/>
      <c r="P727" s="13"/>
      <c r="Q727" s="13"/>
      <c r="R727" s="13"/>
    </row>
    <row r="728" spans="3:18" ht="15.75" customHeight="1" x14ac:dyDescent="0.25">
      <c r="C728" s="26"/>
      <c r="O728" s="13"/>
      <c r="P728" s="13"/>
      <c r="Q728" s="13"/>
      <c r="R728" s="13"/>
    </row>
    <row r="729" spans="3:18" ht="15.75" customHeight="1" x14ac:dyDescent="0.25">
      <c r="C729" s="26"/>
      <c r="O729" s="13"/>
      <c r="P729" s="13"/>
      <c r="Q729" s="13"/>
      <c r="R729" s="13"/>
    </row>
    <row r="730" spans="3:18" ht="15.75" customHeight="1" x14ac:dyDescent="0.25">
      <c r="C730" s="26"/>
      <c r="O730" s="13"/>
      <c r="P730" s="13"/>
      <c r="Q730" s="13"/>
      <c r="R730" s="13"/>
    </row>
    <row r="731" spans="3:18" ht="15.75" customHeight="1" x14ac:dyDescent="0.25">
      <c r="C731" s="26"/>
      <c r="O731" s="13"/>
      <c r="P731" s="13"/>
      <c r="Q731" s="13"/>
      <c r="R731" s="13"/>
    </row>
    <row r="732" spans="3:18" ht="15.75" customHeight="1" x14ac:dyDescent="0.25">
      <c r="C732" s="26"/>
      <c r="O732" s="13"/>
      <c r="P732" s="13"/>
      <c r="Q732" s="13"/>
      <c r="R732" s="13"/>
    </row>
    <row r="733" spans="3:18" ht="15.75" customHeight="1" x14ac:dyDescent="0.25">
      <c r="C733" s="26"/>
      <c r="O733" s="13"/>
      <c r="P733" s="13"/>
      <c r="Q733" s="13"/>
      <c r="R733" s="13"/>
    </row>
    <row r="734" spans="3:18" ht="15.75" customHeight="1" x14ac:dyDescent="0.25">
      <c r="C734" s="26"/>
      <c r="O734" s="13"/>
      <c r="P734" s="13"/>
      <c r="Q734" s="13"/>
      <c r="R734" s="13"/>
    </row>
    <row r="735" spans="3:18" ht="15.75" customHeight="1" x14ac:dyDescent="0.25">
      <c r="C735" s="26"/>
      <c r="O735" s="13"/>
      <c r="P735" s="13"/>
      <c r="Q735" s="13"/>
      <c r="R735" s="13"/>
    </row>
    <row r="736" spans="3:18" ht="15.75" customHeight="1" x14ac:dyDescent="0.25">
      <c r="C736" s="26"/>
      <c r="O736" s="13"/>
      <c r="P736" s="13"/>
      <c r="Q736" s="13"/>
      <c r="R736" s="13"/>
    </row>
    <row r="737" spans="3:18" ht="15.75" customHeight="1" x14ac:dyDescent="0.25">
      <c r="C737" s="26"/>
      <c r="O737" s="13"/>
      <c r="P737" s="13"/>
      <c r="Q737" s="13"/>
      <c r="R737" s="13"/>
    </row>
    <row r="738" spans="3:18" ht="15.75" customHeight="1" x14ac:dyDescent="0.25">
      <c r="C738" s="26"/>
      <c r="O738" s="13"/>
      <c r="P738" s="13"/>
      <c r="Q738" s="13"/>
      <c r="R738" s="13"/>
    </row>
    <row r="739" spans="3:18" ht="15.75" customHeight="1" x14ac:dyDescent="0.25">
      <c r="C739" s="26"/>
      <c r="O739" s="13"/>
      <c r="P739" s="13"/>
      <c r="Q739" s="13"/>
      <c r="R739" s="13"/>
    </row>
    <row r="740" spans="3:18" ht="15.75" customHeight="1" x14ac:dyDescent="0.25">
      <c r="C740" s="26"/>
      <c r="O740" s="13"/>
      <c r="P740" s="13"/>
      <c r="Q740" s="13"/>
      <c r="R740" s="13"/>
    </row>
    <row r="741" spans="3:18" ht="15.75" customHeight="1" x14ac:dyDescent="0.25">
      <c r="C741" s="26"/>
      <c r="O741" s="13"/>
      <c r="P741" s="13"/>
      <c r="Q741" s="13"/>
      <c r="R741" s="13"/>
    </row>
    <row r="742" spans="3:18" ht="15.75" customHeight="1" x14ac:dyDescent="0.25">
      <c r="C742" s="26"/>
      <c r="O742" s="13"/>
      <c r="P742" s="13"/>
      <c r="Q742" s="13"/>
      <c r="R742" s="13"/>
    </row>
    <row r="743" spans="3:18" ht="15.75" customHeight="1" x14ac:dyDescent="0.25">
      <c r="C743" s="26"/>
      <c r="O743" s="13"/>
      <c r="P743" s="13"/>
      <c r="Q743" s="13"/>
      <c r="R743" s="13"/>
    </row>
    <row r="744" spans="3:18" ht="15.75" customHeight="1" x14ac:dyDescent="0.25">
      <c r="C744" s="26"/>
      <c r="O744" s="13"/>
      <c r="P744" s="13"/>
      <c r="Q744" s="13"/>
      <c r="R744" s="13"/>
    </row>
    <row r="745" spans="3:18" ht="15.75" customHeight="1" x14ac:dyDescent="0.25">
      <c r="C745" s="26"/>
      <c r="O745" s="13"/>
      <c r="P745" s="13"/>
      <c r="Q745" s="13"/>
      <c r="R745" s="13"/>
    </row>
    <row r="746" spans="3:18" ht="15.75" customHeight="1" x14ac:dyDescent="0.25">
      <c r="C746" s="26"/>
      <c r="O746" s="13"/>
      <c r="P746" s="13"/>
      <c r="Q746" s="13"/>
      <c r="R746" s="13"/>
    </row>
    <row r="747" spans="3:18" ht="15.75" customHeight="1" x14ac:dyDescent="0.25">
      <c r="C747" s="26"/>
      <c r="O747" s="13"/>
      <c r="P747" s="13"/>
      <c r="Q747" s="13"/>
      <c r="R747" s="13"/>
    </row>
    <row r="748" spans="3:18" ht="15.75" customHeight="1" x14ac:dyDescent="0.25">
      <c r="C748" s="26"/>
      <c r="O748" s="13"/>
      <c r="P748" s="13"/>
      <c r="Q748" s="13"/>
      <c r="R748" s="13"/>
    </row>
    <row r="749" spans="3:18" ht="15.75" customHeight="1" x14ac:dyDescent="0.25">
      <c r="C749" s="26"/>
      <c r="O749" s="13"/>
      <c r="P749" s="13"/>
      <c r="Q749" s="13"/>
      <c r="R749" s="13"/>
    </row>
    <row r="750" spans="3:18" ht="15.75" customHeight="1" x14ac:dyDescent="0.25">
      <c r="C750" s="26"/>
      <c r="O750" s="13"/>
      <c r="P750" s="13"/>
      <c r="Q750" s="13"/>
      <c r="R750" s="13"/>
    </row>
    <row r="751" spans="3:18" ht="15.75" customHeight="1" x14ac:dyDescent="0.25">
      <c r="C751" s="26"/>
      <c r="O751" s="13"/>
      <c r="P751" s="13"/>
      <c r="Q751" s="13"/>
      <c r="R751" s="13"/>
    </row>
    <row r="752" spans="3:18" ht="15.75" customHeight="1" x14ac:dyDescent="0.25">
      <c r="C752" s="26"/>
      <c r="O752" s="13"/>
      <c r="P752" s="13"/>
      <c r="Q752" s="13"/>
      <c r="R752" s="13"/>
    </row>
    <row r="753" spans="3:18" ht="15.75" customHeight="1" x14ac:dyDescent="0.25">
      <c r="C753" s="26"/>
      <c r="O753" s="13"/>
      <c r="P753" s="13"/>
      <c r="Q753" s="13"/>
      <c r="R753" s="13"/>
    </row>
    <row r="754" spans="3:18" ht="15.75" customHeight="1" x14ac:dyDescent="0.25">
      <c r="C754" s="26"/>
      <c r="O754" s="13"/>
      <c r="P754" s="13"/>
      <c r="Q754" s="13"/>
      <c r="R754" s="13"/>
    </row>
    <row r="755" spans="3:18" ht="15.75" customHeight="1" x14ac:dyDescent="0.25">
      <c r="C755" s="26"/>
      <c r="O755" s="13"/>
      <c r="P755" s="13"/>
      <c r="Q755" s="13"/>
      <c r="R755" s="13"/>
    </row>
    <row r="756" spans="3:18" ht="15.75" customHeight="1" x14ac:dyDescent="0.25">
      <c r="C756" s="26"/>
      <c r="O756" s="13"/>
      <c r="P756" s="13"/>
      <c r="Q756" s="13"/>
      <c r="R756" s="13"/>
    </row>
    <row r="757" spans="3:18" ht="15.75" customHeight="1" x14ac:dyDescent="0.25">
      <c r="C757" s="26"/>
      <c r="O757" s="13"/>
      <c r="P757" s="13"/>
      <c r="Q757" s="13"/>
      <c r="R757" s="13"/>
    </row>
    <row r="758" spans="3:18" ht="15.75" customHeight="1" x14ac:dyDescent="0.25">
      <c r="C758" s="26"/>
      <c r="O758" s="13"/>
      <c r="P758" s="13"/>
      <c r="Q758" s="13"/>
      <c r="R758" s="13"/>
    </row>
    <row r="759" spans="3:18" ht="15.75" customHeight="1" x14ac:dyDescent="0.25">
      <c r="C759" s="26"/>
      <c r="O759" s="13"/>
      <c r="P759" s="13"/>
      <c r="Q759" s="13"/>
      <c r="R759" s="13"/>
    </row>
    <row r="760" spans="3:18" ht="15.75" customHeight="1" x14ac:dyDescent="0.25">
      <c r="C760" s="26"/>
      <c r="O760" s="13"/>
      <c r="P760" s="13"/>
      <c r="Q760" s="13"/>
      <c r="R760" s="13"/>
    </row>
    <row r="761" spans="3:18" ht="15.75" customHeight="1" x14ac:dyDescent="0.25">
      <c r="C761" s="26"/>
      <c r="O761" s="13"/>
      <c r="P761" s="13"/>
      <c r="Q761" s="13"/>
      <c r="R761" s="13"/>
    </row>
    <row r="762" spans="3:18" ht="15.75" customHeight="1" x14ac:dyDescent="0.25">
      <c r="C762" s="26"/>
      <c r="O762" s="13"/>
      <c r="P762" s="13"/>
      <c r="Q762" s="13"/>
      <c r="R762" s="13"/>
    </row>
    <row r="763" spans="3:18" ht="15.75" customHeight="1" x14ac:dyDescent="0.25">
      <c r="C763" s="26"/>
      <c r="O763" s="13"/>
      <c r="P763" s="13"/>
      <c r="Q763" s="13"/>
      <c r="R763" s="13"/>
    </row>
    <row r="764" spans="3:18" ht="15.75" customHeight="1" x14ac:dyDescent="0.25">
      <c r="C764" s="26"/>
      <c r="O764" s="13"/>
      <c r="P764" s="13"/>
      <c r="Q764" s="13"/>
      <c r="R764" s="13"/>
    </row>
    <row r="765" spans="3:18" ht="15.75" customHeight="1" x14ac:dyDescent="0.25">
      <c r="C765" s="26"/>
      <c r="O765" s="13"/>
      <c r="P765" s="13"/>
      <c r="Q765" s="13"/>
      <c r="R765" s="13"/>
    </row>
    <row r="766" spans="3:18" ht="15.75" customHeight="1" x14ac:dyDescent="0.25">
      <c r="C766" s="26"/>
      <c r="O766" s="13"/>
      <c r="P766" s="13"/>
      <c r="Q766" s="13"/>
      <c r="R766" s="13"/>
    </row>
    <row r="767" spans="3:18" ht="15.75" customHeight="1" x14ac:dyDescent="0.25">
      <c r="C767" s="26"/>
      <c r="O767" s="13"/>
      <c r="P767" s="13"/>
      <c r="Q767" s="13"/>
      <c r="R767" s="13"/>
    </row>
    <row r="768" spans="3:18" ht="15.75" customHeight="1" x14ac:dyDescent="0.25">
      <c r="C768" s="26"/>
      <c r="O768" s="13"/>
      <c r="P768" s="13"/>
      <c r="Q768" s="13"/>
      <c r="R768" s="13"/>
    </row>
    <row r="769" spans="3:18" ht="15.75" customHeight="1" x14ac:dyDescent="0.25">
      <c r="C769" s="26"/>
      <c r="O769" s="13"/>
      <c r="P769" s="13"/>
      <c r="Q769" s="13"/>
      <c r="R769" s="13"/>
    </row>
    <row r="770" spans="3:18" ht="15.75" customHeight="1" x14ac:dyDescent="0.25">
      <c r="C770" s="26"/>
      <c r="O770" s="13"/>
      <c r="P770" s="13"/>
      <c r="Q770" s="13"/>
      <c r="R770" s="13"/>
    </row>
    <row r="771" spans="3:18" ht="15.75" customHeight="1" x14ac:dyDescent="0.25">
      <c r="C771" s="26"/>
      <c r="O771" s="13"/>
      <c r="P771" s="13"/>
      <c r="Q771" s="13"/>
      <c r="R771" s="13"/>
    </row>
    <row r="772" spans="3:18" ht="15.75" customHeight="1" x14ac:dyDescent="0.25">
      <c r="C772" s="26"/>
      <c r="O772" s="13"/>
      <c r="P772" s="13"/>
      <c r="Q772" s="13"/>
      <c r="R772" s="13"/>
    </row>
    <row r="773" spans="3:18" ht="15.75" customHeight="1" x14ac:dyDescent="0.25">
      <c r="C773" s="26"/>
      <c r="O773" s="13"/>
      <c r="P773" s="13"/>
      <c r="Q773" s="13"/>
      <c r="R773" s="13"/>
    </row>
    <row r="774" spans="3:18" ht="15.75" customHeight="1" x14ac:dyDescent="0.25">
      <c r="C774" s="26"/>
      <c r="O774" s="13"/>
      <c r="P774" s="13"/>
      <c r="Q774" s="13"/>
      <c r="R774" s="13"/>
    </row>
    <row r="775" spans="3:18" ht="15.75" customHeight="1" x14ac:dyDescent="0.25">
      <c r="C775" s="26"/>
      <c r="O775" s="13"/>
      <c r="P775" s="13"/>
      <c r="Q775" s="13"/>
      <c r="R775" s="13"/>
    </row>
    <row r="776" spans="3:18" ht="15.75" customHeight="1" x14ac:dyDescent="0.25">
      <c r="C776" s="26"/>
      <c r="O776" s="13"/>
      <c r="P776" s="13"/>
      <c r="Q776" s="13"/>
      <c r="R776" s="13"/>
    </row>
    <row r="777" spans="3:18" ht="15.75" customHeight="1" x14ac:dyDescent="0.25">
      <c r="C777" s="26"/>
      <c r="O777" s="13"/>
      <c r="P777" s="13"/>
      <c r="Q777" s="13"/>
      <c r="R777" s="13"/>
    </row>
    <row r="778" spans="3:18" ht="15.75" customHeight="1" x14ac:dyDescent="0.25">
      <c r="C778" s="26"/>
      <c r="O778" s="13"/>
      <c r="P778" s="13"/>
      <c r="Q778" s="13"/>
      <c r="R778" s="13"/>
    </row>
    <row r="779" spans="3:18" ht="15.75" customHeight="1" x14ac:dyDescent="0.25">
      <c r="C779" s="26"/>
      <c r="O779" s="13"/>
      <c r="P779" s="13"/>
      <c r="Q779" s="13"/>
      <c r="R779" s="13"/>
    </row>
    <row r="780" spans="3:18" ht="15.75" customHeight="1" x14ac:dyDescent="0.25">
      <c r="C780" s="26"/>
      <c r="O780" s="13"/>
      <c r="P780" s="13"/>
      <c r="Q780" s="13"/>
      <c r="R780" s="13"/>
    </row>
    <row r="781" spans="3:18" ht="15.75" customHeight="1" x14ac:dyDescent="0.25">
      <c r="C781" s="26"/>
      <c r="O781" s="13"/>
      <c r="P781" s="13"/>
      <c r="Q781" s="13"/>
      <c r="R781" s="13"/>
    </row>
    <row r="782" spans="3:18" ht="15.75" customHeight="1" x14ac:dyDescent="0.25">
      <c r="C782" s="26"/>
      <c r="O782" s="13"/>
      <c r="P782" s="13"/>
      <c r="Q782" s="13"/>
      <c r="R782" s="13"/>
    </row>
    <row r="783" spans="3:18" ht="15.75" customHeight="1" x14ac:dyDescent="0.25">
      <c r="C783" s="26"/>
      <c r="O783" s="13"/>
      <c r="P783" s="13"/>
      <c r="Q783" s="13"/>
      <c r="R783" s="13"/>
    </row>
    <row r="784" spans="3:18" ht="15.75" customHeight="1" x14ac:dyDescent="0.25">
      <c r="C784" s="26"/>
      <c r="O784" s="13"/>
      <c r="P784" s="13"/>
      <c r="Q784" s="13"/>
      <c r="R784" s="13"/>
    </row>
    <row r="785" spans="3:18" ht="15.75" customHeight="1" x14ac:dyDescent="0.25">
      <c r="C785" s="26"/>
      <c r="O785" s="13"/>
      <c r="P785" s="13"/>
      <c r="Q785" s="13"/>
      <c r="R785" s="13"/>
    </row>
    <row r="786" spans="3:18" ht="15.75" customHeight="1" x14ac:dyDescent="0.25">
      <c r="C786" s="26"/>
      <c r="O786" s="13"/>
      <c r="P786" s="13"/>
      <c r="Q786" s="13"/>
      <c r="R786" s="13"/>
    </row>
    <row r="787" spans="3:18" ht="15.75" customHeight="1" x14ac:dyDescent="0.25">
      <c r="C787" s="26"/>
      <c r="O787" s="13"/>
      <c r="P787" s="13"/>
      <c r="Q787" s="13"/>
      <c r="R787" s="13"/>
    </row>
    <row r="788" spans="3:18" ht="15.75" customHeight="1" x14ac:dyDescent="0.25">
      <c r="C788" s="26"/>
      <c r="O788" s="13"/>
      <c r="P788" s="13"/>
      <c r="Q788" s="13"/>
      <c r="R788" s="13"/>
    </row>
    <row r="789" spans="3:18" ht="15.75" customHeight="1" x14ac:dyDescent="0.25">
      <c r="C789" s="26"/>
      <c r="O789" s="13"/>
      <c r="P789" s="13"/>
      <c r="Q789" s="13"/>
      <c r="R789" s="13"/>
    </row>
    <row r="790" spans="3:18" ht="15.75" customHeight="1" x14ac:dyDescent="0.25">
      <c r="C790" s="26"/>
      <c r="O790" s="13"/>
      <c r="P790" s="13"/>
      <c r="Q790" s="13"/>
      <c r="R790" s="13"/>
    </row>
    <row r="791" spans="3:18" ht="15.75" customHeight="1" x14ac:dyDescent="0.25">
      <c r="C791" s="26"/>
      <c r="O791" s="13"/>
      <c r="P791" s="13"/>
      <c r="Q791" s="13"/>
      <c r="R791" s="13"/>
    </row>
    <row r="792" spans="3:18" ht="15.75" customHeight="1" x14ac:dyDescent="0.25">
      <c r="C792" s="26"/>
      <c r="O792" s="13"/>
      <c r="P792" s="13"/>
      <c r="Q792" s="13"/>
      <c r="R792" s="13"/>
    </row>
    <row r="793" spans="3:18" ht="15.75" customHeight="1" x14ac:dyDescent="0.25">
      <c r="C793" s="26"/>
      <c r="O793" s="13"/>
      <c r="P793" s="13"/>
      <c r="Q793" s="13"/>
      <c r="R793" s="13"/>
    </row>
    <row r="794" spans="3:18" ht="15.75" customHeight="1" x14ac:dyDescent="0.25">
      <c r="C794" s="26"/>
      <c r="O794" s="13"/>
      <c r="P794" s="13"/>
      <c r="Q794" s="13"/>
      <c r="R794" s="13"/>
    </row>
    <row r="795" spans="3:18" ht="15.75" customHeight="1" x14ac:dyDescent="0.25">
      <c r="C795" s="26"/>
      <c r="O795" s="13"/>
      <c r="P795" s="13"/>
      <c r="Q795" s="13"/>
      <c r="R795" s="13"/>
    </row>
    <row r="796" spans="3:18" ht="15.75" customHeight="1" x14ac:dyDescent="0.25">
      <c r="C796" s="26"/>
      <c r="O796" s="13"/>
      <c r="P796" s="13"/>
      <c r="Q796" s="13"/>
      <c r="R796" s="13"/>
    </row>
    <row r="797" spans="3:18" ht="15.75" customHeight="1" x14ac:dyDescent="0.25">
      <c r="C797" s="26"/>
      <c r="O797" s="13"/>
      <c r="P797" s="13"/>
      <c r="Q797" s="13"/>
      <c r="R797" s="13"/>
    </row>
    <row r="798" spans="3:18" ht="15.75" customHeight="1" x14ac:dyDescent="0.25">
      <c r="C798" s="26"/>
      <c r="O798" s="13"/>
      <c r="P798" s="13"/>
      <c r="Q798" s="13"/>
      <c r="R798" s="13"/>
    </row>
    <row r="799" spans="3:18" ht="15.75" customHeight="1" x14ac:dyDescent="0.25">
      <c r="C799" s="26"/>
      <c r="O799" s="13"/>
      <c r="P799" s="13"/>
      <c r="Q799" s="13"/>
      <c r="R799" s="13"/>
    </row>
    <row r="800" spans="3:18" ht="15.75" customHeight="1" x14ac:dyDescent="0.25">
      <c r="C800" s="26"/>
      <c r="O800" s="13"/>
      <c r="P800" s="13"/>
      <c r="Q800" s="13"/>
      <c r="R800" s="13"/>
    </row>
    <row r="801" spans="3:18" ht="15.75" customHeight="1" x14ac:dyDescent="0.25">
      <c r="C801" s="26"/>
      <c r="O801" s="13"/>
      <c r="P801" s="13"/>
      <c r="Q801" s="13"/>
      <c r="R801" s="13"/>
    </row>
    <row r="802" spans="3:18" ht="15.75" customHeight="1" x14ac:dyDescent="0.25">
      <c r="C802" s="26"/>
      <c r="O802" s="13"/>
      <c r="P802" s="13"/>
      <c r="Q802" s="13"/>
      <c r="R802" s="13"/>
    </row>
    <row r="803" spans="3:18" ht="15.75" customHeight="1" x14ac:dyDescent="0.25">
      <c r="C803" s="26"/>
      <c r="O803" s="13"/>
      <c r="P803" s="13"/>
      <c r="Q803" s="13"/>
      <c r="R803" s="13"/>
    </row>
    <row r="804" spans="3:18" ht="15.75" customHeight="1" x14ac:dyDescent="0.25">
      <c r="C804" s="26"/>
      <c r="O804" s="13"/>
      <c r="P804" s="13"/>
      <c r="Q804" s="13"/>
      <c r="R804" s="13"/>
    </row>
    <row r="805" spans="3:18" ht="15.75" customHeight="1" x14ac:dyDescent="0.25">
      <c r="C805" s="26"/>
      <c r="O805" s="13"/>
      <c r="P805" s="13"/>
      <c r="Q805" s="13"/>
      <c r="R805" s="13"/>
    </row>
    <row r="806" spans="3:18" ht="15.75" customHeight="1" x14ac:dyDescent="0.25">
      <c r="C806" s="26"/>
      <c r="O806" s="13"/>
      <c r="P806" s="13"/>
      <c r="Q806" s="13"/>
      <c r="R806" s="13"/>
    </row>
    <row r="807" spans="3:18" ht="15.75" customHeight="1" x14ac:dyDescent="0.25">
      <c r="C807" s="26"/>
      <c r="O807" s="13"/>
      <c r="P807" s="13"/>
      <c r="Q807" s="13"/>
      <c r="R807" s="13"/>
    </row>
    <row r="808" spans="3:18" ht="15.75" customHeight="1" x14ac:dyDescent="0.25">
      <c r="C808" s="26"/>
      <c r="O808" s="13"/>
      <c r="P808" s="13"/>
      <c r="Q808" s="13"/>
      <c r="R808" s="13"/>
    </row>
    <row r="809" spans="3:18" ht="15.75" customHeight="1" x14ac:dyDescent="0.25">
      <c r="C809" s="26"/>
      <c r="O809" s="13"/>
      <c r="P809" s="13"/>
      <c r="Q809" s="13"/>
      <c r="R809" s="13"/>
    </row>
    <row r="810" spans="3:18" ht="15.75" customHeight="1" x14ac:dyDescent="0.25">
      <c r="C810" s="26"/>
      <c r="O810" s="13"/>
      <c r="P810" s="13"/>
      <c r="Q810" s="13"/>
      <c r="R810" s="13"/>
    </row>
    <row r="811" spans="3:18" ht="15.75" customHeight="1" x14ac:dyDescent="0.25">
      <c r="C811" s="26"/>
      <c r="O811" s="13"/>
      <c r="P811" s="13"/>
      <c r="Q811" s="13"/>
      <c r="R811" s="13"/>
    </row>
    <row r="812" spans="3:18" ht="15.75" customHeight="1" x14ac:dyDescent="0.25">
      <c r="C812" s="26"/>
      <c r="O812" s="13"/>
      <c r="P812" s="13"/>
      <c r="Q812" s="13"/>
      <c r="R812" s="13"/>
    </row>
    <row r="813" spans="3:18" ht="15.75" customHeight="1" x14ac:dyDescent="0.25">
      <c r="C813" s="26"/>
      <c r="O813" s="13"/>
      <c r="P813" s="13"/>
      <c r="Q813" s="13"/>
      <c r="R813" s="13"/>
    </row>
    <row r="814" spans="3:18" ht="15.75" customHeight="1" x14ac:dyDescent="0.25">
      <c r="C814" s="26"/>
      <c r="O814" s="13"/>
      <c r="P814" s="13"/>
      <c r="Q814" s="13"/>
      <c r="R814" s="13"/>
    </row>
    <row r="815" spans="3:18" ht="15.75" customHeight="1" x14ac:dyDescent="0.25">
      <c r="C815" s="26"/>
      <c r="O815" s="13"/>
      <c r="P815" s="13"/>
      <c r="Q815" s="13"/>
      <c r="R815" s="13"/>
    </row>
    <row r="816" spans="3:18" ht="15.75" customHeight="1" x14ac:dyDescent="0.25">
      <c r="C816" s="26"/>
      <c r="O816" s="13"/>
      <c r="P816" s="13"/>
      <c r="Q816" s="13"/>
      <c r="R816" s="13"/>
    </row>
    <row r="817" spans="3:18" ht="15.75" customHeight="1" x14ac:dyDescent="0.25">
      <c r="C817" s="26"/>
      <c r="O817" s="13"/>
      <c r="P817" s="13"/>
      <c r="Q817" s="13"/>
      <c r="R817" s="13"/>
    </row>
    <row r="818" spans="3:18" ht="15.75" customHeight="1" x14ac:dyDescent="0.25">
      <c r="C818" s="26"/>
      <c r="O818" s="13"/>
      <c r="P818" s="13"/>
      <c r="Q818" s="13"/>
      <c r="R818" s="13"/>
    </row>
    <row r="819" spans="3:18" ht="15.75" customHeight="1" x14ac:dyDescent="0.25">
      <c r="C819" s="26"/>
      <c r="O819" s="13"/>
      <c r="P819" s="13"/>
      <c r="Q819" s="13"/>
      <c r="R819" s="13"/>
    </row>
    <row r="820" spans="3:18" ht="15.75" customHeight="1" x14ac:dyDescent="0.25">
      <c r="C820" s="26"/>
      <c r="O820" s="13"/>
      <c r="P820" s="13"/>
      <c r="Q820" s="13"/>
      <c r="R820" s="13"/>
    </row>
    <row r="821" spans="3:18" ht="15.75" customHeight="1" x14ac:dyDescent="0.25">
      <c r="C821" s="26"/>
      <c r="O821" s="13"/>
      <c r="P821" s="13"/>
      <c r="Q821" s="13"/>
      <c r="R821" s="13"/>
    </row>
    <row r="822" spans="3:18" ht="15.75" customHeight="1" x14ac:dyDescent="0.25">
      <c r="C822" s="26"/>
      <c r="O822" s="13"/>
      <c r="P822" s="13"/>
      <c r="Q822" s="13"/>
      <c r="R822" s="13"/>
    </row>
    <row r="823" spans="3:18" ht="15.75" customHeight="1" x14ac:dyDescent="0.25">
      <c r="C823" s="26"/>
      <c r="O823" s="13"/>
      <c r="P823" s="13"/>
      <c r="Q823" s="13"/>
      <c r="R823" s="13"/>
    </row>
    <row r="824" spans="3:18" ht="15.75" customHeight="1" x14ac:dyDescent="0.25">
      <c r="C824" s="26"/>
      <c r="O824" s="13"/>
      <c r="P824" s="13"/>
      <c r="Q824" s="13"/>
      <c r="R824" s="13"/>
    </row>
    <row r="825" spans="3:18" ht="15.75" customHeight="1" x14ac:dyDescent="0.25">
      <c r="C825" s="26"/>
      <c r="O825" s="13"/>
      <c r="P825" s="13"/>
      <c r="Q825" s="13"/>
      <c r="R825" s="13"/>
    </row>
    <row r="826" spans="3:18" ht="15.75" customHeight="1" x14ac:dyDescent="0.25">
      <c r="C826" s="26"/>
      <c r="O826" s="13"/>
      <c r="P826" s="13"/>
      <c r="Q826" s="13"/>
      <c r="R826" s="13"/>
    </row>
    <row r="827" spans="3:18" ht="15.75" customHeight="1" x14ac:dyDescent="0.25">
      <c r="C827" s="26"/>
      <c r="O827" s="13"/>
      <c r="P827" s="13"/>
      <c r="Q827" s="13"/>
      <c r="R827" s="13"/>
    </row>
    <row r="828" spans="3:18" ht="15.75" customHeight="1" x14ac:dyDescent="0.25">
      <c r="C828" s="26"/>
      <c r="O828" s="13"/>
      <c r="P828" s="13"/>
      <c r="Q828" s="13"/>
      <c r="R828" s="13"/>
    </row>
    <row r="829" spans="3:18" ht="15.75" customHeight="1" x14ac:dyDescent="0.25">
      <c r="C829" s="26"/>
      <c r="O829" s="13"/>
      <c r="P829" s="13"/>
      <c r="Q829" s="13"/>
      <c r="R829" s="13"/>
    </row>
    <row r="830" spans="3:18" ht="15.75" customHeight="1" x14ac:dyDescent="0.25">
      <c r="C830" s="26"/>
      <c r="O830" s="13"/>
      <c r="P830" s="13"/>
      <c r="Q830" s="13"/>
      <c r="R830" s="13"/>
    </row>
    <row r="831" spans="3:18" ht="15.75" customHeight="1" x14ac:dyDescent="0.25">
      <c r="C831" s="26"/>
      <c r="O831" s="13"/>
      <c r="P831" s="13"/>
      <c r="Q831" s="13"/>
      <c r="R831" s="13"/>
    </row>
    <row r="832" spans="3:18" ht="15.75" customHeight="1" x14ac:dyDescent="0.25">
      <c r="C832" s="26"/>
      <c r="O832" s="13"/>
      <c r="P832" s="13"/>
      <c r="Q832" s="13"/>
      <c r="R832" s="13"/>
    </row>
    <row r="833" spans="3:18" ht="15.75" customHeight="1" x14ac:dyDescent="0.25">
      <c r="C833" s="26"/>
      <c r="O833" s="13"/>
      <c r="P833" s="13"/>
      <c r="Q833" s="13"/>
      <c r="R833" s="13"/>
    </row>
    <row r="834" spans="3:18" ht="15.75" customHeight="1" x14ac:dyDescent="0.25">
      <c r="C834" s="26"/>
      <c r="O834" s="13"/>
      <c r="P834" s="13"/>
      <c r="Q834" s="13"/>
      <c r="R834" s="13"/>
    </row>
    <row r="835" spans="3:18" ht="15.75" customHeight="1" x14ac:dyDescent="0.25">
      <c r="C835" s="26"/>
      <c r="O835" s="13"/>
      <c r="P835" s="13"/>
      <c r="Q835" s="13"/>
      <c r="R835" s="13"/>
    </row>
    <row r="836" spans="3:18" ht="15.75" customHeight="1" x14ac:dyDescent="0.25">
      <c r="C836" s="26"/>
      <c r="O836" s="13"/>
      <c r="P836" s="13"/>
      <c r="Q836" s="13"/>
      <c r="R836" s="13"/>
    </row>
    <row r="837" spans="3:18" ht="15.75" customHeight="1" x14ac:dyDescent="0.25">
      <c r="C837" s="26"/>
      <c r="O837" s="13"/>
      <c r="P837" s="13"/>
      <c r="Q837" s="13"/>
      <c r="R837" s="13"/>
    </row>
    <row r="838" spans="3:18" ht="15.75" customHeight="1" x14ac:dyDescent="0.25">
      <c r="C838" s="26"/>
      <c r="O838" s="13"/>
      <c r="P838" s="13"/>
      <c r="Q838" s="13"/>
      <c r="R838" s="13"/>
    </row>
    <row r="839" spans="3:18" ht="15.75" customHeight="1" x14ac:dyDescent="0.25">
      <c r="C839" s="26"/>
      <c r="O839" s="13"/>
      <c r="P839" s="13"/>
      <c r="Q839" s="13"/>
      <c r="R839" s="13"/>
    </row>
    <row r="840" spans="3:18" ht="15.75" customHeight="1" x14ac:dyDescent="0.25">
      <c r="C840" s="26"/>
      <c r="O840" s="13"/>
      <c r="P840" s="13"/>
      <c r="Q840" s="13"/>
      <c r="R840" s="13"/>
    </row>
    <row r="841" spans="3:18" ht="15.75" customHeight="1" x14ac:dyDescent="0.25">
      <c r="C841" s="26"/>
      <c r="O841" s="13"/>
      <c r="P841" s="13"/>
      <c r="Q841" s="13"/>
      <c r="R841" s="13"/>
    </row>
    <row r="842" spans="3:18" ht="15.75" customHeight="1" x14ac:dyDescent="0.25">
      <c r="C842" s="26"/>
      <c r="O842" s="13"/>
      <c r="P842" s="13"/>
      <c r="Q842" s="13"/>
      <c r="R842" s="13"/>
    </row>
    <row r="843" spans="3:18" ht="15.75" customHeight="1" x14ac:dyDescent="0.25">
      <c r="C843" s="26"/>
      <c r="O843" s="13"/>
      <c r="P843" s="13"/>
      <c r="Q843" s="13"/>
      <c r="R843" s="13"/>
    </row>
    <row r="844" spans="3:18" ht="15.75" customHeight="1" x14ac:dyDescent="0.25">
      <c r="C844" s="26"/>
      <c r="O844" s="13"/>
      <c r="P844" s="13"/>
      <c r="Q844" s="13"/>
      <c r="R844" s="13"/>
    </row>
    <row r="845" spans="3:18" ht="15.75" customHeight="1" x14ac:dyDescent="0.25">
      <c r="C845" s="26"/>
      <c r="O845" s="13"/>
      <c r="P845" s="13"/>
      <c r="Q845" s="13"/>
      <c r="R845" s="13"/>
    </row>
    <row r="846" spans="3:18" ht="15.75" customHeight="1" x14ac:dyDescent="0.25">
      <c r="C846" s="26"/>
      <c r="O846" s="13"/>
      <c r="P846" s="13"/>
      <c r="Q846" s="13"/>
      <c r="R846" s="13"/>
    </row>
    <row r="847" spans="3:18" ht="15.75" customHeight="1" x14ac:dyDescent="0.25">
      <c r="C847" s="26"/>
      <c r="O847" s="13"/>
      <c r="P847" s="13"/>
      <c r="Q847" s="13"/>
      <c r="R847" s="13"/>
    </row>
    <row r="848" spans="3:18" ht="15.75" customHeight="1" x14ac:dyDescent="0.25">
      <c r="C848" s="26"/>
      <c r="O848" s="13"/>
      <c r="P848" s="13"/>
      <c r="Q848" s="13"/>
      <c r="R848" s="13"/>
    </row>
    <row r="849" spans="3:18" ht="15.75" customHeight="1" x14ac:dyDescent="0.25">
      <c r="C849" s="26"/>
      <c r="O849" s="13"/>
      <c r="P849" s="13"/>
      <c r="Q849" s="13"/>
      <c r="R849" s="13"/>
    </row>
    <row r="850" spans="3:18" ht="15.75" customHeight="1" x14ac:dyDescent="0.25">
      <c r="C850" s="26"/>
      <c r="O850" s="13"/>
      <c r="P850" s="13"/>
      <c r="Q850" s="13"/>
      <c r="R850" s="13"/>
    </row>
    <row r="851" spans="3:18" ht="15.75" customHeight="1" x14ac:dyDescent="0.25">
      <c r="C851" s="26"/>
      <c r="O851" s="13"/>
      <c r="P851" s="13"/>
      <c r="Q851" s="13"/>
      <c r="R851" s="13"/>
    </row>
    <row r="852" spans="3:18" ht="15.75" customHeight="1" x14ac:dyDescent="0.25">
      <c r="C852" s="26"/>
      <c r="O852" s="13"/>
      <c r="P852" s="13"/>
      <c r="Q852" s="13"/>
      <c r="R852" s="13"/>
    </row>
    <row r="853" spans="3:18" ht="15.75" customHeight="1" x14ac:dyDescent="0.25">
      <c r="C853" s="26"/>
      <c r="O853" s="13"/>
      <c r="P853" s="13"/>
      <c r="Q853" s="13"/>
      <c r="R853" s="13"/>
    </row>
    <row r="854" spans="3:18" ht="15.75" customHeight="1" x14ac:dyDescent="0.25">
      <c r="C854" s="26"/>
      <c r="O854" s="13"/>
      <c r="P854" s="13"/>
      <c r="Q854" s="13"/>
      <c r="R854" s="13"/>
    </row>
    <row r="855" spans="3:18" ht="15.75" customHeight="1" x14ac:dyDescent="0.25">
      <c r="C855" s="26"/>
      <c r="O855" s="13"/>
      <c r="P855" s="13"/>
      <c r="Q855" s="13"/>
      <c r="R855" s="13"/>
    </row>
    <row r="856" spans="3:18" ht="15.75" customHeight="1" x14ac:dyDescent="0.25">
      <c r="C856" s="26"/>
      <c r="O856" s="13"/>
      <c r="P856" s="13"/>
      <c r="Q856" s="13"/>
      <c r="R856" s="13"/>
    </row>
    <row r="857" spans="3:18" ht="15.75" customHeight="1" x14ac:dyDescent="0.25">
      <c r="C857" s="26"/>
      <c r="O857" s="13"/>
      <c r="P857" s="13"/>
      <c r="Q857" s="13"/>
      <c r="R857" s="13"/>
    </row>
    <row r="858" spans="3:18" ht="15.75" customHeight="1" x14ac:dyDescent="0.25">
      <c r="C858" s="26"/>
      <c r="O858" s="13"/>
      <c r="P858" s="13"/>
      <c r="Q858" s="13"/>
      <c r="R858" s="13"/>
    </row>
    <row r="859" spans="3:18" ht="15.75" customHeight="1" x14ac:dyDescent="0.25">
      <c r="C859" s="26"/>
      <c r="O859" s="13"/>
      <c r="P859" s="13"/>
      <c r="Q859" s="13"/>
      <c r="R859" s="13"/>
    </row>
    <row r="860" spans="3:18" ht="15.75" customHeight="1" x14ac:dyDescent="0.25">
      <c r="C860" s="26"/>
      <c r="O860" s="13"/>
      <c r="P860" s="13"/>
      <c r="Q860" s="13"/>
      <c r="R860" s="13"/>
    </row>
    <row r="861" spans="3:18" ht="15.75" customHeight="1" x14ac:dyDescent="0.25">
      <c r="C861" s="26"/>
      <c r="O861" s="13"/>
      <c r="P861" s="13"/>
      <c r="Q861" s="13"/>
      <c r="R861" s="13"/>
    </row>
    <row r="862" spans="3:18" ht="15.75" customHeight="1" x14ac:dyDescent="0.25">
      <c r="C862" s="26"/>
      <c r="O862" s="13"/>
      <c r="P862" s="13"/>
      <c r="Q862" s="13"/>
      <c r="R862" s="13"/>
    </row>
    <row r="863" spans="3:18" ht="15.75" customHeight="1" x14ac:dyDescent="0.25">
      <c r="C863" s="26"/>
      <c r="O863" s="13"/>
      <c r="P863" s="13"/>
      <c r="Q863" s="13"/>
      <c r="R863" s="13"/>
    </row>
    <row r="864" spans="3:18" ht="15.75" customHeight="1" x14ac:dyDescent="0.25">
      <c r="C864" s="26"/>
      <c r="O864" s="13"/>
      <c r="P864" s="13"/>
      <c r="Q864" s="13"/>
      <c r="R864" s="13"/>
    </row>
    <row r="865" spans="3:18" ht="15.75" customHeight="1" x14ac:dyDescent="0.25">
      <c r="C865" s="26"/>
      <c r="O865" s="13"/>
      <c r="P865" s="13"/>
      <c r="Q865" s="13"/>
      <c r="R865" s="13"/>
    </row>
    <row r="866" spans="3:18" ht="15.75" customHeight="1" x14ac:dyDescent="0.25">
      <c r="C866" s="26"/>
      <c r="O866" s="13"/>
      <c r="P866" s="13"/>
      <c r="Q866" s="13"/>
      <c r="R866" s="13"/>
    </row>
    <row r="867" spans="3:18" ht="15.75" customHeight="1" x14ac:dyDescent="0.25">
      <c r="C867" s="26"/>
      <c r="O867" s="13"/>
      <c r="P867" s="13"/>
      <c r="Q867" s="13"/>
      <c r="R867" s="13"/>
    </row>
    <row r="868" spans="3:18" ht="15.75" customHeight="1" x14ac:dyDescent="0.25">
      <c r="C868" s="26"/>
      <c r="O868" s="13"/>
      <c r="P868" s="13"/>
      <c r="Q868" s="13"/>
      <c r="R868" s="13"/>
    </row>
    <row r="869" spans="3:18" ht="15.75" customHeight="1" x14ac:dyDescent="0.25">
      <c r="C869" s="26"/>
      <c r="O869" s="13"/>
      <c r="P869" s="13"/>
      <c r="Q869" s="13"/>
      <c r="R869" s="13"/>
    </row>
    <row r="870" spans="3:18" ht="15.75" customHeight="1" x14ac:dyDescent="0.25">
      <c r="C870" s="26"/>
      <c r="O870" s="13"/>
      <c r="P870" s="13"/>
      <c r="Q870" s="13"/>
      <c r="R870" s="13"/>
    </row>
    <row r="871" spans="3:18" ht="15.75" customHeight="1" x14ac:dyDescent="0.25">
      <c r="C871" s="26"/>
      <c r="O871" s="13"/>
      <c r="P871" s="13"/>
      <c r="Q871" s="13"/>
      <c r="R871" s="13"/>
    </row>
    <row r="872" spans="3:18" ht="15.75" customHeight="1" x14ac:dyDescent="0.25">
      <c r="C872" s="26"/>
      <c r="O872" s="13"/>
      <c r="P872" s="13"/>
      <c r="Q872" s="13"/>
      <c r="R872" s="13"/>
    </row>
    <row r="873" spans="3:18" ht="15.75" customHeight="1" x14ac:dyDescent="0.25">
      <c r="C873" s="26"/>
      <c r="O873" s="13"/>
      <c r="P873" s="13"/>
      <c r="Q873" s="13"/>
      <c r="R873" s="13"/>
    </row>
    <row r="874" spans="3:18" ht="15.75" customHeight="1" x14ac:dyDescent="0.25">
      <c r="C874" s="26"/>
      <c r="O874" s="13"/>
      <c r="P874" s="13"/>
      <c r="Q874" s="13"/>
      <c r="R874" s="13"/>
    </row>
    <row r="875" spans="3:18" ht="15.75" customHeight="1" x14ac:dyDescent="0.25">
      <c r="C875" s="26"/>
      <c r="O875" s="13"/>
      <c r="P875" s="13"/>
      <c r="Q875" s="13"/>
      <c r="R875" s="13"/>
    </row>
    <row r="876" spans="3:18" ht="15.75" customHeight="1" x14ac:dyDescent="0.25">
      <c r="C876" s="26"/>
      <c r="O876" s="13"/>
      <c r="P876" s="13"/>
      <c r="Q876" s="13"/>
      <c r="R876" s="13"/>
    </row>
    <row r="877" spans="3:18" ht="15.75" customHeight="1" x14ac:dyDescent="0.25">
      <c r="C877" s="26"/>
      <c r="O877" s="13"/>
      <c r="P877" s="13"/>
      <c r="Q877" s="13"/>
      <c r="R877" s="13"/>
    </row>
    <row r="878" spans="3:18" ht="15.75" customHeight="1" x14ac:dyDescent="0.25">
      <c r="C878" s="26"/>
      <c r="O878" s="13"/>
      <c r="P878" s="13"/>
      <c r="Q878" s="13"/>
      <c r="R878" s="13"/>
    </row>
    <row r="879" spans="3:18" ht="15.75" customHeight="1" x14ac:dyDescent="0.25">
      <c r="C879" s="26"/>
      <c r="O879" s="13"/>
      <c r="P879" s="13"/>
      <c r="Q879" s="13"/>
      <c r="R879" s="13"/>
    </row>
    <row r="880" spans="3:18" ht="15.75" customHeight="1" x14ac:dyDescent="0.25">
      <c r="C880" s="26"/>
      <c r="O880" s="13"/>
      <c r="P880" s="13"/>
      <c r="Q880" s="13"/>
      <c r="R880" s="13"/>
    </row>
    <row r="881" spans="3:18" ht="15.75" customHeight="1" x14ac:dyDescent="0.25">
      <c r="C881" s="26"/>
      <c r="O881" s="13"/>
      <c r="P881" s="13"/>
      <c r="Q881" s="13"/>
      <c r="R881" s="13"/>
    </row>
    <row r="882" spans="3:18" ht="15.75" customHeight="1" x14ac:dyDescent="0.25">
      <c r="C882" s="26"/>
      <c r="O882" s="13"/>
      <c r="P882" s="13"/>
      <c r="Q882" s="13"/>
      <c r="R882" s="13"/>
    </row>
    <row r="883" spans="3:18" ht="15.75" customHeight="1" x14ac:dyDescent="0.25">
      <c r="C883" s="26"/>
      <c r="O883" s="13"/>
      <c r="P883" s="13"/>
      <c r="Q883" s="13"/>
      <c r="R883" s="13"/>
    </row>
    <row r="884" spans="3:18" ht="15.75" customHeight="1" x14ac:dyDescent="0.25">
      <c r="C884" s="26"/>
      <c r="O884" s="13"/>
      <c r="P884" s="13"/>
      <c r="Q884" s="13"/>
      <c r="R884" s="13"/>
    </row>
    <row r="885" spans="3:18" ht="15.75" customHeight="1" x14ac:dyDescent="0.25">
      <c r="C885" s="26"/>
      <c r="O885" s="13"/>
      <c r="P885" s="13"/>
      <c r="Q885" s="13"/>
      <c r="R885" s="13"/>
    </row>
    <row r="886" spans="3:18" ht="15.75" customHeight="1" x14ac:dyDescent="0.25">
      <c r="C886" s="26"/>
      <c r="O886" s="13"/>
      <c r="P886" s="13"/>
      <c r="Q886" s="13"/>
      <c r="R886" s="13"/>
    </row>
    <row r="887" spans="3:18" ht="15.75" customHeight="1" x14ac:dyDescent="0.25">
      <c r="C887" s="26"/>
      <c r="O887" s="13"/>
      <c r="P887" s="13"/>
      <c r="Q887" s="13"/>
      <c r="R887" s="13"/>
    </row>
    <row r="888" spans="3:18" ht="15.75" customHeight="1" x14ac:dyDescent="0.25">
      <c r="C888" s="26"/>
      <c r="O888" s="13"/>
      <c r="P888" s="13"/>
      <c r="Q888" s="13"/>
      <c r="R888" s="13"/>
    </row>
    <row r="889" spans="3:18" ht="15.75" customHeight="1" x14ac:dyDescent="0.25">
      <c r="C889" s="26"/>
      <c r="O889" s="13"/>
      <c r="P889" s="13"/>
      <c r="Q889" s="13"/>
      <c r="R889" s="13"/>
    </row>
    <row r="890" spans="3:18" ht="15.75" customHeight="1" x14ac:dyDescent="0.25">
      <c r="C890" s="26"/>
      <c r="O890" s="13"/>
      <c r="P890" s="13"/>
      <c r="Q890" s="13"/>
      <c r="R890" s="13"/>
    </row>
    <row r="891" spans="3:18" ht="15.75" customHeight="1" x14ac:dyDescent="0.25">
      <c r="C891" s="26"/>
      <c r="O891" s="13"/>
      <c r="P891" s="13"/>
      <c r="Q891" s="13"/>
      <c r="R891" s="13"/>
    </row>
    <row r="892" spans="3:18" ht="15.75" customHeight="1" x14ac:dyDescent="0.25">
      <c r="C892" s="26"/>
      <c r="O892" s="13"/>
      <c r="P892" s="13"/>
      <c r="Q892" s="13"/>
      <c r="R892" s="13"/>
    </row>
    <row r="893" spans="3:18" ht="15.75" customHeight="1" x14ac:dyDescent="0.25">
      <c r="C893" s="26"/>
      <c r="O893" s="13"/>
      <c r="P893" s="13"/>
      <c r="Q893" s="13"/>
      <c r="R893" s="13"/>
    </row>
    <row r="894" spans="3:18" ht="15.75" customHeight="1" x14ac:dyDescent="0.25">
      <c r="C894" s="26"/>
      <c r="O894" s="13"/>
      <c r="P894" s="13"/>
      <c r="Q894" s="13"/>
      <c r="R894" s="13"/>
    </row>
    <row r="895" spans="3:18" ht="15.75" customHeight="1" x14ac:dyDescent="0.25">
      <c r="C895" s="26"/>
      <c r="O895" s="13"/>
      <c r="P895" s="13"/>
      <c r="Q895" s="13"/>
      <c r="R895" s="13"/>
    </row>
    <row r="896" spans="3:18" ht="15.75" customHeight="1" x14ac:dyDescent="0.25">
      <c r="C896" s="26"/>
      <c r="O896" s="13"/>
      <c r="P896" s="13"/>
      <c r="Q896" s="13"/>
      <c r="R896" s="13"/>
    </row>
    <row r="897" spans="3:18" ht="15.75" customHeight="1" x14ac:dyDescent="0.25">
      <c r="C897" s="26"/>
      <c r="O897" s="13"/>
      <c r="P897" s="13"/>
      <c r="Q897" s="13"/>
      <c r="R897" s="13"/>
    </row>
    <row r="898" spans="3:18" ht="15.75" customHeight="1" x14ac:dyDescent="0.25">
      <c r="C898" s="26"/>
      <c r="O898" s="13"/>
      <c r="P898" s="13"/>
      <c r="Q898" s="13"/>
      <c r="R898" s="13"/>
    </row>
    <row r="899" spans="3:18" ht="15.75" customHeight="1" x14ac:dyDescent="0.25">
      <c r="C899" s="26"/>
      <c r="O899" s="13"/>
      <c r="P899" s="13"/>
      <c r="Q899" s="13"/>
      <c r="R899" s="13"/>
    </row>
    <row r="900" spans="3:18" ht="15.75" customHeight="1" x14ac:dyDescent="0.25">
      <c r="C900" s="26"/>
      <c r="O900" s="13"/>
      <c r="P900" s="13"/>
      <c r="Q900" s="13"/>
      <c r="R900" s="13"/>
    </row>
    <row r="901" spans="3:18" ht="15.75" customHeight="1" x14ac:dyDescent="0.25">
      <c r="C901" s="26"/>
      <c r="O901" s="13"/>
      <c r="P901" s="13"/>
      <c r="Q901" s="13"/>
      <c r="R901" s="13"/>
    </row>
    <row r="902" spans="3:18" ht="15.75" customHeight="1" x14ac:dyDescent="0.25">
      <c r="C902" s="26"/>
      <c r="O902" s="13"/>
      <c r="P902" s="13"/>
      <c r="Q902" s="13"/>
      <c r="R902" s="13"/>
    </row>
    <row r="903" spans="3:18" ht="15.75" customHeight="1" x14ac:dyDescent="0.25">
      <c r="C903" s="26"/>
      <c r="O903" s="13"/>
      <c r="P903" s="13"/>
      <c r="Q903" s="13"/>
      <c r="R903" s="13"/>
    </row>
    <row r="904" spans="3:18" ht="15.75" customHeight="1" x14ac:dyDescent="0.25">
      <c r="C904" s="26"/>
      <c r="O904" s="13"/>
      <c r="P904" s="13"/>
      <c r="Q904" s="13"/>
      <c r="R904" s="13"/>
    </row>
    <row r="905" spans="3:18" ht="15.75" customHeight="1" x14ac:dyDescent="0.25">
      <c r="C905" s="26"/>
      <c r="O905" s="13"/>
      <c r="P905" s="13"/>
      <c r="Q905" s="13"/>
      <c r="R905" s="13"/>
    </row>
    <row r="906" spans="3:18" ht="15.75" customHeight="1" x14ac:dyDescent="0.25">
      <c r="C906" s="26"/>
      <c r="O906" s="13"/>
      <c r="P906" s="13"/>
      <c r="Q906" s="13"/>
      <c r="R906" s="13"/>
    </row>
    <row r="907" spans="3:18" ht="15.75" customHeight="1" x14ac:dyDescent="0.25">
      <c r="C907" s="26"/>
      <c r="O907" s="13"/>
      <c r="P907" s="13"/>
      <c r="Q907" s="13"/>
      <c r="R907" s="13"/>
    </row>
    <row r="908" spans="3:18" ht="15.75" customHeight="1" x14ac:dyDescent="0.25">
      <c r="C908" s="26"/>
      <c r="O908" s="13"/>
      <c r="P908" s="13"/>
      <c r="Q908" s="13"/>
      <c r="R908" s="13"/>
    </row>
    <row r="909" spans="3:18" ht="15.75" customHeight="1" x14ac:dyDescent="0.25">
      <c r="C909" s="26"/>
      <c r="O909" s="13"/>
      <c r="P909" s="13"/>
      <c r="Q909" s="13"/>
      <c r="R909" s="13"/>
    </row>
    <row r="910" spans="3:18" ht="15.75" customHeight="1" x14ac:dyDescent="0.25">
      <c r="C910" s="26"/>
      <c r="O910" s="13"/>
      <c r="P910" s="13"/>
      <c r="Q910" s="13"/>
      <c r="R910" s="13"/>
    </row>
    <row r="911" spans="3:18" ht="15.75" customHeight="1" x14ac:dyDescent="0.25">
      <c r="C911" s="26"/>
      <c r="O911" s="13"/>
      <c r="P911" s="13"/>
      <c r="Q911" s="13"/>
      <c r="R911" s="13"/>
    </row>
    <row r="912" spans="3:18" ht="15.75" customHeight="1" x14ac:dyDescent="0.25">
      <c r="C912" s="26"/>
      <c r="O912" s="13"/>
      <c r="P912" s="13"/>
      <c r="Q912" s="13"/>
      <c r="R912" s="13"/>
    </row>
    <row r="913" spans="3:18" ht="15.75" customHeight="1" x14ac:dyDescent="0.25">
      <c r="C913" s="26"/>
      <c r="O913" s="13"/>
      <c r="P913" s="13"/>
      <c r="Q913" s="13"/>
      <c r="R913" s="13"/>
    </row>
    <row r="914" spans="3:18" ht="15.75" customHeight="1" x14ac:dyDescent="0.25">
      <c r="C914" s="26"/>
      <c r="O914" s="13"/>
      <c r="P914" s="13"/>
      <c r="Q914" s="13"/>
      <c r="R914" s="13"/>
    </row>
    <row r="915" spans="3:18" ht="15.75" customHeight="1" x14ac:dyDescent="0.25">
      <c r="C915" s="26"/>
      <c r="O915" s="13"/>
      <c r="P915" s="13"/>
      <c r="Q915" s="13"/>
      <c r="R915" s="13"/>
    </row>
    <row r="916" spans="3:18" ht="15.75" customHeight="1" x14ac:dyDescent="0.25">
      <c r="C916" s="26"/>
      <c r="O916" s="13"/>
      <c r="P916" s="13"/>
      <c r="Q916" s="13"/>
      <c r="R916" s="13"/>
    </row>
    <row r="917" spans="3:18" ht="15.75" customHeight="1" x14ac:dyDescent="0.25">
      <c r="C917" s="26"/>
      <c r="O917" s="13"/>
      <c r="P917" s="13"/>
      <c r="Q917" s="13"/>
      <c r="R917" s="13"/>
    </row>
    <row r="918" spans="3:18" ht="15.75" customHeight="1" x14ac:dyDescent="0.25">
      <c r="C918" s="26"/>
      <c r="O918" s="13"/>
      <c r="P918" s="13"/>
      <c r="Q918" s="13"/>
      <c r="R918" s="13"/>
    </row>
    <row r="919" spans="3:18" ht="15.75" customHeight="1" x14ac:dyDescent="0.25">
      <c r="C919" s="26"/>
      <c r="O919" s="13"/>
      <c r="P919" s="13"/>
      <c r="Q919" s="13"/>
      <c r="R919" s="13"/>
    </row>
    <row r="920" spans="3:18" ht="15.75" customHeight="1" x14ac:dyDescent="0.25">
      <c r="C920" s="26"/>
      <c r="O920" s="13"/>
      <c r="P920" s="13"/>
      <c r="Q920" s="13"/>
      <c r="R920" s="13"/>
    </row>
    <row r="921" spans="3:18" ht="15.75" customHeight="1" x14ac:dyDescent="0.25">
      <c r="C921" s="26"/>
      <c r="O921" s="13"/>
      <c r="P921" s="13"/>
      <c r="Q921" s="13"/>
      <c r="R921" s="13"/>
    </row>
    <row r="922" spans="3:18" ht="15.75" customHeight="1" x14ac:dyDescent="0.25">
      <c r="C922" s="26"/>
      <c r="O922" s="13"/>
      <c r="P922" s="13"/>
      <c r="Q922" s="13"/>
      <c r="R922" s="13"/>
    </row>
    <row r="923" spans="3:18" ht="15.75" customHeight="1" x14ac:dyDescent="0.25">
      <c r="C923" s="26"/>
      <c r="O923" s="13"/>
      <c r="P923" s="13"/>
      <c r="Q923" s="13"/>
      <c r="R923" s="13"/>
    </row>
    <row r="924" spans="3:18" ht="15.75" customHeight="1" x14ac:dyDescent="0.25">
      <c r="C924" s="26"/>
      <c r="O924" s="13"/>
      <c r="P924" s="13"/>
      <c r="Q924" s="13"/>
      <c r="R924" s="13"/>
    </row>
    <row r="925" spans="3:18" ht="15.75" customHeight="1" x14ac:dyDescent="0.25">
      <c r="C925" s="26"/>
      <c r="O925" s="13"/>
      <c r="P925" s="13"/>
      <c r="Q925" s="13"/>
      <c r="R925" s="13"/>
    </row>
    <row r="926" spans="3:18" ht="15.75" customHeight="1" x14ac:dyDescent="0.25">
      <c r="C926" s="26"/>
      <c r="O926" s="13"/>
      <c r="P926" s="13"/>
      <c r="Q926" s="13"/>
      <c r="R926" s="13"/>
    </row>
    <row r="927" spans="3:18" ht="15.75" customHeight="1" x14ac:dyDescent="0.25">
      <c r="C927" s="26"/>
      <c r="O927" s="13"/>
      <c r="P927" s="13"/>
      <c r="Q927" s="13"/>
      <c r="R927" s="13"/>
    </row>
    <row r="928" spans="3:18" ht="15.75" customHeight="1" x14ac:dyDescent="0.25">
      <c r="C928" s="26"/>
      <c r="O928" s="13"/>
      <c r="P928" s="13"/>
      <c r="Q928" s="13"/>
      <c r="R928" s="13"/>
    </row>
    <row r="929" spans="3:18" ht="15.75" customHeight="1" x14ac:dyDescent="0.25">
      <c r="C929" s="26"/>
      <c r="O929" s="13"/>
      <c r="P929" s="13"/>
      <c r="Q929" s="13"/>
      <c r="R929" s="13"/>
    </row>
    <row r="930" spans="3:18" ht="15.75" customHeight="1" x14ac:dyDescent="0.25">
      <c r="C930" s="26"/>
      <c r="O930" s="13"/>
      <c r="P930" s="13"/>
      <c r="Q930" s="13"/>
      <c r="R930" s="13"/>
    </row>
    <row r="931" spans="3:18" ht="15.75" customHeight="1" x14ac:dyDescent="0.25">
      <c r="C931" s="26"/>
      <c r="O931" s="13"/>
      <c r="P931" s="13"/>
      <c r="Q931" s="13"/>
      <c r="R931" s="13"/>
    </row>
    <row r="932" spans="3:18" ht="15.75" customHeight="1" x14ac:dyDescent="0.25">
      <c r="C932" s="26"/>
      <c r="O932" s="13"/>
      <c r="P932" s="13"/>
      <c r="Q932" s="13"/>
      <c r="R932" s="13"/>
    </row>
    <row r="933" spans="3:18" ht="15.75" customHeight="1" x14ac:dyDescent="0.25">
      <c r="C933" s="26"/>
      <c r="O933" s="13"/>
      <c r="P933" s="13"/>
      <c r="Q933" s="13"/>
      <c r="R933" s="13"/>
    </row>
    <row r="934" spans="3:18" ht="15.75" customHeight="1" x14ac:dyDescent="0.25">
      <c r="C934" s="26"/>
      <c r="O934" s="13"/>
      <c r="P934" s="13"/>
      <c r="Q934" s="13"/>
      <c r="R934" s="13"/>
    </row>
    <row r="935" spans="3:18" ht="15.75" customHeight="1" x14ac:dyDescent="0.25">
      <c r="C935" s="26"/>
      <c r="O935" s="13"/>
      <c r="P935" s="13"/>
      <c r="Q935" s="13"/>
      <c r="R935" s="13"/>
    </row>
    <row r="936" spans="3:18" ht="15.75" customHeight="1" x14ac:dyDescent="0.25">
      <c r="C936" s="26"/>
      <c r="O936" s="13"/>
      <c r="P936" s="13"/>
      <c r="Q936" s="13"/>
      <c r="R936" s="13"/>
    </row>
    <row r="937" spans="3:18" ht="15.75" customHeight="1" x14ac:dyDescent="0.25">
      <c r="C937" s="26"/>
      <c r="O937" s="13"/>
      <c r="P937" s="13"/>
      <c r="Q937" s="13"/>
      <c r="R937" s="13"/>
    </row>
    <row r="938" spans="3:18" ht="15.75" customHeight="1" x14ac:dyDescent="0.25">
      <c r="C938" s="26"/>
      <c r="O938" s="13"/>
      <c r="P938" s="13"/>
      <c r="Q938" s="13"/>
      <c r="R938" s="13"/>
    </row>
    <row r="939" spans="3:18" ht="15.75" customHeight="1" x14ac:dyDescent="0.25">
      <c r="C939" s="26"/>
      <c r="O939" s="13"/>
      <c r="P939" s="13"/>
      <c r="Q939" s="13"/>
      <c r="R939" s="13"/>
    </row>
    <row r="940" spans="3:18" ht="15.75" customHeight="1" x14ac:dyDescent="0.25">
      <c r="C940" s="26"/>
      <c r="O940" s="13"/>
      <c r="P940" s="13"/>
      <c r="Q940" s="13"/>
      <c r="R940" s="13"/>
    </row>
    <row r="941" spans="3:18" ht="15.75" customHeight="1" x14ac:dyDescent="0.25">
      <c r="C941" s="26"/>
      <c r="O941" s="13"/>
      <c r="P941" s="13"/>
      <c r="Q941" s="13"/>
      <c r="R941" s="13"/>
    </row>
    <row r="942" spans="3:18" ht="15.75" customHeight="1" x14ac:dyDescent="0.25">
      <c r="C942" s="26"/>
      <c r="O942" s="13"/>
      <c r="P942" s="13"/>
      <c r="Q942" s="13"/>
      <c r="R942" s="13"/>
    </row>
    <row r="943" spans="3:18" ht="15.75" customHeight="1" x14ac:dyDescent="0.25">
      <c r="C943" s="26"/>
      <c r="O943" s="13"/>
      <c r="P943" s="13"/>
      <c r="Q943" s="13"/>
      <c r="R943" s="13"/>
    </row>
    <row r="944" spans="3:18" ht="15.75" customHeight="1" x14ac:dyDescent="0.25">
      <c r="C944" s="26"/>
      <c r="O944" s="13"/>
      <c r="P944" s="13"/>
      <c r="Q944" s="13"/>
      <c r="R944" s="13"/>
    </row>
    <row r="945" spans="3:18" ht="15.75" customHeight="1" x14ac:dyDescent="0.25">
      <c r="C945" s="26"/>
      <c r="O945" s="13"/>
      <c r="P945" s="13"/>
      <c r="Q945" s="13"/>
      <c r="R945" s="13"/>
    </row>
    <row r="946" spans="3:18" ht="15.75" customHeight="1" x14ac:dyDescent="0.25">
      <c r="C946" s="26"/>
      <c r="O946" s="13"/>
      <c r="P946" s="13"/>
      <c r="Q946" s="13"/>
      <c r="R946" s="13"/>
    </row>
    <row r="947" spans="3:18" ht="15.75" customHeight="1" x14ac:dyDescent="0.25">
      <c r="C947" s="26"/>
      <c r="O947" s="13"/>
      <c r="P947" s="13"/>
      <c r="Q947" s="13"/>
      <c r="R947" s="13"/>
    </row>
    <row r="948" spans="3:18" ht="15.75" customHeight="1" x14ac:dyDescent="0.25">
      <c r="C948" s="26"/>
      <c r="O948" s="13"/>
      <c r="P948" s="13"/>
      <c r="Q948" s="13"/>
      <c r="R948" s="13"/>
    </row>
    <row r="949" spans="3:18" ht="15.75" customHeight="1" x14ac:dyDescent="0.25">
      <c r="C949" s="26"/>
      <c r="O949" s="13"/>
      <c r="P949" s="13"/>
      <c r="Q949" s="13"/>
      <c r="R949" s="13"/>
    </row>
    <row r="950" spans="3:18" ht="15.75" customHeight="1" x14ac:dyDescent="0.25">
      <c r="C950" s="26"/>
      <c r="O950" s="13"/>
      <c r="P950" s="13"/>
      <c r="Q950" s="13"/>
      <c r="R950" s="13"/>
    </row>
    <row r="951" spans="3:18" ht="15.75" customHeight="1" x14ac:dyDescent="0.25">
      <c r="C951" s="26"/>
      <c r="O951" s="13"/>
      <c r="P951" s="13"/>
      <c r="Q951" s="13"/>
      <c r="R951" s="13"/>
    </row>
    <row r="952" spans="3:18" ht="15.75" customHeight="1" x14ac:dyDescent="0.25">
      <c r="C952" s="26"/>
      <c r="O952" s="13"/>
      <c r="P952" s="13"/>
      <c r="Q952" s="13"/>
      <c r="R952" s="13"/>
    </row>
    <row r="953" spans="3:18" ht="15.75" customHeight="1" x14ac:dyDescent="0.25">
      <c r="C953" s="26"/>
      <c r="O953" s="13"/>
      <c r="P953" s="13"/>
      <c r="Q953" s="13"/>
      <c r="R953" s="13"/>
    </row>
    <row r="954" spans="3:18" ht="15.75" customHeight="1" x14ac:dyDescent="0.25">
      <c r="C954" s="26"/>
      <c r="O954" s="13"/>
      <c r="P954" s="13"/>
      <c r="Q954" s="13"/>
      <c r="R954" s="13"/>
    </row>
    <row r="955" spans="3:18" ht="15.75" customHeight="1" x14ac:dyDescent="0.25">
      <c r="C955" s="26"/>
      <c r="O955" s="13"/>
      <c r="P955" s="13"/>
      <c r="Q955" s="13"/>
      <c r="R955" s="13"/>
    </row>
    <row r="956" spans="3:18" ht="15.75" customHeight="1" x14ac:dyDescent="0.25">
      <c r="C956" s="26"/>
      <c r="O956" s="13"/>
      <c r="P956" s="13"/>
      <c r="Q956" s="13"/>
      <c r="R956" s="13"/>
    </row>
    <row r="957" spans="3:18" ht="15.75" customHeight="1" x14ac:dyDescent="0.25">
      <c r="C957" s="26"/>
      <c r="O957" s="13"/>
      <c r="P957" s="13"/>
      <c r="Q957" s="13"/>
      <c r="R957" s="13"/>
    </row>
    <row r="958" spans="3:18" ht="15.75" customHeight="1" x14ac:dyDescent="0.25">
      <c r="C958" s="26"/>
      <c r="O958" s="13"/>
      <c r="P958" s="13"/>
      <c r="Q958" s="13"/>
      <c r="R958" s="13"/>
    </row>
    <row r="959" spans="3:18" ht="15.75" customHeight="1" x14ac:dyDescent="0.25">
      <c r="C959" s="26"/>
      <c r="O959" s="13"/>
      <c r="P959" s="13"/>
      <c r="Q959" s="13"/>
      <c r="R959" s="13"/>
    </row>
    <row r="960" spans="3:18" ht="15.75" customHeight="1" x14ac:dyDescent="0.25">
      <c r="C960" s="26"/>
      <c r="O960" s="13"/>
      <c r="P960" s="13"/>
      <c r="Q960" s="13"/>
      <c r="R960" s="13"/>
    </row>
    <row r="961" spans="3:18" ht="15.75" customHeight="1" x14ac:dyDescent="0.25">
      <c r="C961" s="26"/>
      <c r="O961" s="13"/>
      <c r="P961" s="13"/>
      <c r="Q961" s="13"/>
      <c r="R961" s="13"/>
    </row>
    <row r="962" spans="3:18" ht="15.75" customHeight="1" x14ac:dyDescent="0.25">
      <c r="C962" s="26"/>
      <c r="O962" s="13"/>
      <c r="P962" s="13"/>
      <c r="Q962" s="13"/>
      <c r="R962" s="13"/>
    </row>
    <row r="963" spans="3:18" ht="15.75" customHeight="1" x14ac:dyDescent="0.25">
      <c r="C963" s="26"/>
      <c r="O963" s="13"/>
      <c r="P963" s="13"/>
      <c r="Q963" s="13"/>
      <c r="R963" s="13"/>
    </row>
    <row r="964" spans="3:18" ht="15.75" customHeight="1" x14ac:dyDescent="0.25">
      <c r="C964" s="26"/>
      <c r="O964" s="13"/>
      <c r="P964" s="13"/>
      <c r="Q964" s="13"/>
      <c r="R964" s="13"/>
    </row>
    <row r="965" spans="3:18" ht="15.75" customHeight="1" x14ac:dyDescent="0.25">
      <c r="C965" s="26"/>
      <c r="O965" s="13"/>
      <c r="P965" s="13"/>
      <c r="Q965" s="13"/>
      <c r="R965" s="13"/>
    </row>
    <row r="966" spans="3:18" ht="15.75" customHeight="1" x14ac:dyDescent="0.25">
      <c r="C966" s="26"/>
      <c r="O966" s="13"/>
      <c r="P966" s="13"/>
      <c r="Q966" s="13"/>
      <c r="R966" s="13"/>
    </row>
    <row r="967" spans="3:18" ht="15.75" customHeight="1" x14ac:dyDescent="0.25">
      <c r="C967" s="26"/>
      <c r="O967" s="13"/>
      <c r="P967" s="13"/>
      <c r="Q967" s="13"/>
      <c r="R967" s="13"/>
    </row>
    <row r="968" spans="3:18" ht="15.75" customHeight="1" x14ac:dyDescent="0.25">
      <c r="C968" s="26"/>
      <c r="O968" s="13"/>
      <c r="P968" s="13"/>
      <c r="Q968" s="13"/>
      <c r="R968" s="13"/>
    </row>
    <row r="969" spans="3:18" ht="15.75" customHeight="1" x14ac:dyDescent="0.25">
      <c r="C969" s="26"/>
      <c r="O969" s="13"/>
      <c r="P969" s="13"/>
      <c r="Q969" s="13"/>
      <c r="R969" s="13"/>
    </row>
    <row r="970" spans="3:18" ht="15.75" customHeight="1" x14ac:dyDescent="0.25">
      <c r="C970" s="26"/>
      <c r="O970" s="13"/>
      <c r="P970" s="13"/>
      <c r="Q970" s="13"/>
      <c r="R970" s="13"/>
    </row>
    <row r="971" spans="3:18" ht="15.75" customHeight="1" x14ac:dyDescent="0.25">
      <c r="C971" s="26"/>
      <c r="O971" s="13"/>
      <c r="P971" s="13"/>
      <c r="Q971" s="13"/>
      <c r="R971" s="13"/>
    </row>
    <row r="972" spans="3:18" ht="15.75" customHeight="1" x14ac:dyDescent="0.25">
      <c r="C972" s="26"/>
      <c r="O972" s="13"/>
      <c r="P972" s="13"/>
      <c r="Q972" s="13"/>
      <c r="R972" s="13"/>
    </row>
    <row r="973" spans="3:18" ht="15.75" customHeight="1" x14ac:dyDescent="0.25">
      <c r="C973" s="26"/>
      <c r="O973" s="13"/>
      <c r="P973" s="13"/>
      <c r="Q973" s="13"/>
      <c r="R973" s="13"/>
    </row>
    <row r="974" spans="3:18" ht="15.75" customHeight="1" x14ac:dyDescent="0.25">
      <c r="C974" s="26"/>
      <c r="O974" s="13"/>
      <c r="P974" s="13"/>
      <c r="Q974" s="13"/>
      <c r="R974" s="13"/>
    </row>
    <row r="975" spans="3:18" ht="15.75" customHeight="1" x14ac:dyDescent="0.25">
      <c r="C975" s="26"/>
      <c r="O975" s="13"/>
      <c r="P975" s="13"/>
      <c r="Q975" s="13"/>
      <c r="R975" s="13"/>
    </row>
    <row r="976" spans="3:18" ht="15.75" customHeight="1" x14ac:dyDescent="0.25">
      <c r="C976" s="26"/>
      <c r="O976" s="13"/>
      <c r="P976" s="13"/>
      <c r="Q976" s="13"/>
      <c r="R976" s="13"/>
    </row>
    <row r="977" spans="3:18" ht="15.75" customHeight="1" x14ac:dyDescent="0.25">
      <c r="C977" s="26"/>
      <c r="O977" s="13"/>
      <c r="P977" s="13"/>
      <c r="Q977" s="13"/>
      <c r="R977" s="13"/>
    </row>
    <row r="978" spans="3:18" ht="15.75" customHeight="1" x14ac:dyDescent="0.25">
      <c r="C978" s="26"/>
      <c r="O978" s="13"/>
      <c r="P978" s="13"/>
      <c r="Q978" s="13"/>
      <c r="R978" s="13"/>
    </row>
    <row r="979" spans="3:18" ht="15.75" customHeight="1" x14ac:dyDescent="0.25">
      <c r="C979" s="26"/>
      <c r="O979" s="13"/>
      <c r="P979" s="13"/>
      <c r="Q979" s="13"/>
      <c r="R979" s="13"/>
    </row>
    <row r="980" spans="3:18" ht="15.75" customHeight="1" x14ac:dyDescent="0.25">
      <c r="C980" s="26"/>
      <c r="O980" s="13"/>
      <c r="P980" s="13"/>
      <c r="Q980" s="13"/>
      <c r="R980" s="13"/>
    </row>
    <row r="981" spans="3:18" ht="15.75" customHeight="1" x14ac:dyDescent="0.25">
      <c r="C981" s="26"/>
      <c r="O981" s="13"/>
      <c r="P981" s="13"/>
      <c r="Q981" s="13"/>
      <c r="R981" s="13"/>
    </row>
    <row r="982" spans="3:18" ht="15.75" customHeight="1" x14ac:dyDescent="0.25">
      <c r="C982" s="26"/>
      <c r="O982" s="13"/>
      <c r="P982" s="13"/>
      <c r="Q982" s="13"/>
      <c r="R982" s="13"/>
    </row>
    <row r="983" spans="3:18" ht="15.75" customHeight="1" x14ac:dyDescent="0.25">
      <c r="C983" s="26"/>
      <c r="O983" s="13"/>
      <c r="P983" s="13"/>
      <c r="Q983" s="13"/>
      <c r="R983" s="13"/>
    </row>
    <row r="984" spans="3:18" ht="15.75" customHeight="1" x14ac:dyDescent="0.25">
      <c r="C984" s="26"/>
      <c r="O984" s="13"/>
      <c r="P984" s="13"/>
      <c r="Q984" s="13"/>
      <c r="R984" s="13"/>
    </row>
    <row r="985" spans="3:18" ht="15.75" customHeight="1" x14ac:dyDescent="0.25">
      <c r="C985" s="26"/>
      <c r="O985" s="13"/>
      <c r="P985" s="13"/>
      <c r="Q985" s="13"/>
      <c r="R985" s="13"/>
    </row>
    <row r="986" spans="3:18" ht="15.75" customHeight="1" x14ac:dyDescent="0.25">
      <c r="C986" s="26"/>
      <c r="O986" s="13"/>
      <c r="P986" s="13"/>
      <c r="Q986" s="13"/>
      <c r="R986" s="13"/>
    </row>
    <row r="987" spans="3:18" ht="15.75" customHeight="1" x14ac:dyDescent="0.25">
      <c r="C987" s="26"/>
      <c r="O987" s="13"/>
      <c r="P987" s="13"/>
      <c r="Q987" s="13"/>
      <c r="R987" s="13"/>
    </row>
    <row r="988" spans="3:18" ht="15.75" customHeight="1" x14ac:dyDescent="0.25">
      <c r="C988" s="26"/>
      <c r="O988" s="13"/>
      <c r="P988" s="13"/>
      <c r="Q988" s="13"/>
      <c r="R988" s="13"/>
    </row>
    <row r="989" spans="3:18" ht="15.75" customHeight="1" x14ac:dyDescent="0.25">
      <c r="C989" s="26"/>
      <c r="O989" s="13"/>
      <c r="P989" s="13"/>
      <c r="Q989" s="13"/>
      <c r="R989" s="13"/>
    </row>
    <row r="990" spans="3:18" ht="15.75" customHeight="1" x14ac:dyDescent="0.25">
      <c r="C990" s="26"/>
      <c r="O990" s="13"/>
      <c r="P990" s="13"/>
      <c r="Q990" s="13"/>
      <c r="R990" s="13"/>
    </row>
    <row r="991" spans="3:18" ht="15.75" customHeight="1" x14ac:dyDescent="0.25">
      <c r="C991" s="26"/>
      <c r="O991" s="13"/>
      <c r="P991" s="13"/>
      <c r="Q991" s="13"/>
      <c r="R991" s="13"/>
    </row>
    <row r="992" spans="3:18" ht="15.75" customHeight="1" x14ac:dyDescent="0.25">
      <c r="C992" s="26"/>
      <c r="O992" s="13"/>
      <c r="P992" s="13"/>
      <c r="Q992" s="13"/>
      <c r="R992" s="13"/>
    </row>
    <row r="993" spans="3:18" ht="15.75" customHeight="1" x14ac:dyDescent="0.25">
      <c r="C993" s="26"/>
      <c r="O993" s="13"/>
      <c r="P993" s="13"/>
      <c r="Q993" s="13"/>
      <c r="R993" s="13"/>
    </row>
    <row r="994" spans="3:18" ht="15.75" customHeight="1" x14ac:dyDescent="0.25">
      <c r="C994" s="26"/>
      <c r="O994" s="13"/>
      <c r="P994" s="13"/>
      <c r="Q994" s="13"/>
      <c r="R994" s="13"/>
    </row>
    <row r="995" spans="3:18" ht="15.75" customHeight="1" x14ac:dyDescent="0.25">
      <c r="C995" s="26"/>
      <c r="O995" s="13"/>
      <c r="P995" s="13"/>
      <c r="Q995" s="13"/>
      <c r="R995" s="13"/>
    </row>
    <row r="996" spans="3:18" ht="15.75" customHeight="1" x14ac:dyDescent="0.25">
      <c r="C996" s="26"/>
      <c r="O996" s="13"/>
      <c r="P996" s="13"/>
      <c r="Q996" s="13"/>
      <c r="R996" s="13"/>
    </row>
    <row r="997" spans="3:18" ht="15.75" customHeight="1" x14ac:dyDescent="0.25">
      <c r="C997" s="26"/>
      <c r="O997" s="13"/>
      <c r="P997" s="13"/>
      <c r="Q997" s="13"/>
      <c r="R997" s="13"/>
    </row>
    <row r="998" spans="3:18" ht="15.75" customHeight="1" x14ac:dyDescent="0.25">
      <c r="C998" s="26"/>
      <c r="O998" s="13"/>
      <c r="P998" s="13"/>
      <c r="Q998" s="13"/>
      <c r="R998" s="13"/>
    </row>
    <row r="999" spans="3:18" ht="15.75" customHeight="1" x14ac:dyDescent="0.25">
      <c r="C999" s="26"/>
      <c r="O999" s="13"/>
      <c r="P999" s="13"/>
      <c r="Q999" s="13"/>
      <c r="R999" s="13"/>
    </row>
    <row r="1000" spans="3:18" ht="15.75" customHeight="1" x14ac:dyDescent="0.25">
      <c r="C1000" s="26"/>
      <c r="O1000" s="13"/>
      <c r="P1000" s="13"/>
      <c r="Q1000" s="13"/>
      <c r="R1000" s="13"/>
    </row>
  </sheetData>
  <mergeCells count="91">
    <mergeCell ref="B12:B55"/>
    <mergeCell ref="C14:C17"/>
    <mergeCell ref="C52:C53"/>
    <mergeCell ref="C49:C50"/>
    <mergeCell ref="W5:Z5"/>
    <mergeCell ref="C9:C11"/>
    <mergeCell ref="K9:N9"/>
    <mergeCell ref="P9:Q9"/>
    <mergeCell ref="P11:Q11"/>
    <mergeCell ref="C19:C21"/>
    <mergeCell ref="C23:C25"/>
    <mergeCell ref="C27:C28"/>
    <mergeCell ref="C30:C31"/>
    <mergeCell ref="C44:C45"/>
    <mergeCell ref="C41:C42"/>
    <mergeCell ref="C46:C47"/>
    <mergeCell ref="BF47:BG47"/>
    <mergeCell ref="BK5:BN5"/>
    <mergeCell ref="BO5:BR5"/>
    <mergeCell ref="BS5:BV5"/>
    <mergeCell ref="BW5:BZ5"/>
    <mergeCell ref="AQ5:AT5"/>
    <mergeCell ref="BC5:BF5"/>
    <mergeCell ref="BG5:BJ5"/>
    <mergeCell ref="BD46:BE46"/>
    <mergeCell ref="BF46:BG46"/>
    <mergeCell ref="AY44:AY47"/>
    <mergeCell ref="AZ44:AZ45"/>
    <mergeCell ref="BC44:BD44"/>
    <mergeCell ref="BC45:BD45"/>
    <mergeCell ref="AZ46:AZ47"/>
    <mergeCell ref="BD47:BE47"/>
    <mergeCell ref="BA44:BB44"/>
    <mergeCell ref="BA45:BB45"/>
    <mergeCell ref="AU30:AU31"/>
    <mergeCell ref="AU5:AX5"/>
    <mergeCell ref="AY5:BB5"/>
    <mergeCell ref="AT41:AT42"/>
    <mergeCell ref="AU41:AU42"/>
    <mergeCell ref="BB34:BC34"/>
    <mergeCell ref="AZ35:BA35"/>
    <mergeCell ref="BB35:BC35"/>
    <mergeCell ref="C32:C33"/>
    <mergeCell ref="C34:C35"/>
    <mergeCell ref="AY34:AY35"/>
    <mergeCell ref="AZ34:BA34"/>
    <mergeCell ref="AU37:AU40"/>
    <mergeCell ref="AV37:AW37"/>
    <mergeCell ref="AX37:AY37"/>
    <mergeCell ref="AV38:AW38"/>
    <mergeCell ref="AX38:AY38"/>
    <mergeCell ref="AU32:AU33"/>
    <mergeCell ref="C37:C38"/>
    <mergeCell ref="C39:C40"/>
    <mergeCell ref="AV25:AW25"/>
    <mergeCell ref="AV30:AW30"/>
    <mergeCell ref="AX30:AY30"/>
    <mergeCell ref="AV31:AW31"/>
    <mergeCell ref="AX31:AY31"/>
    <mergeCell ref="AL15:AM15"/>
    <mergeCell ref="AJ24:AK24"/>
    <mergeCell ref="AL24:AM24"/>
    <mergeCell ref="AV24:AW24"/>
    <mergeCell ref="AB15:AC15"/>
    <mergeCell ref="AB17:AC17"/>
    <mergeCell ref="AD17:AF17"/>
    <mergeCell ref="AG17:AH17"/>
    <mergeCell ref="AJ23:AK23"/>
    <mergeCell ref="AL23:AM23"/>
    <mergeCell ref="AV23:AW23"/>
    <mergeCell ref="AB14:AC14"/>
    <mergeCell ref="AD14:AF14"/>
    <mergeCell ref="AG14:AH14"/>
    <mergeCell ref="AD15:AF15"/>
    <mergeCell ref="AG15:AH15"/>
    <mergeCell ref="CA5:CD5"/>
    <mergeCell ref="CE5:CH5"/>
    <mergeCell ref="CI5:CL5"/>
    <mergeCell ref="CM5:CP5"/>
    <mergeCell ref="E3:I3"/>
    <mergeCell ref="K3:BB3"/>
    <mergeCell ref="BC3:CT3"/>
    <mergeCell ref="E5:I5"/>
    <mergeCell ref="K5:N5"/>
    <mergeCell ref="O5:R5"/>
    <mergeCell ref="S5:V5"/>
    <mergeCell ref="CQ5:CT5"/>
    <mergeCell ref="AE5:AH5"/>
    <mergeCell ref="AI5:AL5"/>
    <mergeCell ref="AA5:AD5"/>
    <mergeCell ref="AM5:AP5"/>
  </mergeCell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BE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14.42578125" defaultRowHeight="15" customHeight="1" x14ac:dyDescent="0.25"/>
  <cols>
    <col min="1" max="1" width="2.7109375" customWidth="1"/>
    <col min="2" max="2" width="15.42578125" customWidth="1"/>
    <col min="3" max="3" width="33.42578125" customWidth="1"/>
    <col min="4" max="4" width="3.140625" customWidth="1"/>
    <col min="5" max="57" width="30.7109375" customWidth="1"/>
  </cols>
  <sheetData>
    <row r="1" spans="2:57" ht="14.25" customHeight="1" x14ac:dyDescent="0.25">
      <c r="C1" s="26"/>
    </row>
    <row r="2" spans="2:57" ht="14.25" customHeight="1" x14ac:dyDescent="0.25">
      <c r="C2" s="26"/>
    </row>
    <row r="3" spans="2:57" ht="49.5" customHeight="1" x14ac:dyDescent="0.25">
      <c r="C3" s="26"/>
      <c r="E3" s="744"/>
      <c r="F3" s="568"/>
      <c r="G3" s="568"/>
      <c r="H3" s="568"/>
      <c r="I3" s="568"/>
      <c r="J3" s="568"/>
      <c r="K3" s="568"/>
      <c r="L3" s="568"/>
      <c r="M3" s="569"/>
      <c r="N3" s="668">
        <v>2025</v>
      </c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  <c r="AM3" s="568"/>
      <c r="AN3" s="568"/>
      <c r="AO3" s="568"/>
      <c r="AP3" s="568"/>
      <c r="AQ3" s="568"/>
      <c r="AR3" s="568"/>
      <c r="AS3" s="568"/>
      <c r="AT3" s="568"/>
      <c r="AU3" s="568"/>
      <c r="AV3" s="568"/>
      <c r="AW3" s="568"/>
      <c r="AX3" s="568"/>
      <c r="AY3" s="568"/>
      <c r="AZ3" s="568"/>
      <c r="BA3" s="568"/>
      <c r="BB3" s="568"/>
      <c r="BC3" s="568"/>
      <c r="BD3" s="568"/>
      <c r="BE3" s="569"/>
    </row>
    <row r="4" spans="2:57" ht="9.75" customHeight="1" x14ac:dyDescent="0.25">
      <c r="C4" s="26"/>
      <c r="R4" s="13"/>
      <c r="S4" s="13"/>
      <c r="T4" s="13"/>
      <c r="U4" s="13"/>
    </row>
    <row r="5" spans="2:57" ht="57.75" customHeight="1" x14ac:dyDescent="0.25">
      <c r="C5" s="152" t="s">
        <v>28</v>
      </c>
      <c r="D5" s="52"/>
      <c r="E5" s="575" t="s">
        <v>60</v>
      </c>
      <c r="F5" s="568"/>
      <c r="G5" s="568"/>
      <c r="H5" s="569"/>
      <c r="I5" s="575" t="s">
        <v>55</v>
      </c>
      <c r="J5" s="568"/>
      <c r="K5" s="568"/>
      <c r="L5" s="568"/>
      <c r="M5" s="569"/>
      <c r="N5" s="575" t="s">
        <v>56</v>
      </c>
      <c r="O5" s="568"/>
      <c r="P5" s="568"/>
      <c r="Q5" s="569"/>
      <c r="R5" s="577" t="s">
        <v>57</v>
      </c>
      <c r="S5" s="568"/>
      <c r="T5" s="568"/>
      <c r="U5" s="569"/>
      <c r="V5" s="575" t="s">
        <v>58</v>
      </c>
      <c r="W5" s="568"/>
      <c r="X5" s="568"/>
      <c r="Y5" s="569"/>
      <c r="Z5" s="575" t="s">
        <v>1</v>
      </c>
      <c r="AA5" s="568"/>
      <c r="AB5" s="568"/>
      <c r="AC5" s="569"/>
      <c r="AD5" s="575" t="s">
        <v>19</v>
      </c>
      <c r="AE5" s="568"/>
      <c r="AF5" s="568"/>
      <c r="AG5" s="569"/>
      <c r="AH5" s="575" t="s">
        <v>25</v>
      </c>
      <c r="AI5" s="568"/>
      <c r="AJ5" s="568"/>
      <c r="AK5" s="569"/>
      <c r="AL5" s="575" t="s">
        <v>26</v>
      </c>
      <c r="AM5" s="568"/>
      <c r="AN5" s="568"/>
      <c r="AO5" s="569"/>
      <c r="AP5" s="575" t="s">
        <v>27</v>
      </c>
      <c r="AQ5" s="568"/>
      <c r="AR5" s="568"/>
      <c r="AS5" s="569"/>
      <c r="AT5" s="575" t="s">
        <v>54</v>
      </c>
      <c r="AU5" s="568"/>
      <c r="AV5" s="568"/>
      <c r="AW5" s="569"/>
      <c r="AX5" s="575" t="s">
        <v>60</v>
      </c>
      <c r="AY5" s="568"/>
      <c r="AZ5" s="568"/>
      <c r="BA5" s="569"/>
      <c r="BB5" s="575" t="s">
        <v>55</v>
      </c>
      <c r="BC5" s="568"/>
      <c r="BD5" s="568"/>
      <c r="BE5" s="569"/>
    </row>
    <row r="6" spans="2:57" ht="9.75" customHeight="1" x14ac:dyDescent="0.25">
      <c r="C6" s="27"/>
      <c r="R6" s="13"/>
      <c r="S6" s="13"/>
      <c r="T6" s="13"/>
      <c r="U6" s="13"/>
    </row>
    <row r="7" spans="2:57" ht="42" customHeight="1" x14ac:dyDescent="0.25">
      <c r="C7" s="27"/>
      <c r="E7" s="12" t="s">
        <v>31</v>
      </c>
      <c r="F7" s="12" t="s">
        <v>32</v>
      </c>
      <c r="G7" s="12" t="s">
        <v>29</v>
      </c>
      <c r="H7" s="12" t="s">
        <v>30</v>
      </c>
      <c r="I7" s="12" t="s">
        <v>31</v>
      </c>
      <c r="J7" s="12" t="s">
        <v>32</v>
      </c>
      <c r="K7" s="12" t="s">
        <v>29</v>
      </c>
      <c r="L7" s="12" t="s">
        <v>30</v>
      </c>
      <c r="M7" s="12" t="s">
        <v>51</v>
      </c>
      <c r="N7" s="12" t="s">
        <v>31</v>
      </c>
      <c r="O7" s="12" t="s">
        <v>32</v>
      </c>
      <c r="P7" s="12" t="s">
        <v>29</v>
      </c>
      <c r="Q7" s="12" t="s">
        <v>30</v>
      </c>
      <c r="R7" s="12" t="s">
        <v>65</v>
      </c>
      <c r="S7" s="12" t="s">
        <v>168</v>
      </c>
      <c r="T7" s="12" t="s">
        <v>169</v>
      </c>
      <c r="U7" s="12" t="s">
        <v>170</v>
      </c>
      <c r="V7" s="4" t="s">
        <v>31</v>
      </c>
      <c r="W7" s="12" t="s">
        <v>32</v>
      </c>
      <c r="X7" s="12" t="s">
        <v>29</v>
      </c>
      <c r="Y7" s="12" t="s">
        <v>30</v>
      </c>
      <c r="Z7" s="12" t="s">
        <v>31</v>
      </c>
      <c r="AA7" s="12" t="s">
        <v>32</v>
      </c>
      <c r="AB7" s="12" t="s">
        <v>29</v>
      </c>
      <c r="AC7" s="12" t="s">
        <v>30</v>
      </c>
      <c r="AD7" s="12" t="s">
        <v>31</v>
      </c>
      <c r="AE7" s="12" t="s">
        <v>32</v>
      </c>
      <c r="AF7" s="12" t="s">
        <v>29</v>
      </c>
      <c r="AG7" s="12" t="s">
        <v>30</v>
      </c>
      <c r="AH7" s="12" t="s">
        <v>31</v>
      </c>
      <c r="AI7" s="12" t="s">
        <v>32</v>
      </c>
      <c r="AJ7" s="12" t="s">
        <v>29</v>
      </c>
      <c r="AK7" s="12" t="s">
        <v>30</v>
      </c>
      <c r="AL7" s="12" t="s">
        <v>31</v>
      </c>
      <c r="AM7" s="12" t="s">
        <v>32</v>
      </c>
      <c r="AN7" s="12" t="s">
        <v>29</v>
      </c>
      <c r="AO7" s="12" t="s">
        <v>30</v>
      </c>
      <c r="AP7" s="12" t="s">
        <v>31</v>
      </c>
      <c r="AQ7" s="12" t="s">
        <v>32</v>
      </c>
      <c r="AR7" s="12" t="s">
        <v>29</v>
      </c>
      <c r="AS7" s="12" t="s">
        <v>30</v>
      </c>
      <c r="AT7" s="12" t="s">
        <v>31</v>
      </c>
      <c r="AU7" s="12" t="s">
        <v>32</v>
      </c>
      <c r="AV7" s="12" t="s">
        <v>29</v>
      </c>
      <c r="AW7" s="12" t="s">
        <v>30</v>
      </c>
      <c r="AX7" s="12" t="s">
        <v>31</v>
      </c>
      <c r="AY7" s="12" t="s">
        <v>32</v>
      </c>
      <c r="AZ7" s="12" t="s">
        <v>29</v>
      </c>
      <c r="BA7" s="12" t="s">
        <v>30</v>
      </c>
      <c r="BB7" s="12" t="s">
        <v>31</v>
      </c>
      <c r="BC7" s="12" t="s">
        <v>32</v>
      </c>
      <c r="BD7" s="12" t="s">
        <v>29</v>
      </c>
      <c r="BE7" s="12" t="s">
        <v>30</v>
      </c>
    </row>
    <row r="8" spans="2:57" ht="23.25" x14ac:dyDescent="0.25">
      <c r="C8" s="26"/>
    </row>
    <row r="9" spans="2:57" ht="28.5" hidden="1" customHeight="1" x14ac:dyDescent="0.25">
      <c r="C9" s="713" t="s">
        <v>33</v>
      </c>
    </row>
    <row r="10" spans="2:57" ht="25.5" hidden="1" customHeight="1" x14ac:dyDescent="0.25">
      <c r="C10" s="714"/>
      <c r="E10" s="5"/>
      <c r="F10" s="5"/>
      <c r="G10" s="5"/>
      <c r="H10" s="5"/>
      <c r="I10" s="5"/>
      <c r="J10" s="5"/>
      <c r="K10" s="5"/>
      <c r="L10" s="5"/>
      <c r="M10" s="5"/>
    </row>
    <row r="11" spans="2:57" ht="42" hidden="1" customHeight="1" x14ac:dyDescent="0.25">
      <c r="C11" s="678"/>
    </row>
    <row r="12" spans="2:57" ht="91.5" customHeight="1" x14ac:dyDescent="0.25">
      <c r="B12" s="742" t="s">
        <v>335</v>
      </c>
      <c r="C12" s="169" t="s">
        <v>149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pans="2:57" ht="14.25" customHeight="1" x14ac:dyDescent="0.25">
      <c r="B13" s="709"/>
      <c r="C13" s="26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pans="2:57" ht="173.25" customHeight="1" x14ac:dyDescent="0.25">
      <c r="B14" s="709"/>
      <c r="C14" s="745" t="s">
        <v>172</v>
      </c>
      <c r="E14" s="748" t="s">
        <v>336</v>
      </c>
      <c r="F14" s="582"/>
      <c r="G14" s="582"/>
      <c r="H14" s="572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pans="2:57" ht="33" customHeight="1" x14ac:dyDescent="0.25">
      <c r="B15" s="709"/>
      <c r="C15" s="709"/>
      <c r="E15" s="47"/>
      <c r="F15" s="35"/>
      <c r="G15" s="47"/>
      <c r="H15" s="47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pans="2:57" ht="111.75" customHeight="1" x14ac:dyDescent="0.25">
      <c r="B16" s="709"/>
      <c r="C16" s="709"/>
      <c r="E16" s="233" t="s">
        <v>337</v>
      </c>
      <c r="F16" s="35"/>
      <c r="G16" s="234" t="s">
        <v>338</v>
      </c>
      <c r="H16" s="234" t="s">
        <v>339</v>
      </c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pans="2:31" ht="34.5" customHeight="1" x14ac:dyDescent="0.25">
      <c r="B17" s="709"/>
      <c r="C17" s="709"/>
      <c r="E17" s="99"/>
      <c r="F17" s="749"/>
      <c r="G17" s="573"/>
      <c r="H17" s="47"/>
      <c r="I17" s="47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pans="2:31" ht="113.25" customHeight="1" x14ac:dyDescent="0.25">
      <c r="B18" s="709"/>
      <c r="C18" s="608"/>
      <c r="E18" s="99"/>
      <c r="F18" s="750" t="s">
        <v>105</v>
      </c>
      <c r="G18" s="572"/>
      <c r="H18" s="233" t="s">
        <v>340</v>
      </c>
      <c r="I18" s="233" t="s">
        <v>341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pans="2:31" ht="51" customHeight="1" x14ac:dyDescent="0.25">
      <c r="B19" s="709"/>
      <c r="C19" s="26"/>
      <c r="E19" s="35"/>
      <c r="F19" s="35"/>
      <c r="G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pans="2:31" ht="47.25" customHeight="1" x14ac:dyDescent="0.25">
      <c r="B20" s="709"/>
      <c r="C20" s="687" t="s">
        <v>46</v>
      </c>
      <c r="E20" s="35"/>
      <c r="F20" s="47" t="s">
        <v>81</v>
      </c>
      <c r="G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pans="2:31" ht="132" customHeight="1" x14ac:dyDescent="0.25">
      <c r="B21" s="709"/>
      <c r="C21" s="667"/>
      <c r="E21" s="35"/>
      <c r="F21" s="158" t="s">
        <v>342</v>
      </c>
      <c r="G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 spans="2:31" ht="51" customHeight="1" x14ac:dyDescent="0.25">
      <c r="B22" s="709"/>
      <c r="C22" s="159"/>
      <c r="E22" s="35"/>
      <c r="F22" s="35"/>
      <c r="G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pans="2:31" ht="51" customHeight="1" x14ac:dyDescent="0.25">
      <c r="B23" s="709"/>
      <c r="C23" s="729" t="s">
        <v>47</v>
      </c>
      <c r="E23" s="35"/>
      <c r="F23" s="746" t="s">
        <v>36</v>
      </c>
      <c r="G23" s="580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pans="2:31" ht="143.25" customHeight="1" x14ac:dyDescent="0.25">
      <c r="B24" s="709"/>
      <c r="C24" s="593"/>
      <c r="E24" s="35"/>
      <c r="F24" s="681" t="s">
        <v>343</v>
      </c>
      <c r="G24" s="580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pans="2:31" ht="27.75" customHeight="1" x14ac:dyDescent="0.25">
      <c r="B25" s="709"/>
      <c r="C25" s="159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 spans="2:31" ht="51" hidden="1" customHeight="1" x14ac:dyDescent="0.25">
      <c r="B26" s="709"/>
      <c r="C26" s="682" t="s">
        <v>178</v>
      </c>
      <c r="E26" s="634"/>
      <c r="F26" s="680"/>
      <c r="G26" s="610"/>
      <c r="H26" s="680"/>
      <c r="I26" s="610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pans="2:31" ht="51" hidden="1" customHeight="1" x14ac:dyDescent="0.25">
      <c r="B27" s="709"/>
      <c r="C27" s="667"/>
      <c r="E27" s="610"/>
      <c r="F27" s="674"/>
      <c r="G27" s="610"/>
      <c r="H27" s="674"/>
      <c r="I27" s="610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</row>
    <row r="28" spans="2:31" ht="51" hidden="1" customHeight="1" x14ac:dyDescent="0.25">
      <c r="B28" s="709"/>
      <c r="C28" s="676" t="s">
        <v>179</v>
      </c>
      <c r="E28" s="634"/>
      <c r="G28" s="80"/>
      <c r="H28" s="88"/>
      <c r="I28" s="80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pans="2:31" ht="51" hidden="1" customHeight="1" x14ac:dyDescent="0.25">
      <c r="B29" s="709"/>
      <c r="C29" s="667"/>
      <c r="E29" s="610"/>
      <c r="G29" s="88"/>
      <c r="H29" s="88"/>
      <c r="I29" s="82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pans="2:31" ht="51" hidden="1" customHeight="1" x14ac:dyDescent="0.25">
      <c r="B30" s="709"/>
      <c r="C30" s="676" t="s">
        <v>180</v>
      </c>
      <c r="E30" s="35"/>
      <c r="F30" s="35"/>
      <c r="G30" s="35"/>
      <c r="H30" s="35"/>
      <c r="I30" s="634"/>
      <c r="J30" s="680"/>
      <c r="K30" s="610"/>
      <c r="L30" s="163"/>
      <c r="M30" s="680"/>
      <c r="N30" s="610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pans="2:31" ht="51" hidden="1" customHeight="1" x14ac:dyDescent="0.25">
      <c r="B31" s="709"/>
      <c r="C31" s="593"/>
      <c r="E31" s="35"/>
      <c r="F31" s="35"/>
      <c r="G31" s="35"/>
      <c r="H31" s="35"/>
      <c r="I31" s="610"/>
      <c r="J31" s="674"/>
      <c r="K31" s="610"/>
      <c r="L31" s="88"/>
      <c r="M31" s="674"/>
      <c r="N31" s="610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pans="2:31" ht="51" hidden="1" customHeight="1" x14ac:dyDescent="0.25">
      <c r="B32" s="709"/>
      <c r="C32" s="159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pans="2:31" ht="51" hidden="1" customHeight="1" x14ac:dyDescent="0.25">
      <c r="B33" s="709"/>
      <c r="C33" s="677" t="s">
        <v>181</v>
      </c>
      <c r="E33" s="747"/>
      <c r="F33" s="680"/>
      <c r="G33" s="610"/>
      <c r="H33" s="680"/>
      <c r="I33" s="610"/>
      <c r="J33" s="80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pans="2:31" ht="51" hidden="1" customHeight="1" x14ac:dyDescent="0.25">
      <c r="B34" s="709"/>
      <c r="C34" s="678"/>
      <c r="E34" s="610"/>
      <c r="F34" s="634"/>
      <c r="G34" s="610"/>
      <c r="H34" s="634"/>
      <c r="I34" s="610"/>
      <c r="J34" s="68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spans="2:31" ht="51" hidden="1" customHeight="1" x14ac:dyDescent="0.25">
      <c r="B35" s="709"/>
      <c r="C35" s="677" t="s">
        <v>182</v>
      </c>
      <c r="E35" s="610"/>
      <c r="F35" s="88"/>
      <c r="G35" s="88"/>
      <c r="H35" s="88"/>
      <c r="I35" s="80"/>
      <c r="J35" s="80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spans="2:31" ht="51" hidden="1" customHeight="1" x14ac:dyDescent="0.25">
      <c r="B36" s="709"/>
      <c r="C36" s="678"/>
      <c r="E36" s="610"/>
      <c r="F36" s="88"/>
      <c r="G36" s="88"/>
      <c r="H36" s="88"/>
      <c r="I36" s="68"/>
      <c r="J36" s="68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spans="2:31" ht="51" hidden="1" customHeight="1" x14ac:dyDescent="0.25">
      <c r="B37" s="709"/>
      <c r="C37" s="677" t="s">
        <v>183</v>
      </c>
      <c r="E37" s="747"/>
      <c r="F37" s="207"/>
      <c r="G37" s="88"/>
      <c r="H37" s="88"/>
      <c r="K37" s="80"/>
      <c r="L37" s="80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pans="2:31" ht="51" hidden="1" customHeight="1" x14ac:dyDescent="0.25">
      <c r="B38" s="709"/>
      <c r="C38" s="678"/>
      <c r="E38" s="610"/>
      <c r="F38" s="88"/>
      <c r="G38" s="88"/>
      <c r="H38" s="88"/>
      <c r="K38" s="68"/>
      <c r="L38" s="68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pans="2:31" ht="25.5" hidden="1" customHeight="1" x14ac:dyDescent="0.25">
      <c r="B39" s="709"/>
      <c r="C39" s="26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pans="2:31" ht="66.75" hidden="1" customHeight="1" x14ac:dyDescent="0.25">
      <c r="B40" s="709"/>
      <c r="C40" s="679" t="s">
        <v>344</v>
      </c>
      <c r="E40" s="35"/>
      <c r="F40" s="35"/>
      <c r="I40" s="747"/>
      <c r="J40" s="634"/>
      <c r="K40" s="680"/>
      <c r="L40" s="610"/>
      <c r="M40" s="610"/>
      <c r="N40" s="680"/>
      <c r="O40" s="610"/>
      <c r="P40" s="35"/>
      <c r="Q40" s="35"/>
      <c r="R40" s="163"/>
      <c r="S40" s="163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pans="2:31" ht="35.25" hidden="1" customHeight="1" x14ac:dyDescent="0.25">
      <c r="B41" s="709"/>
      <c r="C41" s="608"/>
      <c r="E41" s="35"/>
      <c r="F41" s="35"/>
      <c r="I41" s="610"/>
      <c r="J41" s="610"/>
      <c r="K41" s="634"/>
      <c r="L41" s="610"/>
      <c r="M41" s="610"/>
      <c r="N41" s="634"/>
      <c r="O41" s="610"/>
      <c r="P41" s="35"/>
      <c r="Q41" s="35"/>
      <c r="R41" s="82"/>
      <c r="S41" s="82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</row>
    <row r="42" spans="2:31" ht="51.75" hidden="1" customHeight="1" x14ac:dyDescent="0.25">
      <c r="B42" s="709"/>
      <c r="C42" s="679" t="s">
        <v>345</v>
      </c>
      <c r="E42" s="35"/>
      <c r="F42" s="35"/>
      <c r="I42" s="610"/>
      <c r="J42" s="634"/>
      <c r="K42" s="35"/>
      <c r="L42" s="35"/>
      <c r="N42" s="35"/>
      <c r="O42" s="680"/>
      <c r="P42" s="610"/>
      <c r="Q42" s="680"/>
      <c r="R42" s="610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</row>
    <row r="43" spans="2:31" ht="97.5" hidden="1" customHeight="1" x14ac:dyDescent="0.25">
      <c r="B43" s="709"/>
      <c r="C43" s="608"/>
      <c r="E43" s="35"/>
      <c r="F43" s="35"/>
      <c r="I43" s="610"/>
      <c r="J43" s="610"/>
      <c r="K43" s="35"/>
      <c r="L43" s="35"/>
      <c r="N43" s="35"/>
      <c r="O43" s="634"/>
      <c r="P43" s="610"/>
      <c r="Q43" s="634"/>
      <c r="R43" s="610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</row>
    <row r="44" spans="2:31" ht="14.25" hidden="1" customHeight="1" x14ac:dyDescent="0.25">
      <c r="B44" s="709"/>
      <c r="C44" s="159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</row>
    <row r="45" spans="2:31" ht="14.25" customHeight="1" x14ac:dyDescent="0.25">
      <c r="B45" s="709"/>
      <c r="C45" s="729" t="s">
        <v>116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</row>
    <row r="46" spans="2:31" ht="71.25" customHeight="1" x14ac:dyDescent="0.25">
      <c r="B46" s="709"/>
      <c r="C46" s="593"/>
      <c r="E46" s="235"/>
      <c r="F46" s="35"/>
      <c r="G46" s="35"/>
      <c r="H46" s="164" t="s">
        <v>186</v>
      </c>
      <c r="I46" s="35"/>
      <c r="J46" s="35"/>
      <c r="K46" s="35"/>
      <c r="L46" s="35"/>
      <c r="M46" s="164" t="s">
        <v>187</v>
      </c>
      <c r="O46" s="236"/>
      <c r="P46" s="2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</row>
    <row r="47" spans="2:31" ht="12.75" customHeight="1" x14ac:dyDescent="0.25">
      <c r="B47" s="709"/>
      <c r="C47" s="159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</row>
    <row r="48" spans="2:31" ht="2.25" hidden="1" customHeight="1" x14ac:dyDescent="0.25">
      <c r="B48" s="709"/>
      <c r="C48" s="687" t="s">
        <v>48</v>
      </c>
      <c r="E48" s="35"/>
      <c r="F48" s="35"/>
      <c r="G48" s="35"/>
      <c r="H48" s="35"/>
      <c r="I48" s="35"/>
      <c r="J48" s="35"/>
      <c r="K48" s="35"/>
      <c r="L48" s="35"/>
      <c r="M48" s="35"/>
      <c r="N48" s="80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</row>
    <row r="49" spans="2:31" ht="67.5" customHeight="1" x14ac:dyDescent="0.25">
      <c r="B49" s="709"/>
      <c r="C49" s="593"/>
      <c r="E49" s="35"/>
      <c r="F49" s="35"/>
      <c r="G49" s="35"/>
      <c r="H49" s="35"/>
      <c r="I49" s="35"/>
      <c r="J49" s="35"/>
      <c r="K49" s="35"/>
      <c r="L49" s="35"/>
      <c r="M49" s="35"/>
      <c r="N49" s="68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</row>
    <row r="50" spans="2:31" ht="14.25" customHeight="1" x14ac:dyDescent="0.25">
      <c r="B50" s="709"/>
      <c r="C50" s="26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</row>
    <row r="51" spans="2:31" ht="14.25" customHeight="1" x14ac:dyDescent="0.25">
      <c r="B51" s="608"/>
      <c r="C51" s="26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</row>
    <row r="52" spans="2:31" ht="14.25" customHeight="1" x14ac:dyDescent="0.25">
      <c r="C52" s="26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</row>
    <row r="53" spans="2:31" ht="14.25" customHeight="1" x14ac:dyDescent="0.25">
      <c r="C53" s="26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</row>
    <row r="54" spans="2:31" ht="14.25" customHeight="1" x14ac:dyDescent="0.25">
      <c r="C54" s="26"/>
      <c r="E54" s="18"/>
      <c r="F54" s="18"/>
      <c r="G54" s="18"/>
      <c r="H54" s="18"/>
      <c r="I54" s="18"/>
      <c r="J54" s="18"/>
      <c r="K54" s="18"/>
      <c r="L54" s="18"/>
      <c r="M54" s="18"/>
    </row>
    <row r="55" spans="2:31" ht="14.25" customHeight="1" x14ac:dyDescent="0.25">
      <c r="C55" s="26"/>
      <c r="E55" s="18"/>
      <c r="F55" s="18"/>
      <c r="G55" s="18"/>
      <c r="H55" s="18"/>
      <c r="I55" s="18"/>
      <c r="J55" s="18"/>
      <c r="K55" s="18"/>
      <c r="L55" s="18"/>
      <c r="M55" s="18"/>
    </row>
    <row r="56" spans="2:31" ht="14.25" customHeight="1" x14ac:dyDescent="0.25">
      <c r="C56" s="26"/>
      <c r="E56" s="18"/>
      <c r="F56" s="18"/>
      <c r="G56" s="18"/>
      <c r="H56" s="18"/>
      <c r="I56" s="18"/>
      <c r="J56" s="18"/>
      <c r="K56" s="18"/>
      <c r="L56" s="18"/>
      <c r="M56" s="18"/>
    </row>
    <row r="57" spans="2:31" ht="14.25" customHeight="1" x14ac:dyDescent="0.25">
      <c r="C57" s="26"/>
      <c r="E57" s="18"/>
      <c r="F57" s="18"/>
      <c r="G57" s="18"/>
      <c r="H57" s="18"/>
      <c r="I57" s="18"/>
      <c r="J57" s="18"/>
      <c r="K57" s="18"/>
      <c r="L57" s="18"/>
      <c r="M57" s="18"/>
    </row>
    <row r="58" spans="2:31" ht="14.25" customHeight="1" x14ac:dyDescent="0.25">
      <c r="C58" s="26"/>
      <c r="E58" s="18"/>
      <c r="F58" s="18"/>
      <c r="G58" s="18"/>
      <c r="H58" s="18"/>
      <c r="I58" s="18"/>
      <c r="J58" s="18"/>
      <c r="K58" s="18"/>
      <c r="L58" s="18"/>
      <c r="M58" s="18"/>
    </row>
    <row r="59" spans="2:31" ht="14.25" customHeight="1" x14ac:dyDescent="0.25">
      <c r="C59" s="26"/>
      <c r="E59" s="18"/>
      <c r="F59" s="18"/>
      <c r="G59" s="18"/>
      <c r="H59" s="18"/>
      <c r="I59" s="18"/>
      <c r="J59" s="18"/>
      <c r="K59" s="18"/>
      <c r="L59" s="18"/>
      <c r="M59" s="18"/>
    </row>
    <row r="60" spans="2:31" ht="14.25" customHeight="1" x14ac:dyDescent="0.25">
      <c r="C60" s="26"/>
      <c r="E60" s="18"/>
      <c r="F60" s="18"/>
      <c r="G60" s="18"/>
      <c r="H60" s="18"/>
      <c r="I60" s="18"/>
      <c r="J60" s="18"/>
      <c r="K60" s="18"/>
      <c r="L60" s="18"/>
      <c r="M60" s="18"/>
    </row>
    <row r="61" spans="2:31" ht="14.25" customHeight="1" x14ac:dyDescent="0.25">
      <c r="C61" s="26"/>
      <c r="E61" s="18"/>
      <c r="F61" s="18"/>
      <c r="G61" s="18"/>
      <c r="H61" s="18"/>
      <c r="I61" s="18"/>
      <c r="J61" s="18"/>
      <c r="K61" s="18"/>
      <c r="L61" s="18"/>
      <c r="M61" s="18"/>
    </row>
    <row r="62" spans="2:31" ht="14.25" customHeight="1" x14ac:dyDescent="0.25">
      <c r="C62" s="26"/>
      <c r="E62" s="18"/>
      <c r="F62" s="18"/>
      <c r="G62" s="18"/>
      <c r="H62" s="18"/>
      <c r="I62" s="18"/>
      <c r="J62" s="18"/>
      <c r="K62" s="18"/>
      <c r="L62" s="18"/>
      <c r="M62" s="18"/>
    </row>
    <row r="63" spans="2:31" ht="14.25" customHeight="1" x14ac:dyDescent="0.25">
      <c r="C63" s="26"/>
      <c r="E63" s="18"/>
      <c r="F63" s="18"/>
      <c r="G63" s="18"/>
      <c r="H63" s="18"/>
      <c r="I63" s="18"/>
      <c r="J63" s="18"/>
      <c r="K63" s="18"/>
      <c r="L63" s="18"/>
      <c r="M63" s="18"/>
    </row>
    <row r="64" spans="2:31" ht="14.25" customHeight="1" x14ac:dyDescent="0.25">
      <c r="C64" s="26"/>
      <c r="E64" s="18"/>
      <c r="F64" s="18"/>
      <c r="G64" s="18"/>
      <c r="H64" s="18"/>
      <c r="I64" s="18"/>
      <c r="J64" s="18"/>
      <c r="K64" s="18"/>
      <c r="L64" s="18"/>
      <c r="M64" s="18"/>
    </row>
    <row r="65" spans="3:13" ht="14.25" customHeight="1" x14ac:dyDescent="0.25">
      <c r="C65" s="26"/>
      <c r="E65" s="18"/>
      <c r="F65" s="18"/>
      <c r="G65" s="18"/>
      <c r="H65" s="18"/>
      <c r="I65" s="18"/>
      <c r="J65" s="18"/>
      <c r="K65" s="18"/>
      <c r="L65" s="18"/>
      <c r="M65" s="18"/>
    </row>
    <row r="66" spans="3:13" ht="14.25" customHeight="1" x14ac:dyDescent="0.25">
      <c r="C66" s="26"/>
      <c r="E66" s="18"/>
      <c r="F66" s="18"/>
      <c r="G66" s="18"/>
      <c r="H66" s="18"/>
      <c r="I66" s="18"/>
      <c r="J66" s="18"/>
      <c r="K66" s="18"/>
      <c r="L66" s="18"/>
      <c r="M66" s="18"/>
    </row>
    <row r="67" spans="3:13" ht="14.25" customHeight="1" x14ac:dyDescent="0.25">
      <c r="C67" s="26"/>
      <c r="E67" s="18"/>
      <c r="F67" s="18"/>
      <c r="G67" s="18"/>
      <c r="H67" s="18"/>
      <c r="I67" s="18"/>
      <c r="J67" s="18"/>
      <c r="K67" s="18"/>
      <c r="L67" s="18"/>
      <c r="M67" s="18"/>
    </row>
    <row r="68" spans="3:13" ht="14.25" customHeight="1" x14ac:dyDescent="0.25">
      <c r="C68" s="26"/>
      <c r="E68" s="18"/>
      <c r="F68" s="18"/>
      <c r="G68" s="18"/>
      <c r="H68" s="18"/>
      <c r="I68" s="18"/>
      <c r="J68" s="18"/>
      <c r="K68" s="18"/>
      <c r="L68" s="18"/>
      <c r="M68" s="18"/>
    </row>
    <row r="69" spans="3:13" ht="14.25" customHeight="1" x14ac:dyDescent="0.25">
      <c r="C69" s="26"/>
      <c r="E69" s="18"/>
      <c r="F69" s="18"/>
      <c r="G69" s="18"/>
      <c r="H69" s="18"/>
      <c r="I69" s="18"/>
      <c r="J69" s="18"/>
      <c r="K69" s="18"/>
      <c r="L69" s="18"/>
      <c r="M69" s="18"/>
    </row>
    <row r="70" spans="3:13" ht="14.25" customHeight="1" x14ac:dyDescent="0.25">
      <c r="C70" s="26"/>
      <c r="E70" s="18"/>
      <c r="F70" s="18"/>
      <c r="G70" s="18"/>
      <c r="H70" s="18"/>
      <c r="I70" s="18"/>
      <c r="J70" s="18"/>
      <c r="K70" s="18"/>
      <c r="L70" s="18"/>
      <c r="M70" s="18"/>
    </row>
    <row r="71" spans="3:13" ht="14.25" customHeight="1" x14ac:dyDescent="0.25">
      <c r="C71" s="26"/>
      <c r="E71" s="18"/>
      <c r="F71" s="18"/>
      <c r="G71" s="18"/>
      <c r="H71" s="18"/>
      <c r="I71" s="18"/>
      <c r="J71" s="18"/>
      <c r="K71" s="18"/>
      <c r="L71" s="18"/>
      <c r="M71" s="18"/>
    </row>
    <row r="72" spans="3:13" ht="14.25" customHeight="1" x14ac:dyDescent="0.25">
      <c r="C72" s="26"/>
      <c r="E72" s="18"/>
      <c r="F72" s="18"/>
      <c r="G72" s="18"/>
      <c r="H72" s="18"/>
      <c r="I72" s="18"/>
      <c r="J72" s="18"/>
      <c r="K72" s="18"/>
      <c r="L72" s="18"/>
      <c r="M72" s="18"/>
    </row>
    <row r="73" spans="3:13" ht="14.25" customHeight="1" x14ac:dyDescent="0.25">
      <c r="C73" s="26"/>
      <c r="E73" s="18"/>
      <c r="F73" s="18"/>
      <c r="G73" s="18"/>
      <c r="H73" s="18"/>
      <c r="I73" s="18"/>
      <c r="J73" s="18"/>
      <c r="K73" s="18"/>
      <c r="L73" s="18"/>
      <c r="M73" s="18"/>
    </row>
    <row r="74" spans="3:13" ht="14.25" customHeight="1" x14ac:dyDescent="0.25">
      <c r="C74" s="26"/>
      <c r="E74" s="18"/>
      <c r="F74" s="18"/>
      <c r="G74" s="18"/>
      <c r="H74" s="18"/>
      <c r="I74" s="18"/>
      <c r="J74" s="18"/>
      <c r="K74" s="18"/>
      <c r="L74" s="18"/>
      <c r="M74" s="18"/>
    </row>
    <row r="75" spans="3:13" ht="14.25" customHeight="1" x14ac:dyDescent="0.25">
      <c r="C75" s="26"/>
      <c r="E75" s="18"/>
      <c r="F75" s="18"/>
      <c r="G75" s="18"/>
      <c r="H75" s="18"/>
      <c r="I75" s="18"/>
      <c r="J75" s="18"/>
      <c r="K75" s="18"/>
      <c r="L75" s="18"/>
      <c r="M75" s="18"/>
    </row>
    <row r="76" spans="3:13" ht="14.25" customHeight="1" x14ac:dyDescent="0.25">
      <c r="C76" s="26"/>
    </row>
    <row r="77" spans="3:13" ht="14.25" customHeight="1" x14ac:dyDescent="0.25">
      <c r="C77" s="26"/>
    </row>
    <row r="78" spans="3:13" ht="14.25" customHeight="1" x14ac:dyDescent="0.25">
      <c r="C78" s="26"/>
    </row>
    <row r="79" spans="3:13" ht="14.25" customHeight="1" x14ac:dyDescent="0.25">
      <c r="C79" s="26"/>
    </row>
    <row r="80" spans="3:13" ht="14.25" customHeight="1" x14ac:dyDescent="0.25">
      <c r="C80" s="26"/>
    </row>
    <row r="81" spans="3:3" ht="14.25" customHeight="1" x14ac:dyDescent="0.25">
      <c r="C81" s="26"/>
    </row>
    <row r="82" spans="3:3" ht="14.25" customHeight="1" x14ac:dyDescent="0.25">
      <c r="C82" s="26"/>
    </row>
    <row r="83" spans="3:3" ht="14.25" customHeight="1" x14ac:dyDescent="0.25">
      <c r="C83" s="26"/>
    </row>
    <row r="84" spans="3:3" ht="14.25" customHeight="1" x14ac:dyDescent="0.25">
      <c r="C84" s="26"/>
    </row>
    <row r="85" spans="3:3" ht="14.25" customHeight="1" x14ac:dyDescent="0.25">
      <c r="C85" s="26"/>
    </row>
    <row r="86" spans="3:3" ht="14.25" customHeight="1" x14ac:dyDescent="0.25">
      <c r="C86" s="26"/>
    </row>
    <row r="87" spans="3:3" ht="14.25" customHeight="1" x14ac:dyDescent="0.25">
      <c r="C87" s="26"/>
    </row>
    <row r="88" spans="3:3" ht="14.25" customHeight="1" x14ac:dyDescent="0.25">
      <c r="C88" s="26"/>
    </row>
    <row r="89" spans="3:3" ht="14.25" customHeight="1" x14ac:dyDescent="0.25">
      <c r="C89" s="26"/>
    </row>
    <row r="90" spans="3:3" ht="14.25" customHeight="1" x14ac:dyDescent="0.25">
      <c r="C90" s="26"/>
    </row>
    <row r="91" spans="3:3" ht="14.25" customHeight="1" x14ac:dyDescent="0.25">
      <c r="C91" s="26"/>
    </row>
    <row r="92" spans="3:3" ht="14.25" customHeight="1" x14ac:dyDescent="0.25">
      <c r="C92" s="26"/>
    </row>
    <row r="93" spans="3:3" ht="14.25" customHeight="1" x14ac:dyDescent="0.25">
      <c r="C93" s="26"/>
    </row>
    <row r="94" spans="3:3" ht="14.25" customHeight="1" x14ac:dyDescent="0.25">
      <c r="C94" s="26"/>
    </row>
    <row r="95" spans="3:3" ht="14.25" customHeight="1" x14ac:dyDescent="0.25">
      <c r="C95" s="26"/>
    </row>
    <row r="96" spans="3:3" ht="14.25" customHeight="1" x14ac:dyDescent="0.25">
      <c r="C96" s="26"/>
    </row>
    <row r="97" spans="3:3" ht="14.25" customHeight="1" x14ac:dyDescent="0.25">
      <c r="C97" s="26"/>
    </row>
    <row r="98" spans="3:3" ht="14.25" customHeight="1" x14ac:dyDescent="0.25">
      <c r="C98" s="26"/>
    </row>
    <row r="99" spans="3:3" ht="14.25" customHeight="1" x14ac:dyDescent="0.25">
      <c r="C99" s="26"/>
    </row>
    <row r="100" spans="3:3" ht="14.25" customHeight="1" x14ac:dyDescent="0.25">
      <c r="C100" s="26"/>
    </row>
    <row r="101" spans="3:3" ht="14.25" customHeight="1" x14ac:dyDescent="0.25">
      <c r="C101" s="26"/>
    </row>
    <row r="102" spans="3:3" ht="14.25" customHeight="1" x14ac:dyDescent="0.25">
      <c r="C102" s="26"/>
    </row>
    <row r="103" spans="3:3" ht="14.25" customHeight="1" x14ac:dyDescent="0.25">
      <c r="C103" s="26"/>
    </row>
    <row r="104" spans="3:3" ht="14.25" customHeight="1" x14ac:dyDescent="0.25">
      <c r="C104" s="26"/>
    </row>
    <row r="105" spans="3:3" ht="14.25" customHeight="1" x14ac:dyDescent="0.25">
      <c r="C105" s="26"/>
    </row>
    <row r="106" spans="3:3" ht="14.25" customHeight="1" x14ac:dyDescent="0.25">
      <c r="C106" s="26"/>
    </row>
    <row r="107" spans="3:3" ht="14.25" customHeight="1" x14ac:dyDescent="0.25">
      <c r="C107" s="26"/>
    </row>
    <row r="108" spans="3:3" ht="14.25" customHeight="1" x14ac:dyDescent="0.25">
      <c r="C108" s="26"/>
    </row>
    <row r="109" spans="3:3" ht="14.25" customHeight="1" x14ac:dyDescent="0.25">
      <c r="C109" s="26"/>
    </row>
    <row r="110" spans="3:3" ht="14.25" customHeight="1" x14ac:dyDescent="0.25">
      <c r="C110" s="26"/>
    </row>
    <row r="111" spans="3:3" ht="14.25" customHeight="1" x14ac:dyDescent="0.25">
      <c r="C111" s="26"/>
    </row>
    <row r="112" spans="3:3" ht="14.25" customHeight="1" x14ac:dyDescent="0.25">
      <c r="C112" s="26"/>
    </row>
    <row r="113" spans="3:3" ht="14.25" customHeight="1" x14ac:dyDescent="0.25">
      <c r="C113" s="26"/>
    </row>
    <row r="114" spans="3:3" ht="14.25" customHeight="1" x14ac:dyDescent="0.25">
      <c r="C114" s="26"/>
    </row>
    <row r="115" spans="3:3" ht="14.25" customHeight="1" x14ac:dyDescent="0.25">
      <c r="C115" s="26"/>
    </row>
    <row r="116" spans="3:3" ht="14.25" customHeight="1" x14ac:dyDescent="0.25">
      <c r="C116" s="26"/>
    </row>
    <row r="117" spans="3:3" ht="14.25" customHeight="1" x14ac:dyDescent="0.25">
      <c r="C117" s="26"/>
    </row>
    <row r="118" spans="3:3" ht="14.25" customHeight="1" x14ac:dyDescent="0.25">
      <c r="C118" s="26"/>
    </row>
    <row r="119" spans="3:3" ht="14.25" customHeight="1" x14ac:dyDescent="0.25">
      <c r="C119" s="26"/>
    </row>
    <row r="120" spans="3:3" ht="14.25" customHeight="1" x14ac:dyDescent="0.25">
      <c r="C120" s="26"/>
    </row>
    <row r="121" spans="3:3" ht="14.25" customHeight="1" x14ac:dyDescent="0.25">
      <c r="C121" s="26"/>
    </row>
    <row r="122" spans="3:3" ht="14.25" customHeight="1" x14ac:dyDescent="0.25">
      <c r="C122" s="26"/>
    </row>
    <row r="123" spans="3:3" ht="14.25" customHeight="1" x14ac:dyDescent="0.25">
      <c r="C123" s="26"/>
    </row>
    <row r="124" spans="3:3" ht="14.25" customHeight="1" x14ac:dyDescent="0.25">
      <c r="C124" s="26"/>
    </row>
    <row r="125" spans="3:3" ht="14.25" customHeight="1" x14ac:dyDescent="0.25">
      <c r="C125" s="26"/>
    </row>
    <row r="126" spans="3:3" ht="14.25" customHeight="1" x14ac:dyDescent="0.25">
      <c r="C126" s="26"/>
    </row>
    <row r="127" spans="3:3" ht="14.25" customHeight="1" x14ac:dyDescent="0.25">
      <c r="C127" s="26"/>
    </row>
    <row r="128" spans="3:3" ht="14.25" customHeight="1" x14ac:dyDescent="0.25">
      <c r="C128" s="26"/>
    </row>
    <row r="129" spans="3:3" ht="14.25" customHeight="1" x14ac:dyDescent="0.25">
      <c r="C129" s="26"/>
    </row>
    <row r="130" spans="3:3" ht="14.25" customHeight="1" x14ac:dyDescent="0.25">
      <c r="C130" s="26"/>
    </row>
    <row r="131" spans="3:3" ht="14.25" customHeight="1" x14ac:dyDescent="0.25">
      <c r="C131" s="26"/>
    </row>
    <row r="132" spans="3:3" ht="14.25" customHeight="1" x14ac:dyDescent="0.25">
      <c r="C132" s="26"/>
    </row>
    <row r="133" spans="3:3" ht="14.25" customHeight="1" x14ac:dyDescent="0.25">
      <c r="C133" s="26"/>
    </row>
    <row r="134" spans="3:3" ht="14.25" customHeight="1" x14ac:dyDescent="0.25">
      <c r="C134" s="26"/>
    </row>
    <row r="135" spans="3:3" ht="14.25" customHeight="1" x14ac:dyDescent="0.25">
      <c r="C135" s="26"/>
    </row>
    <row r="136" spans="3:3" ht="14.25" customHeight="1" x14ac:dyDescent="0.25">
      <c r="C136" s="26"/>
    </row>
    <row r="137" spans="3:3" ht="14.25" customHeight="1" x14ac:dyDescent="0.25">
      <c r="C137" s="26"/>
    </row>
    <row r="138" spans="3:3" ht="14.25" customHeight="1" x14ac:dyDescent="0.25">
      <c r="C138" s="26"/>
    </row>
    <row r="139" spans="3:3" ht="14.25" customHeight="1" x14ac:dyDescent="0.25">
      <c r="C139" s="26"/>
    </row>
    <row r="140" spans="3:3" ht="14.25" customHeight="1" x14ac:dyDescent="0.25">
      <c r="C140" s="26"/>
    </row>
    <row r="141" spans="3:3" ht="14.25" customHeight="1" x14ac:dyDescent="0.25">
      <c r="C141" s="26"/>
    </row>
    <row r="142" spans="3:3" ht="14.25" customHeight="1" x14ac:dyDescent="0.25">
      <c r="C142" s="26"/>
    </row>
    <row r="143" spans="3:3" ht="14.25" customHeight="1" x14ac:dyDescent="0.25">
      <c r="C143" s="26"/>
    </row>
    <row r="144" spans="3:3" ht="14.25" customHeight="1" x14ac:dyDescent="0.25">
      <c r="C144" s="26"/>
    </row>
    <row r="145" spans="3:3" ht="14.25" customHeight="1" x14ac:dyDescent="0.25">
      <c r="C145" s="26"/>
    </row>
    <row r="146" spans="3:3" ht="14.25" customHeight="1" x14ac:dyDescent="0.25">
      <c r="C146" s="26"/>
    </row>
    <row r="147" spans="3:3" ht="14.25" customHeight="1" x14ac:dyDescent="0.25">
      <c r="C147" s="26"/>
    </row>
    <row r="148" spans="3:3" ht="14.25" customHeight="1" x14ac:dyDescent="0.25">
      <c r="C148" s="26"/>
    </row>
    <row r="149" spans="3:3" ht="14.25" customHeight="1" x14ac:dyDescent="0.25">
      <c r="C149" s="26"/>
    </row>
    <row r="150" spans="3:3" ht="14.25" customHeight="1" x14ac:dyDescent="0.25">
      <c r="C150" s="26"/>
    </row>
    <row r="151" spans="3:3" ht="14.25" customHeight="1" x14ac:dyDescent="0.25">
      <c r="C151" s="26"/>
    </row>
    <row r="152" spans="3:3" ht="14.25" customHeight="1" x14ac:dyDescent="0.25">
      <c r="C152" s="26"/>
    </row>
    <row r="153" spans="3:3" ht="14.25" customHeight="1" x14ac:dyDescent="0.25">
      <c r="C153" s="26"/>
    </row>
    <row r="154" spans="3:3" ht="14.25" customHeight="1" x14ac:dyDescent="0.25">
      <c r="C154" s="26"/>
    </row>
    <row r="155" spans="3:3" ht="14.25" customHeight="1" x14ac:dyDescent="0.25">
      <c r="C155" s="26"/>
    </row>
    <row r="156" spans="3:3" ht="14.25" customHeight="1" x14ac:dyDescent="0.25">
      <c r="C156" s="26"/>
    </row>
    <row r="157" spans="3:3" ht="14.25" customHeight="1" x14ac:dyDescent="0.25">
      <c r="C157" s="26"/>
    </row>
    <row r="158" spans="3:3" ht="14.25" customHeight="1" x14ac:dyDescent="0.25">
      <c r="C158" s="26"/>
    </row>
    <row r="159" spans="3:3" ht="14.25" customHeight="1" x14ac:dyDescent="0.25">
      <c r="C159" s="26"/>
    </row>
    <row r="160" spans="3:3" ht="14.25" customHeight="1" x14ac:dyDescent="0.25">
      <c r="C160" s="26"/>
    </row>
    <row r="161" spans="3:3" ht="14.25" customHeight="1" x14ac:dyDescent="0.25">
      <c r="C161" s="26"/>
    </row>
    <row r="162" spans="3:3" ht="14.25" customHeight="1" x14ac:dyDescent="0.25">
      <c r="C162" s="26"/>
    </row>
    <row r="163" spans="3:3" ht="14.25" customHeight="1" x14ac:dyDescent="0.25">
      <c r="C163" s="26"/>
    </row>
    <row r="164" spans="3:3" ht="14.25" customHeight="1" x14ac:dyDescent="0.25">
      <c r="C164" s="26"/>
    </row>
    <row r="165" spans="3:3" ht="14.25" customHeight="1" x14ac:dyDescent="0.25">
      <c r="C165" s="26"/>
    </row>
    <row r="166" spans="3:3" ht="14.25" customHeight="1" x14ac:dyDescent="0.25">
      <c r="C166" s="26"/>
    </row>
    <row r="167" spans="3:3" ht="14.25" customHeight="1" x14ac:dyDescent="0.25">
      <c r="C167" s="26"/>
    </row>
    <row r="168" spans="3:3" ht="14.25" customHeight="1" x14ac:dyDescent="0.25">
      <c r="C168" s="26"/>
    </row>
    <row r="169" spans="3:3" ht="14.25" customHeight="1" x14ac:dyDescent="0.25">
      <c r="C169" s="26"/>
    </row>
    <row r="170" spans="3:3" ht="14.25" customHeight="1" x14ac:dyDescent="0.25">
      <c r="C170" s="26"/>
    </row>
    <row r="171" spans="3:3" ht="14.25" customHeight="1" x14ac:dyDescent="0.25">
      <c r="C171" s="26"/>
    </row>
    <row r="172" spans="3:3" ht="14.25" customHeight="1" x14ac:dyDescent="0.25">
      <c r="C172" s="26"/>
    </row>
    <row r="173" spans="3:3" ht="14.25" customHeight="1" x14ac:dyDescent="0.25">
      <c r="C173" s="26"/>
    </row>
    <row r="174" spans="3:3" ht="14.25" customHeight="1" x14ac:dyDescent="0.25">
      <c r="C174" s="26"/>
    </row>
    <row r="175" spans="3:3" ht="14.25" customHeight="1" x14ac:dyDescent="0.25">
      <c r="C175" s="26"/>
    </row>
    <row r="176" spans="3:3" ht="14.25" customHeight="1" x14ac:dyDescent="0.25">
      <c r="C176" s="26"/>
    </row>
    <row r="177" spans="3:3" ht="14.25" customHeight="1" x14ac:dyDescent="0.25">
      <c r="C177" s="26"/>
    </row>
    <row r="178" spans="3:3" ht="14.25" customHeight="1" x14ac:dyDescent="0.25">
      <c r="C178" s="26"/>
    </row>
    <row r="179" spans="3:3" ht="14.25" customHeight="1" x14ac:dyDescent="0.25">
      <c r="C179" s="26"/>
    </row>
    <row r="180" spans="3:3" ht="14.25" customHeight="1" x14ac:dyDescent="0.25">
      <c r="C180" s="26"/>
    </row>
    <row r="181" spans="3:3" ht="14.25" customHeight="1" x14ac:dyDescent="0.25">
      <c r="C181" s="26"/>
    </row>
    <row r="182" spans="3:3" ht="14.25" customHeight="1" x14ac:dyDescent="0.25">
      <c r="C182" s="26"/>
    </row>
    <row r="183" spans="3:3" ht="14.25" customHeight="1" x14ac:dyDescent="0.25">
      <c r="C183" s="26"/>
    </row>
    <row r="184" spans="3:3" ht="14.25" customHeight="1" x14ac:dyDescent="0.25">
      <c r="C184" s="26"/>
    </row>
    <row r="185" spans="3:3" ht="14.25" customHeight="1" x14ac:dyDescent="0.25">
      <c r="C185" s="26"/>
    </row>
    <row r="186" spans="3:3" ht="14.25" customHeight="1" x14ac:dyDescent="0.25">
      <c r="C186" s="26"/>
    </row>
    <row r="187" spans="3:3" ht="14.25" customHeight="1" x14ac:dyDescent="0.25">
      <c r="C187" s="26"/>
    </row>
    <row r="188" spans="3:3" ht="14.25" customHeight="1" x14ac:dyDescent="0.25">
      <c r="C188" s="26"/>
    </row>
    <row r="189" spans="3:3" ht="14.25" customHeight="1" x14ac:dyDescent="0.25">
      <c r="C189" s="26"/>
    </row>
    <row r="190" spans="3:3" ht="14.25" customHeight="1" x14ac:dyDescent="0.25">
      <c r="C190" s="26"/>
    </row>
    <row r="191" spans="3:3" ht="14.25" customHeight="1" x14ac:dyDescent="0.25">
      <c r="C191" s="26"/>
    </row>
    <row r="192" spans="3:3" ht="14.25" customHeight="1" x14ac:dyDescent="0.25">
      <c r="C192" s="26"/>
    </row>
    <row r="193" spans="3:3" ht="14.25" customHeight="1" x14ac:dyDescent="0.25">
      <c r="C193" s="26"/>
    </row>
    <row r="194" spans="3:3" ht="14.25" customHeight="1" x14ac:dyDescent="0.25">
      <c r="C194" s="26"/>
    </row>
    <row r="195" spans="3:3" ht="14.25" customHeight="1" x14ac:dyDescent="0.25">
      <c r="C195" s="26"/>
    </row>
    <row r="196" spans="3:3" ht="14.25" customHeight="1" x14ac:dyDescent="0.25">
      <c r="C196" s="26"/>
    </row>
    <row r="197" spans="3:3" ht="14.25" customHeight="1" x14ac:dyDescent="0.25">
      <c r="C197" s="26"/>
    </row>
    <row r="198" spans="3:3" ht="14.25" customHeight="1" x14ac:dyDescent="0.25">
      <c r="C198" s="26"/>
    </row>
    <row r="199" spans="3:3" ht="14.25" customHeight="1" x14ac:dyDescent="0.25">
      <c r="C199" s="26"/>
    </row>
    <row r="200" spans="3:3" ht="14.25" customHeight="1" x14ac:dyDescent="0.25">
      <c r="C200" s="26"/>
    </row>
    <row r="201" spans="3:3" ht="14.25" customHeight="1" x14ac:dyDescent="0.25">
      <c r="C201" s="26"/>
    </row>
    <row r="202" spans="3:3" ht="14.25" customHeight="1" x14ac:dyDescent="0.25">
      <c r="C202" s="26"/>
    </row>
    <row r="203" spans="3:3" ht="14.25" customHeight="1" x14ac:dyDescent="0.25">
      <c r="C203" s="26"/>
    </row>
    <row r="204" spans="3:3" ht="14.25" customHeight="1" x14ac:dyDescent="0.25">
      <c r="C204" s="26"/>
    </row>
    <row r="205" spans="3:3" ht="14.25" customHeight="1" x14ac:dyDescent="0.25">
      <c r="C205" s="26"/>
    </row>
    <row r="206" spans="3:3" ht="14.25" customHeight="1" x14ac:dyDescent="0.25">
      <c r="C206" s="26"/>
    </row>
    <row r="207" spans="3:3" ht="14.25" customHeight="1" x14ac:dyDescent="0.25">
      <c r="C207" s="26"/>
    </row>
    <row r="208" spans="3:3" ht="14.25" customHeight="1" x14ac:dyDescent="0.25">
      <c r="C208" s="26"/>
    </row>
    <row r="209" spans="3:3" ht="14.25" customHeight="1" x14ac:dyDescent="0.25">
      <c r="C209" s="26"/>
    </row>
    <row r="210" spans="3:3" ht="14.25" customHeight="1" x14ac:dyDescent="0.25">
      <c r="C210" s="26"/>
    </row>
    <row r="211" spans="3:3" ht="14.25" customHeight="1" x14ac:dyDescent="0.25">
      <c r="C211" s="26"/>
    </row>
    <row r="212" spans="3:3" ht="14.25" customHeight="1" x14ac:dyDescent="0.25">
      <c r="C212" s="26"/>
    </row>
    <row r="213" spans="3:3" ht="14.25" customHeight="1" x14ac:dyDescent="0.25">
      <c r="C213" s="26"/>
    </row>
    <row r="214" spans="3:3" ht="14.25" customHeight="1" x14ac:dyDescent="0.25">
      <c r="C214" s="26"/>
    </row>
    <row r="215" spans="3:3" ht="14.25" customHeight="1" x14ac:dyDescent="0.25">
      <c r="C215" s="26"/>
    </row>
    <row r="216" spans="3:3" ht="14.25" customHeight="1" x14ac:dyDescent="0.25">
      <c r="C216" s="26"/>
    </row>
    <row r="217" spans="3:3" ht="14.25" customHeight="1" x14ac:dyDescent="0.25">
      <c r="C217" s="26"/>
    </row>
    <row r="218" spans="3:3" ht="14.25" customHeight="1" x14ac:dyDescent="0.25">
      <c r="C218" s="26"/>
    </row>
    <row r="219" spans="3:3" ht="14.25" customHeight="1" x14ac:dyDescent="0.25">
      <c r="C219" s="26"/>
    </row>
    <row r="220" spans="3:3" ht="14.25" customHeight="1" x14ac:dyDescent="0.25">
      <c r="C220" s="26"/>
    </row>
    <row r="221" spans="3:3" ht="14.25" customHeight="1" x14ac:dyDescent="0.25">
      <c r="C221" s="26"/>
    </row>
    <row r="222" spans="3:3" ht="14.25" customHeight="1" x14ac:dyDescent="0.25">
      <c r="C222" s="26"/>
    </row>
    <row r="223" spans="3:3" ht="14.25" customHeight="1" x14ac:dyDescent="0.25">
      <c r="C223" s="26"/>
    </row>
    <row r="224" spans="3:3" ht="14.25" customHeight="1" x14ac:dyDescent="0.25">
      <c r="C224" s="26"/>
    </row>
    <row r="225" spans="3:3" ht="14.25" customHeight="1" x14ac:dyDescent="0.25">
      <c r="C225" s="26"/>
    </row>
    <row r="226" spans="3:3" ht="14.25" customHeight="1" x14ac:dyDescent="0.25">
      <c r="C226" s="26"/>
    </row>
    <row r="227" spans="3:3" ht="14.25" customHeight="1" x14ac:dyDescent="0.25">
      <c r="C227" s="26"/>
    </row>
    <row r="228" spans="3:3" ht="14.25" customHeight="1" x14ac:dyDescent="0.25">
      <c r="C228" s="26"/>
    </row>
    <row r="229" spans="3:3" ht="14.25" customHeight="1" x14ac:dyDescent="0.25">
      <c r="C229" s="26"/>
    </row>
    <row r="230" spans="3:3" ht="14.25" customHeight="1" x14ac:dyDescent="0.25">
      <c r="C230" s="26"/>
    </row>
    <row r="231" spans="3:3" ht="14.25" customHeight="1" x14ac:dyDescent="0.25">
      <c r="C231" s="26"/>
    </row>
    <row r="232" spans="3:3" ht="14.25" customHeight="1" x14ac:dyDescent="0.25">
      <c r="C232" s="26"/>
    </row>
    <row r="233" spans="3:3" ht="14.25" customHeight="1" x14ac:dyDescent="0.25">
      <c r="C233" s="26"/>
    </row>
    <row r="234" spans="3:3" ht="14.25" customHeight="1" x14ac:dyDescent="0.25">
      <c r="C234" s="26"/>
    </row>
    <row r="235" spans="3:3" ht="14.25" customHeight="1" x14ac:dyDescent="0.25">
      <c r="C235" s="26"/>
    </row>
    <row r="236" spans="3:3" ht="14.25" customHeight="1" x14ac:dyDescent="0.25">
      <c r="C236" s="26"/>
    </row>
    <row r="237" spans="3:3" ht="14.25" customHeight="1" x14ac:dyDescent="0.25">
      <c r="C237" s="26"/>
    </row>
    <row r="238" spans="3:3" ht="14.25" customHeight="1" x14ac:dyDescent="0.25">
      <c r="C238" s="26"/>
    </row>
    <row r="239" spans="3:3" ht="14.25" customHeight="1" x14ac:dyDescent="0.25">
      <c r="C239" s="26"/>
    </row>
    <row r="240" spans="3:3" ht="14.25" customHeight="1" x14ac:dyDescent="0.25">
      <c r="C240" s="26"/>
    </row>
    <row r="241" spans="3:3" ht="14.25" customHeight="1" x14ac:dyDescent="0.25">
      <c r="C241" s="26"/>
    </row>
    <row r="242" spans="3:3" ht="14.25" customHeight="1" x14ac:dyDescent="0.25">
      <c r="C242" s="26"/>
    </row>
    <row r="243" spans="3:3" ht="14.25" customHeight="1" x14ac:dyDescent="0.25">
      <c r="C243" s="26"/>
    </row>
    <row r="244" spans="3:3" ht="14.25" customHeight="1" x14ac:dyDescent="0.25">
      <c r="C244" s="26"/>
    </row>
    <row r="245" spans="3:3" ht="14.25" customHeight="1" x14ac:dyDescent="0.25">
      <c r="C245" s="26"/>
    </row>
    <row r="246" spans="3:3" ht="14.25" customHeight="1" x14ac:dyDescent="0.25">
      <c r="C246" s="26"/>
    </row>
    <row r="247" spans="3:3" ht="14.25" customHeight="1" x14ac:dyDescent="0.25">
      <c r="C247" s="26"/>
    </row>
    <row r="248" spans="3:3" ht="14.25" customHeight="1" x14ac:dyDescent="0.25">
      <c r="C248" s="26"/>
    </row>
    <row r="249" spans="3:3" ht="15.75" customHeight="1" x14ac:dyDescent="0.25">
      <c r="C249" s="26"/>
    </row>
    <row r="250" spans="3:3" ht="15.75" customHeight="1" x14ac:dyDescent="0.25">
      <c r="C250" s="26"/>
    </row>
    <row r="251" spans="3:3" ht="15.75" customHeight="1" x14ac:dyDescent="0.25">
      <c r="C251" s="26"/>
    </row>
    <row r="252" spans="3:3" ht="15.75" customHeight="1" x14ac:dyDescent="0.25">
      <c r="C252" s="26"/>
    </row>
    <row r="253" spans="3:3" ht="15.75" customHeight="1" x14ac:dyDescent="0.25">
      <c r="C253" s="26"/>
    </row>
    <row r="254" spans="3:3" ht="15.75" customHeight="1" x14ac:dyDescent="0.25">
      <c r="C254" s="26"/>
    </row>
    <row r="255" spans="3:3" ht="15.75" customHeight="1" x14ac:dyDescent="0.25">
      <c r="C255" s="26"/>
    </row>
    <row r="256" spans="3:3" ht="15.75" customHeight="1" x14ac:dyDescent="0.25">
      <c r="C256" s="26"/>
    </row>
    <row r="257" spans="3:3" ht="15.75" customHeight="1" x14ac:dyDescent="0.25">
      <c r="C257" s="26"/>
    </row>
    <row r="258" spans="3:3" ht="15.75" customHeight="1" x14ac:dyDescent="0.25">
      <c r="C258" s="26"/>
    </row>
    <row r="259" spans="3:3" ht="15.75" customHeight="1" x14ac:dyDescent="0.25">
      <c r="C259" s="26"/>
    </row>
    <row r="260" spans="3:3" ht="15.75" customHeight="1" x14ac:dyDescent="0.25">
      <c r="C260" s="26"/>
    </row>
    <row r="261" spans="3:3" ht="15.75" customHeight="1" x14ac:dyDescent="0.25">
      <c r="C261" s="26"/>
    </row>
    <row r="262" spans="3:3" ht="15.75" customHeight="1" x14ac:dyDescent="0.25">
      <c r="C262" s="26"/>
    </row>
    <row r="263" spans="3:3" ht="15.75" customHeight="1" x14ac:dyDescent="0.25">
      <c r="C263" s="26"/>
    </row>
    <row r="264" spans="3:3" ht="15.75" customHeight="1" x14ac:dyDescent="0.25">
      <c r="C264" s="26"/>
    </row>
    <row r="265" spans="3:3" ht="15.75" customHeight="1" x14ac:dyDescent="0.25">
      <c r="C265" s="26"/>
    </row>
    <row r="266" spans="3:3" ht="15.75" customHeight="1" x14ac:dyDescent="0.25">
      <c r="C266" s="26"/>
    </row>
    <row r="267" spans="3:3" ht="15.75" customHeight="1" x14ac:dyDescent="0.25">
      <c r="C267" s="26"/>
    </row>
    <row r="268" spans="3:3" ht="15.75" customHeight="1" x14ac:dyDescent="0.25">
      <c r="C268" s="26"/>
    </row>
    <row r="269" spans="3:3" ht="15.75" customHeight="1" x14ac:dyDescent="0.25">
      <c r="C269" s="26"/>
    </row>
    <row r="270" spans="3:3" ht="15.75" customHeight="1" x14ac:dyDescent="0.25">
      <c r="C270" s="26"/>
    </row>
    <row r="271" spans="3:3" ht="15.75" customHeight="1" x14ac:dyDescent="0.25">
      <c r="C271" s="26"/>
    </row>
    <row r="272" spans="3:3" ht="15.75" customHeight="1" x14ac:dyDescent="0.25">
      <c r="C272" s="26"/>
    </row>
    <row r="273" spans="3:3" ht="15.75" customHeight="1" x14ac:dyDescent="0.25">
      <c r="C273" s="26"/>
    </row>
    <row r="274" spans="3:3" ht="15.75" customHeight="1" x14ac:dyDescent="0.25">
      <c r="C274" s="26"/>
    </row>
    <row r="275" spans="3:3" ht="15.75" customHeight="1" x14ac:dyDescent="0.25">
      <c r="C275" s="26"/>
    </row>
    <row r="276" spans="3:3" ht="15.75" customHeight="1" x14ac:dyDescent="0.25">
      <c r="C276" s="26"/>
    </row>
    <row r="277" spans="3:3" ht="15.75" customHeight="1" x14ac:dyDescent="0.25">
      <c r="C277" s="26"/>
    </row>
    <row r="278" spans="3:3" ht="15.75" customHeight="1" x14ac:dyDescent="0.25">
      <c r="C278" s="26"/>
    </row>
    <row r="279" spans="3:3" ht="15.75" customHeight="1" x14ac:dyDescent="0.25">
      <c r="C279" s="26"/>
    </row>
    <row r="280" spans="3:3" ht="15.75" customHeight="1" x14ac:dyDescent="0.25">
      <c r="C280" s="26"/>
    </row>
    <row r="281" spans="3:3" ht="15.75" customHeight="1" x14ac:dyDescent="0.25">
      <c r="C281" s="26"/>
    </row>
    <row r="282" spans="3:3" ht="15.75" customHeight="1" x14ac:dyDescent="0.25">
      <c r="C282" s="26"/>
    </row>
    <row r="283" spans="3:3" ht="15.75" customHeight="1" x14ac:dyDescent="0.25">
      <c r="C283" s="26"/>
    </row>
    <row r="284" spans="3:3" ht="15.75" customHeight="1" x14ac:dyDescent="0.25">
      <c r="C284" s="26"/>
    </row>
    <row r="285" spans="3:3" ht="15.75" customHeight="1" x14ac:dyDescent="0.25">
      <c r="C285" s="26"/>
    </row>
    <row r="286" spans="3:3" ht="15.75" customHeight="1" x14ac:dyDescent="0.25">
      <c r="C286" s="26"/>
    </row>
    <row r="287" spans="3:3" ht="15.75" customHeight="1" x14ac:dyDescent="0.25">
      <c r="C287" s="26"/>
    </row>
    <row r="288" spans="3:3" ht="15.75" customHeight="1" x14ac:dyDescent="0.25">
      <c r="C288" s="26"/>
    </row>
    <row r="289" spans="3:3" ht="15.75" customHeight="1" x14ac:dyDescent="0.25">
      <c r="C289" s="26"/>
    </row>
    <row r="290" spans="3:3" ht="15.75" customHeight="1" x14ac:dyDescent="0.25">
      <c r="C290" s="26"/>
    </row>
    <row r="291" spans="3:3" ht="15.75" customHeight="1" x14ac:dyDescent="0.25">
      <c r="C291" s="26"/>
    </row>
    <row r="292" spans="3:3" ht="15.75" customHeight="1" x14ac:dyDescent="0.25">
      <c r="C292" s="26"/>
    </row>
    <row r="293" spans="3:3" ht="15.75" customHeight="1" x14ac:dyDescent="0.25">
      <c r="C293" s="26"/>
    </row>
    <row r="294" spans="3:3" ht="15.75" customHeight="1" x14ac:dyDescent="0.25">
      <c r="C294" s="26"/>
    </row>
    <row r="295" spans="3:3" ht="15.75" customHeight="1" x14ac:dyDescent="0.25">
      <c r="C295" s="26"/>
    </row>
    <row r="296" spans="3:3" ht="15.75" customHeight="1" x14ac:dyDescent="0.25">
      <c r="C296" s="26"/>
    </row>
    <row r="297" spans="3:3" ht="15.75" customHeight="1" x14ac:dyDescent="0.25">
      <c r="C297" s="26"/>
    </row>
    <row r="298" spans="3:3" ht="15.75" customHeight="1" x14ac:dyDescent="0.25">
      <c r="C298" s="26"/>
    </row>
    <row r="299" spans="3:3" ht="15.75" customHeight="1" x14ac:dyDescent="0.25">
      <c r="C299" s="26"/>
    </row>
    <row r="300" spans="3:3" ht="15.75" customHeight="1" x14ac:dyDescent="0.25">
      <c r="C300" s="26"/>
    </row>
    <row r="301" spans="3:3" ht="15.75" customHeight="1" x14ac:dyDescent="0.25">
      <c r="C301" s="26"/>
    </row>
    <row r="302" spans="3:3" ht="15.75" customHeight="1" x14ac:dyDescent="0.25">
      <c r="C302" s="26"/>
    </row>
    <row r="303" spans="3:3" ht="15.75" customHeight="1" x14ac:dyDescent="0.25">
      <c r="C303" s="26"/>
    </row>
    <row r="304" spans="3:3" ht="15.75" customHeight="1" x14ac:dyDescent="0.25">
      <c r="C304" s="26"/>
    </row>
    <row r="305" spans="3:3" ht="15.75" customHeight="1" x14ac:dyDescent="0.25">
      <c r="C305" s="26"/>
    </row>
    <row r="306" spans="3:3" ht="15.75" customHeight="1" x14ac:dyDescent="0.25">
      <c r="C306" s="26"/>
    </row>
    <row r="307" spans="3:3" ht="15.75" customHeight="1" x14ac:dyDescent="0.25">
      <c r="C307" s="26"/>
    </row>
    <row r="308" spans="3:3" ht="15.75" customHeight="1" x14ac:dyDescent="0.25">
      <c r="C308" s="26"/>
    </row>
    <row r="309" spans="3:3" ht="15.75" customHeight="1" x14ac:dyDescent="0.25">
      <c r="C309" s="26"/>
    </row>
    <row r="310" spans="3:3" ht="15.75" customHeight="1" x14ac:dyDescent="0.25">
      <c r="C310" s="26"/>
    </row>
    <row r="311" spans="3:3" ht="15.75" customHeight="1" x14ac:dyDescent="0.25">
      <c r="C311" s="26"/>
    </row>
    <row r="312" spans="3:3" ht="15.75" customHeight="1" x14ac:dyDescent="0.25">
      <c r="C312" s="26"/>
    </row>
    <row r="313" spans="3:3" ht="15.75" customHeight="1" x14ac:dyDescent="0.25">
      <c r="C313" s="26"/>
    </row>
    <row r="314" spans="3:3" ht="15.75" customHeight="1" x14ac:dyDescent="0.25">
      <c r="C314" s="26"/>
    </row>
    <row r="315" spans="3:3" ht="15.75" customHeight="1" x14ac:dyDescent="0.25">
      <c r="C315" s="26"/>
    </row>
    <row r="316" spans="3:3" ht="15.75" customHeight="1" x14ac:dyDescent="0.25">
      <c r="C316" s="26"/>
    </row>
    <row r="317" spans="3:3" ht="15.75" customHeight="1" x14ac:dyDescent="0.25">
      <c r="C317" s="26"/>
    </row>
    <row r="318" spans="3:3" ht="15.75" customHeight="1" x14ac:dyDescent="0.25">
      <c r="C318" s="26"/>
    </row>
    <row r="319" spans="3:3" ht="15.75" customHeight="1" x14ac:dyDescent="0.25">
      <c r="C319" s="26"/>
    </row>
    <row r="320" spans="3:3" ht="15.75" customHeight="1" x14ac:dyDescent="0.25">
      <c r="C320" s="26"/>
    </row>
    <row r="321" spans="3:3" ht="15.75" customHeight="1" x14ac:dyDescent="0.25">
      <c r="C321" s="26"/>
    </row>
    <row r="322" spans="3:3" ht="15.75" customHeight="1" x14ac:dyDescent="0.25">
      <c r="C322" s="26"/>
    </row>
    <row r="323" spans="3:3" ht="15.75" customHeight="1" x14ac:dyDescent="0.25">
      <c r="C323" s="26"/>
    </row>
    <row r="324" spans="3:3" ht="15.75" customHeight="1" x14ac:dyDescent="0.25">
      <c r="C324" s="26"/>
    </row>
    <row r="325" spans="3:3" ht="15.75" customHeight="1" x14ac:dyDescent="0.25">
      <c r="C325" s="26"/>
    </row>
    <row r="326" spans="3:3" ht="15.75" customHeight="1" x14ac:dyDescent="0.25">
      <c r="C326" s="26"/>
    </row>
    <row r="327" spans="3:3" ht="15.75" customHeight="1" x14ac:dyDescent="0.25">
      <c r="C327" s="26"/>
    </row>
    <row r="328" spans="3:3" ht="15.75" customHeight="1" x14ac:dyDescent="0.25">
      <c r="C328" s="26"/>
    </row>
    <row r="329" spans="3:3" ht="15.75" customHeight="1" x14ac:dyDescent="0.25">
      <c r="C329" s="26"/>
    </row>
    <row r="330" spans="3:3" ht="15.75" customHeight="1" x14ac:dyDescent="0.25">
      <c r="C330" s="26"/>
    </row>
    <row r="331" spans="3:3" ht="15.75" customHeight="1" x14ac:dyDescent="0.25">
      <c r="C331" s="26"/>
    </row>
    <row r="332" spans="3:3" ht="15.75" customHeight="1" x14ac:dyDescent="0.25">
      <c r="C332" s="26"/>
    </row>
    <row r="333" spans="3:3" ht="15.75" customHeight="1" x14ac:dyDescent="0.25">
      <c r="C333" s="26"/>
    </row>
    <row r="334" spans="3:3" ht="15.75" customHeight="1" x14ac:dyDescent="0.25">
      <c r="C334" s="26"/>
    </row>
    <row r="335" spans="3:3" ht="15.75" customHeight="1" x14ac:dyDescent="0.25">
      <c r="C335" s="26"/>
    </row>
    <row r="336" spans="3:3" ht="15.75" customHeight="1" x14ac:dyDescent="0.25">
      <c r="C336" s="26"/>
    </row>
    <row r="337" spans="3:3" ht="15.75" customHeight="1" x14ac:dyDescent="0.25">
      <c r="C337" s="26"/>
    </row>
    <row r="338" spans="3:3" ht="15.75" customHeight="1" x14ac:dyDescent="0.25">
      <c r="C338" s="26"/>
    </row>
    <row r="339" spans="3:3" ht="15.75" customHeight="1" x14ac:dyDescent="0.25">
      <c r="C339" s="26"/>
    </row>
    <row r="340" spans="3:3" ht="15.75" customHeight="1" x14ac:dyDescent="0.25">
      <c r="C340" s="26"/>
    </row>
    <row r="341" spans="3:3" ht="15.75" customHeight="1" x14ac:dyDescent="0.25">
      <c r="C341" s="26"/>
    </row>
    <row r="342" spans="3:3" ht="15.75" customHeight="1" x14ac:dyDescent="0.25">
      <c r="C342" s="26"/>
    </row>
    <row r="343" spans="3:3" ht="15.75" customHeight="1" x14ac:dyDescent="0.25">
      <c r="C343" s="26"/>
    </row>
    <row r="344" spans="3:3" ht="15.75" customHeight="1" x14ac:dyDescent="0.25">
      <c r="C344" s="26"/>
    </row>
    <row r="345" spans="3:3" ht="15.75" customHeight="1" x14ac:dyDescent="0.25">
      <c r="C345" s="26"/>
    </row>
    <row r="346" spans="3:3" ht="15.75" customHeight="1" x14ac:dyDescent="0.25">
      <c r="C346" s="26"/>
    </row>
    <row r="347" spans="3:3" ht="15.75" customHeight="1" x14ac:dyDescent="0.25">
      <c r="C347" s="26"/>
    </row>
    <row r="348" spans="3:3" ht="15.75" customHeight="1" x14ac:dyDescent="0.25">
      <c r="C348" s="26"/>
    </row>
    <row r="349" spans="3:3" ht="15.75" customHeight="1" x14ac:dyDescent="0.25">
      <c r="C349" s="26"/>
    </row>
    <row r="350" spans="3:3" ht="15.75" customHeight="1" x14ac:dyDescent="0.25">
      <c r="C350" s="26"/>
    </row>
    <row r="351" spans="3:3" ht="15.75" customHeight="1" x14ac:dyDescent="0.25">
      <c r="C351" s="26"/>
    </row>
    <row r="352" spans="3:3" ht="15.75" customHeight="1" x14ac:dyDescent="0.25">
      <c r="C352" s="26"/>
    </row>
    <row r="353" spans="3:3" ht="15.75" customHeight="1" x14ac:dyDescent="0.25">
      <c r="C353" s="26"/>
    </row>
    <row r="354" spans="3:3" ht="15.75" customHeight="1" x14ac:dyDescent="0.25">
      <c r="C354" s="26"/>
    </row>
    <row r="355" spans="3:3" ht="15.75" customHeight="1" x14ac:dyDescent="0.25">
      <c r="C355" s="26"/>
    </row>
    <row r="356" spans="3:3" ht="15.75" customHeight="1" x14ac:dyDescent="0.25">
      <c r="C356" s="26"/>
    </row>
    <row r="357" spans="3:3" ht="15.75" customHeight="1" x14ac:dyDescent="0.25">
      <c r="C357" s="26"/>
    </row>
    <row r="358" spans="3:3" ht="15.75" customHeight="1" x14ac:dyDescent="0.25">
      <c r="C358" s="26"/>
    </row>
    <row r="359" spans="3:3" ht="15.75" customHeight="1" x14ac:dyDescent="0.25">
      <c r="C359" s="26"/>
    </row>
    <row r="360" spans="3:3" ht="15.75" customHeight="1" x14ac:dyDescent="0.25">
      <c r="C360" s="26"/>
    </row>
    <row r="361" spans="3:3" ht="15.75" customHeight="1" x14ac:dyDescent="0.25">
      <c r="C361" s="26"/>
    </row>
    <row r="362" spans="3:3" ht="15.75" customHeight="1" x14ac:dyDescent="0.25">
      <c r="C362" s="26"/>
    </row>
    <row r="363" spans="3:3" ht="15.75" customHeight="1" x14ac:dyDescent="0.25">
      <c r="C363" s="26"/>
    </row>
    <row r="364" spans="3:3" ht="15.75" customHeight="1" x14ac:dyDescent="0.25">
      <c r="C364" s="26"/>
    </row>
    <row r="365" spans="3:3" ht="15.75" customHeight="1" x14ac:dyDescent="0.25">
      <c r="C365" s="26"/>
    </row>
    <row r="366" spans="3:3" ht="15.75" customHeight="1" x14ac:dyDescent="0.25">
      <c r="C366" s="26"/>
    </row>
    <row r="367" spans="3:3" ht="15.75" customHeight="1" x14ac:dyDescent="0.25">
      <c r="C367" s="26"/>
    </row>
    <row r="368" spans="3:3" ht="15.75" customHeight="1" x14ac:dyDescent="0.25">
      <c r="C368" s="26"/>
    </row>
    <row r="369" spans="3:3" ht="15.75" customHeight="1" x14ac:dyDescent="0.25">
      <c r="C369" s="26"/>
    </row>
    <row r="370" spans="3:3" ht="15.75" customHeight="1" x14ac:dyDescent="0.25">
      <c r="C370" s="26"/>
    </row>
    <row r="371" spans="3:3" ht="15.75" customHeight="1" x14ac:dyDescent="0.25">
      <c r="C371" s="26"/>
    </row>
    <row r="372" spans="3:3" ht="15.75" customHeight="1" x14ac:dyDescent="0.25">
      <c r="C372" s="26"/>
    </row>
    <row r="373" spans="3:3" ht="15.75" customHeight="1" x14ac:dyDescent="0.25">
      <c r="C373" s="26"/>
    </row>
    <row r="374" spans="3:3" ht="15.75" customHeight="1" x14ac:dyDescent="0.25">
      <c r="C374" s="26"/>
    </row>
    <row r="375" spans="3:3" ht="15.75" customHeight="1" x14ac:dyDescent="0.25">
      <c r="C375" s="26"/>
    </row>
    <row r="376" spans="3:3" ht="15.75" customHeight="1" x14ac:dyDescent="0.25">
      <c r="C376" s="26"/>
    </row>
    <row r="377" spans="3:3" ht="15.75" customHeight="1" x14ac:dyDescent="0.25">
      <c r="C377" s="26"/>
    </row>
    <row r="378" spans="3:3" ht="15.75" customHeight="1" x14ac:dyDescent="0.25">
      <c r="C378" s="26"/>
    </row>
    <row r="379" spans="3:3" ht="15.75" customHeight="1" x14ac:dyDescent="0.25">
      <c r="C379" s="26"/>
    </row>
    <row r="380" spans="3:3" ht="15.75" customHeight="1" x14ac:dyDescent="0.25">
      <c r="C380" s="26"/>
    </row>
    <row r="381" spans="3:3" ht="15.75" customHeight="1" x14ac:dyDescent="0.25">
      <c r="C381" s="26"/>
    </row>
    <row r="382" spans="3:3" ht="15.75" customHeight="1" x14ac:dyDescent="0.25">
      <c r="C382" s="26"/>
    </row>
    <row r="383" spans="3:3" ht="15.75" customHeight="1" x14ac:dyDescent="0.25">
      <c r="C383" s="26"/>
    </row>
    <row r="384" spans="3:3" ht="15.75" customHeight="1" x14ac:dyDescent="0.25">
      <c r="C384" s="26"/>
    </row>
    <row r="385" spans="3:3" ht="15.75" customHeight="1" x14ac:dyDescent="0.25">
      <c r="C385" s="26"/>
    </row>
    <row r="386" spans="3:3" ht="15.75" customHeight="1" x14ac:dyDescent="0.25">
      <c r="C386" s="26"/>
    </row>
    <row r="387" spans="3:3" ht="15.75" customHeight="1" x14ac:dyDescent="0.25">
      <c r="C387" s="26"/>
    </row>
    <row r="388" spans="3:3" ht="15.75" customHeight="1" x14ac:dyDescent="0.25">
      <c r="C388" s="26"/>
    </row>
    <row r="389" spans="3:3" ht="15.75" customHeight="1" x14ac:dyDescent="0.25">
      <c r="C389" s="26"/>
    </row>
    <row r="390" spans="3:3" ht="15.75" customHeight="1" x14ac:dyDescent="0.25">
      <c r="C390" s="26"/>
    </row>
    <row r="391" spans="3:3" ht="15.75" customHeight="1" x14ac:dyDescent="0.25">
      <c r="C391" s="26"/>
    </row>
    <row r="392" spans="3:3" ht="15.75" customHeight="1" x14ac:dyDescent="0.25">
      <c r="C392" s="26"/>
    </row>
    <row r="393" spans="3:3" ht="15.75" customHeight="1" x14ac:dyDescent="0.25">
      <c r="C393" s="26"/>
    </row>
    <row r="394" spans="3:3" ht="15.75" customHeight="1" x14ac:dyDescent="0.25">
      <c r="C394" s="26"/>
    </row>
    <row r="395" spans="3:3" ht="15.75" customHeight="1" x14ac:dyDescent="0.25">
      <c r="C395" s="26"/>
    </row>
    <row r="396" spans="3:3" ht="15.75" customHeight="1" x14ac:dyDescent="0.25">
      <c r="C396" s="26"/>
    </row>
    <row r="397" spans="3:3" ht="15.75" customHeight="1" x14ac:dyDescent="0.25">
      <c r="C397" s="26"/>
    </row>
    <row r="398" spans="3:3" ht="15.75" customHeight="1" x14ac:dyDescent="0.25">
      <c r="C398" s="26"/>
    </row>
    <row r="399" spans="3:3" ht="15.75" customHeight="1" x14ac:dyDescent="0.25">
      <c r="C399" s="26"/>
    </row>
    <row r="400" spans="3:3" ht="15.75" customHeight="1" x14ac:dyDescent="0.25">
      <c r="C400" s="26"/>
    </row>
    <row r="401" spans="3:3" ht="15.75" customHeight="1" x14ac:dyDescent="0.25">
      <c r="C401" s="26"/>
    </row>
    <row r="402" spans="3:3" ht="15.75" customHeight="1" x14ac:dyDescent="0.25">
      <c r="C402" s="26"/>
    </row>
    <row r="403" spans="3:3" ht="15.75" customHeight="1" x14ac:dyDescent="0.25">
      <c r="C403" s="26"/>
    </row>
    <row r="404" spans="3:3" ht="15.75" customHeight="1" x14ac:dyDescent="0.25">
      <c r="C404" s="26"/>
    </row>
    <row r="405" spans="3:3" ht="15.75" customHeight="1" x14ac:dyDescent="0.25">
      <c r="C405" s="26"/>
    </row>
    <row r="406" spans="3:3" ht="15.75" customHeight="1" x14ac:dyDescent="0.25">
      <c r="C406" s="26"/>
    </row>
    <row r="407" spans="3:3" ht="15.75" customHeight="1" x14ac:dyDescent="0.25">
      <c r="C407" s="26"/>
    </row>
    <row r="408" spans="3:3" ht="15.75" customHeight="1" x14ac:dyDescent="0.25">
      <c r="C408" s="26"/>
    </row>
    <row r="409" spans="3:3" ht="15.75" customHeight="1" x14ac:dyDescent="0.25">
      <c r="C409" s="26"/>
    </row>
    <row r="410" spans="3:3" ht="15.75" customHeight="1" x14ac:dyDescent="0.25">
      <c r="C410" s="26"/>
    </row>
    <row r="411" spans="3:3" ht="15.75" customHeight="1" x14ac:dyDescent="0.25">
      <c r="C411" s="26"/>
    </row>
    <row r="412" spans="3:3" ht="15.75" customHeight="1" x14ac:dyDescent="0.25">
      <c r="C412" s="26"/>
    </row>
    <row r="413" spans="3:3" ht="15.75" customHeight="1" x14ac:dyDescent="0.25">
      <c r="C413" s="26"/>
    </row>
    <row r="414" spans="3:3" ht="15.75" customHeight="1" x14ac:dyDescent="0.25">
      <c r="C414" s="26"/>
    </row>
    <row r="415" spans="3:3" ht="15.75" customHeight="1" x14ac:dyDescent="0.25">
      <c r="C415" s="26"/>
    </row>
    <row r="416" spans="3:3" ht="15.75" customHeight="1" x14ac:dyDescent="0.25">
      <c r="C416" s="26"/>
    </row>
    <row r="417" spans="3:3" ht="15.75" customHeight="1" x14ac:dyDescent="0.25">
      <c r="C417" s="26"/>
    </row>
    <row r="418" spans="3:3" ht="15.75" customHeight="1" x14ac:dyDescent="0.25">
      <c r="C418" s="26"/>
    </row>
    <row r="419" spans="3:3" ht="15.75" customHeight="1" x14ac:dyDescent="0.25">
      <c r="C419" s="26"/>
    </row>
    <row r="420" spans="3:3" ht="15.75" customHeight="1" x14ac:dyDescent="0.25">
      <c r="C420" s="26"/>
    </row>
    <row r="421" spans="3:3" ht="15.75" customHeight="1" x14ac:dyDescent="0.25">
      <c r="C421" s="26"/>
    </row>
    <row r="422" spans="3:3" ht="15.75" customHeight="1" x14ac:dyDescent="0.25">
      <c r="C422" s="26"/>
    </row>
    <row r="423" spans="3:3" ht="15.75" customHeight="1" x14ac:dyDescent="0.25">
      <c r="C423" s="26"/>
    </row>
    <row r="424" spans="3:3" ht="15.75" customHeight="1" x14ac:dyDescent="0.25">
      <c r="C424" s="26"/>
    </row>
    <row r="425" spans="3:3" ht="15.75" customHeight="1" x14ac:dyDescent="0.25">
      <c r="C425" s="26"/>
    </row>
    <row r="426" spans="3:3" ht="15.75" customHeight="1" x14ac:dyDescent="0.25">
      <c r="C426" s="26"/>
    </row>
    <row r="427" spans="3:3" ht="15.75" customHeight="1" x14ac:dyDescent="0.25">
      <c r="C427" s="26"/>
    </row>
    <row r="428" spans="3:3" ht="15.75" customHeight="1" x14ac:dyDescent="0.25">
      <c r="C428" s="26"/>
    </row>
    <row r="429" spans="3:3" ht="15.75" customHeight="1" x14ac:dyDescent="0.25">
      <c r="C429" s="26"/>
    </row>
    <row r="430" spans="3:3" ht="15.75" customHeight="1" x14ac:dyDescent="0.25">
      <c r="C430" s="26"/>
    </row>
    <row r="431" spans="3:3" ht="15.75" customHeight="1" x14ac:dyDescent="0.25">
      <c r="C431" s="26"/>
    </row>
    <row r="432" spans="3:3" ht="15.75" customHeight="1" x14ac:dyDescent="0.25">
      <c r="C432" s="26"/>
    </row>
    <row r="433" spans="3:3" ht="15.75" customHeight="1" x14ac:dyDescent="0.25">
      <c r="C433" s="26"/>
    </row>
    <row r="434" spans="3:3" ht="15.75" customHeight="1" x14ac:dyDescent="0.25">
      <c r="C434" s="26"/>
    </row>
    <row r="435" spans="3:3" ht="15.75" customHeight="1" x14ac:dyDescent="0.25">
      <c r="C435" s="26"/>
    </row>
    <row r="436" spans="3:3" ht="15.75" customHeight="1" x14ac:dyDescent="0.25">
      <c r="C436" s="26"/>
    </row>
    <row r="437" spans="3:3" ht="15.75" customHeight="1" x14ac:dyDescent="0.25">
      <c r="C437" s="26"/>
    </row>
    <row r="438" spans="3:3" ht="15.75" customHeight="1" x14ac:dyDescent="0.25">
      <c r="C438" s="26"/>
    </row>
    <row r="439" spans="3:3" ht="15.75" customHeight="1" x14ac:dyDescent="0.25">
      <c r="C439" s="26"/>
    </row>
    <row r="440" spans="3:3" ht="15.75" customHeight="1" x14ac:dyDescent="0.25">
      <c r="C440" s="26"/>
    </row>
    <row r="441" spans="3:3" ht="15.75" customHeight="1" x14ac:dyDescent="0.25">
      <c r="C441" s="26"/>
    </row>
    <row r="442" spans="3:3" ht="15.75" customHeight="1" x14ac:dyDescent="0.25">
      <c r="C442" s="26"/>
    </row>
    <row r="443" spans="3:3" ht="15.75" customHeight="1" x14ac:dyDescent="0.25">
      <c r="C443" s="26"/>
    </row>
    <row r="444" spans="3:3" ht="15.75" customHeight="1" x14ac:dyDescent="0.25">
      <c r="C444" s="26"/>
    </row>
    <row r="445" spans="3:3" ht="15.75" customHeight="1" x14ac:dyDescent="0.25">
      <c r="C445" s="26"/>
    </row>
    <row r="446" spans="3:3" ht="15.75" customHeight="1" x14ac:dyDescent="0.25">
      <c r="C446" s="26"/>
    </row>
    <row r="447" spans="3:3" ht="15.75" customHeight="1" x14ac:dyDescent="0.25">
      <c r="C447" s="26"/>
    </row>
    <row r="448" spans="3:3" ht="15.75" customHeight="1" x14ac:dyDescent="0.25">
      <c r="C448" s="26"/>
    </row>
    <row r="449" spans="3:3" ht="15.75" customHeight="1" x14ac:dyDescent="0.25">
      <c r="C449" s="26"/>
    </row>
    <row r="450" spans="3:3" ht="15.75" customHeight="1" x14ac:dyDescent="0.25">
      <c r="C450" s="26"/>
    </row>
    <row r="451" spans="3:3" ht="15.75" customHeight="1" x14ac:dyDescent="0.25">
      <c r="C451" s="26"/>
    </row>
    <row r="452" spans="3:3" ht="15.75" customHeight="1" x14ac:dyDescent="0.25">
      <c r="C452" s="26"/>
    </row>
    <row r="453" spans="3:3" ht="15.75" customHeight="1" x14ac:dyDescent="0.25">
      <c r="C453" s="26"/>
    </row>
    <row r="454" spans="3:3" ht="15.75" customHeight="1" x14ac:dyDescent="0.25">
      <c r="C454" s="26"/>
    </row>
    <row r="455" spans="3:3" ht="15.75" customHeight="1" x14ac:dyDescent="0.25">
      <c r="C455" s="26"/>
    </row>
    <row r="456" spans="3:3" ht="15.75" customHeight="1" x14ac:dyDescent="0.25">
      <c r="C456" s="26"/>
    </row>
    <row r="457" spans="3:3" ht="15.75" customHeight="1" x14ac:dyDescent="0.25">
      <c r="C457" s="26"/>
    </row>
    <row r="458" spans="3:3" ht="15.75" customHeight="1" x14ac:dyDescent="0.25">
      <c r="C458" s="26"/>
    </row>
    <row r="459" spans="3:3" ht="15.75" customHeight="1" x14ac:dyDescent="0.25">
      <c r="C459" s="26"/>
    </row>
    <row r="460" spans="3:3" ht="15.75" customHeight="1" x14ac:dyDescent="0.25">
      <c r="C460" s="26"/>
    </row>
    <row r="461" spans="3:3" ht="15.75" customHeight="1" x14ac:dyDescent="0.25">
      <c r="C461" s="26"/>
    </row>
    <row r="462" spans="3:3" ht="15.75" customHeight="1" x14ac:dyDescent="0.25">
      <c r="C462" s="26"/>
    </row>
    <row r="463" spans="3:3" ht="15.75" customHeight="1" x14ac:dyDescent="0.25">
      <c r="C463" s="26"/>
    </row>
    <row r="464" spans="3:3" ht="15.75" customHeight="1" x14ac:dyDescent="0.25">
      <c r="C464" s="26"/>
    </row>
    <row r="465" spans="3:3" ht="15.75" customHeight="1" x14ac:dyDescent="0.25">
      <c r="C465" s="26"/>
    </row>
    <row r="466" spans="3:3" ht="15.75" customHeight="1" x14ac:dyDescent="0.25">
      <c r="C466" s="26"/>
    </row>
    <row r="467" spans="3:3" ht="15.75" customHeight="1" x14ac:dyDescent="0.25">
      <c r="C467" s="26"/>
    </row>
    <row r="468" spans="3:3" ht="15.75" customHeight="1" x14ac:dyDescent="0.25">
      <c r="C468" s="26"/>
    </row>
    <row r="469" spans="3:3" ht="15.75" customHeight="1" x14ac:dyDescent="0.25">
      <c r="C469" s="26"/>
    </row>
    <row r="470" spans="3:3" ht="15.75" customHeight="1" x14ac:dyDescent="0.25">
      <c r="C470" s="26"/>
    </row>
    <row r="471" spans="3:3" ht="15.75" customHeight="1" x14ac:dyDescent="0.25">
      <c r="C471" s="26"/>
    </row>
    <row r="472" spans="3:3" ht="15.75" customHeight="1" x14ac:dyDescent="0.25">
      <c r="C472" s="26"/>
    </row>
    <row r="473" spans="3:3" ht="15.75" customHeight="1" x14ac:dyDescent="0.25">
      <c r="C473" s="26"/>
    </row>
    <row r="474" spans="3:3" ht="15.75" customHeight="1" x14ac:dyDescent="0.25">
      <c r="C474" s="26"/>
    </row>
    <row r="475" spans="3:3" ht="15.75" customHeight="1" x14ac:dyDescent="0.25">
      <c r="C475" s="26"/>
    </row>
    <row r="476" spans="3:3" ht="15.75" customHeight="1" x14ac:dyDescent="0.25">
      <c r="C476" s="26"/>
    </row>
    <row r="477" spans="3:3" ht="15.75" customHeight="1" x14ac:dyDescent="0.25">
      <c r="C477" s="26"/>
    </row>
    <row r="478" spans="3:3" ht="15.75" customHeight="1" x14ac:dyDescent="0.25">
      <c r="C478" s="26"/>
    </row>
    <row r="479" spans="3:3" ht="15.75" customHeight="1" x14ac:dyDescent="0.25">
      <c r="C479" s="26"/>
    </row>
    <row r="480" spans="3:3" ht="15.75" customHeight="1" x14ac:dyDescent="0.25">
      <c r="C480" s="26"/>
    </row>
    <row r="481" spans="3:3" ht="15.75" customHeight="1" x14ac:dyDescent="0.25">
      <c r="C481" s="26"/>
    </row>
    <row r="482" spans="3:3" ht="15.75" customHeight="1" x14ac:dyDescent="0.25">
      <c r="C482" s="26"/>
    </row>
    <row r="483" spans="3:3" ht="15.75" customHeight="1" x14ac:dyDescent="0.25">
      <c r="C483" s="26"/>
    </row>
    <row r="484" spans="3:3" ht="15.75" customHeight="1" x14ac:dyDescent="0.25">
      <c r="C484" s="26"/>
    </row>
    <row r="485" spans="3:3" ht="15.75" customHeight="1" x14ac:dyDescent="0.25">
      <c r="C485" s="26"/>
    </row>
    <row r="486" spans="3:3" ht="15.75" customHeight="1" x14ac:dyDescent="0.25">
      <c r="C486" s="26"/>
    </row>
    <row r="487" spans="3:3" ht="15.75" customHeight="1" x14ac:dyDescent="0.25">
      <c r="C487" s="26"/>
    </row>
    <row r="488" spans="3:3" ht="15.75" customHeight="1" x14ac:dyDescent="0.25">
      <c r="C488" s="26"/>
    </row>
    <row r="489" spans="3:3" ht="15.75" customHeight="1" x14ac:dyDescent="0.25">
      <c r="C489" s="26"/>
    </row>
    <row r="490" spans="3:3" ht="15.75" customHeight="1" x14ac:dyDescent="0.25">
      <c r="C490" s="26"/>
    </row>
    <row r="491" spans="3:3" ht="15.75" customHeight="1" x14ac:dyDescent="0.25">
      <c r="C491" s="26"/>
    </row>
    <row r="492" spans="3:3" ht="15.75" customHeight="1" x14ac:dyDescent="0.25">
      <c r="C492" s="26"/>
    </row>
    <row r="493" spans="3:3" ht="15.75" customHeight="1" x14ac:dyDescent="0.25">
      <c r="C493" s="26"/>
    </row>
    <row r="494" spans="3:3" ht="15.75" customHeight="1" x14ac:dyDescent="0.25">
      <c r="C494" s="26"/>
    </row>
    <row r="495" spans="3:3" ht="15.75" customHeight="1" x14ac:dyDescent="0.25">
      <c r="C495" s="26"/>
    </row>
    <row r="496" spans="3:3" ht="15.75" customHeight="1" x14ac:dyDescent="0.25">
      <c r="C496" s="26"/>
    </row>
    <row r="497" spans="3:3" ht="15.75" customHeight="1" x14ac:dyDescent="0.25">
      <c r="C497" s="26"/>
    </row>
    <row r="498" spans="3:3" ht="15.75" customHeight="1" x14ac:dyDescent="0.25">
      <c r="C498" s="26"/>
    </row>
    <row r="499" spans="3:3" ht="15.75" customHeight="1" x14ac:dyDescent="0.25">
      <c r="C499" s="26"/>
    </row>
    <row r="500" spans="3:3" ht="15.75" customHeight="1" x14ac:dyDescent="0.25">
      <c r="C500" s="26"/>
    </row>
    <row r="501" spans="3:3" ht="15.75" customHeight="1" x14ac:dyDescent="0.25">
      <c r="C501" s="26"/>
    </row>
    <row r="502" spans="3:3" ht="15.75" customHeight="1" x14ac:dyDescent="0.25">
      <c r="C502" s="26"/>
    </row>
    <row r="503" spans="3:3" ht="15.75" customHeight="1" x14ac:dyDescent="0.25">
      <c r="C503" s="26"/>
    </row>
    <row r="504" spans="3:3" ht="15.75" customHeight="1" x14ac:dyDescent="0.25">
      <c r="C504" s="26"/>
    </row>
    <row r="505" spans="3:3" ht="15.75" customHeight="1" x14ac:dyDescent="0.25">
      <c r="C505" s="26"/>
    </row>
    <row r="506" spans="3:3" ht="15.75" customHeight="1" x14ac:dyDescent="0.25">
      <c r="C506" s="26"/>
    </row>
    <row r="507" spans="3:3" ht="15.75" customHeight="1" x14ac:dyDescent="0.25">
      <c r="C507" s="26"/>
    </row>
    <row r="508" spans="3:3" ht="15.75" customHeight="1" x14ac:dyDescent="0.25">
      <c r="C508" s="26"/>
    </row>
    <row r="509" spans="3:3" ht="15.75" customHeight="1" x14ac:dyDescent="0.25">
      <c r="C509" s="26"/>
    </row>
    <row r="510" spans="3:3" ht="15.75" customHeight="1" x14ac:dyDescent="0.25">
      <c r="C510" s="26"/>
    </row>
    <row r="511" spans="3:3" ht="15.75" customHeight="1" x14ac:dyDescent="0.25">
      <c r="C511" s="26"/>
    </row>
    <row r="512" spans="3:3" ht="15.75" customHeight="1" x14ac:dyDescent="0.25">
      <c r="C512" s="26"/>
    </row>
    <row r="513" spans="3:3" ht="15.75" customHeight="1" x14ac:dyDescent="0.25">
      <c r="C513" s="26"/>
    </row>
    <row r="514" spans="3:3" ht="15.75" customHeight="1" x14ac:dyDescent="0.25">
      <c r="C514" s="26"/>
    </row>
    <row r="515" spans="3:3" ht="15.75" customHeight="1" x14ac:dyDescent="0.25">
      <c r="C515" s="26"/>
    </row>
    <row r="516" spans="3:3" ht="15.75" customHeight="1" x14ac:dyDescent="0.25">
      <c r="C516" s="26"/>
    </row>
    <row r="517" spans="3:3" ht="15.75" customHeight="1" x14ac:dyDescent="0.25">
      <c r="C517" s="26"/>
    </row>
    <row r="518" spans="3:3" ht="15.75" customHeight="1" x14ac:dyDescent="0.25">
      <c r="C518" s="26"/>
    </row>
    <row r="519" spans="3:3" ht="15.75" customHeight="1" x14ac:dyDescent="0.25">
      <c r="C519" s="26"/>
    </row>
    <row r="520" spans="3:3" ht="15.75" customHeight="1" x14ac:dyDescent="0.25">
      <c r="C520" s="26"/>
    </row>
    <row r="521" spans="3:3" ht="15.75" customHeight="1" x14ac:dyDescent="0.25">
      <c r="C521" s="26"/>
    </row>
    <row r="522" spans="3:3" ht="15.75" customHeight="1" x14ac:dyDescent="0.25">
      <c r="C522" s="26"/>
    </row>
    <row r="523" spans="3:3" ht="15.75" customHeight="1" x14ac:dyDescent="0.25">
      <c r="C523" s="26"/>
    </row>
    <row r="524" spans="3:3" ht="15.75" customHeight="1" x14ac:dyDescent="0.25">
      <c r="C524" s="26"/>
    </row>
    <row r="525" spans="3:3" ht="15.75" customHeight="1" x14ac:dyDescent="0.25">
      <c r="C525" s="26"/>
    </row>
    <row r="526" spans="3:3" ht="15.75" customHeight="1" x14ac:dyDescent="0.25">
      <c r="C526" s="26"/>
    </row>
    <row r="527" spans="3:3" ht="15.75" customHeight="1" x14ac:dyDescent="0.25">
      <c r="C527" s="26"/>
    </row>
    <row r="528" spans="3:3" ht="15.75" customHeight="1" x14ac:dyDescent="0.25">
      <c r="C528" s="26"/>
    </row>
    <row r="529" spans="3:3" ht="15.75" customHeight="1" x14ac:dyDescent="0.25">
      <c r="C529" s="26"/>
    </row>
    <row r="530" spans="3:3" ht="15.75" customHeight="1" x14ac:dyDescent="0.25">
      <c r="C530" s="26"/>
    </row>
    <row r="531" spans="3:3" ht="15.75" customHeight="1" x14ac:dyDescent="0.25">
      <c r="C531" s="26"/>
    </row>
    <row r="532" spans="3:3" ht="15.75" customHeight="1" x14ac:dyDescent="0.25">
      <c r="C532" s="26"/>
    </row>
    <row r="533" spans="3:3" ht="15.75" customHeight="1" x14ac:dyDescent="0.25">
      <c r="C533" s="26"/>
    </row>
    <row r="534" spans="3:3" ht="15.75" customHeight="1" x14ac:dyDescent="0.25">
      <c r="C534" s="26"/>
    </row>
    <row r="535" spans="3:3" ht="15.75" customHeight="1" x14ac:dyDescent="0.25">
      <c r="C535" s="26"/>
    </row>
    <row r="536" spans="3:3" ht="15.75" customHeight="1" x14ac:dyDescent="0.25">
      <c r="C536" s="26"/>
    </row>
    <row r="537" spans="3:3" ht="15.75" customHeight="1" x14ac:dyDescent="0.25">
      <c r="C537" s="26"/>
    </row>
    <row r="538" spans="3:3" ht="15.75" customHeight="1" x14ac:dyDescent="0.25">
      <c r="C538" s="26"/>
    </row>
    <row r="539" spans="3:3" ht="15.75" customHeight="1" x14ac:dyDescent="0.25">
      <c r="C539" s="26"/>
    </row>
    <row r="540" spans="3:3" ht="15.75" customHeight="1" x14ac:dyDescent="0.25">
      <c r="C540" s="26"/>
    </row>
    <row r="541" spans="3:3" ht="15.75" customHeight="1" x14ac:dyDescent="0.25">
      <c r="C541" s="26"/>
    </row>
    <row r="542" spans="3:3" ht="15.75" customHeight="1" x14ac:dyDescent="0.25">
      <c r="C542" s="26"/>
    </row>
    <row r="543" spans="3:3" ht="15.75" customHeight="1" x14ac:dyDescent="0.25">
      <c r="C543" s="26"/>
    </row>
    <row r="544" spans="3:3" ht="15.75" customHeight="1" x14ac:dyDescent="0.25">
      <c r="C544" s="26"/>
    </row>
    <row r="545" spans="3:3" ht="15.75" customHeight="1" x14ac:dyDescent="0.25">
      <c r="C545" s="26"/>
    </row>
    <row r="546" spans="3:3" ht="15.75" customHeight="1" x14ac:dyDescent="0.25">
      <c r="C546" s="26"/>
    </row>
    <row r="547" spans="3:3" ht="15.75" customHeight="1" x14ac:dyDescent="0.25">
      <c r="C547" s="26"/>
    </row>
    <row r="548" spans="3:3" ht="15.75" customHeight="1" x14ac:dyDescent="0.25">
      <c r="C548" s="26"/>
    </row>
    <row r="549" spans="3:3" ht="15.75" customHeight="1" x14ac:dyDescent="0.25">
      <c r="C549" s="26"/>
    </row>
    <row r="550" spans="3:3" ht="15.75" customHeight="1" x14ac:dyDescent="0.25">
      <c r="C550" s="26"/>
    </row>
    <row r="551" spans="3:3" ht="15.75" customHeight="1" x14ac:dyDescent="0.25">
      <c r="C551" s="26"/>
    </row>
    <row r="552" spans="3:3" ht="15.75" customHeight="1" x14ac:dyDescent="0.25">
      <c r="C552" s="26"/>
    </row>
    <row r="553" spans="3:3" ht="15.75" customHeight="1" x14ac:dyDescent="0.25">
      <c r="C553" s="26"/>
    </row>
    <row r="554" spans="3:3" ht="15.75" customHeight="1" x14ac:dyDescent="0.25">
      <c r="C554" s="26"/>
    </row>
    <row r="555" spans="3:3" ht="15.75" customHeight="1" x14ac:dyDescent="0.25">
      <c r="C555" s="26"/>
    </row>
    <row r="556" spans="3:3" ht="15.75" customHeight="1" x14ac:dyDescent="0.25">
      <c r="C556" s="26"/>
    </row>
    <row r="557" spans="3:3" ht="15.75" customHeight="1" x14ac:dyDescent="0.25">
      <c r="C557" s="26"/>
    </row>
    <row r="558" spans="3:3" ht="15.75" customHeight="1" x14ac:dyDescent="0.25">
      <c r="C558" s="26"/>
    </row>
    <row r="559" spans="3:3" ht="15.75" customHeight="1" x14ac:dyDescent="0.25">
      <c r="C559" s="26"/>
    </row>
    <row r="560" spans="3:3" ht="15.75" customHeight="1" x14ac:dyDescent="0.25">
      <c r="C560" s="26"/>
    </row>
    <row r="561" spans="3:3" ht="15.75" customHeight="1" x14ac:dyDescent="0.25">
      <c r="C561" s="26"/>
    </row>
    <row r="562" spans="3:3" ht="15.75" customHeight="1" x14ac:dyDescent="0.25">
      <c r="C562" s="26"/>
    </row>
    <row r="563" spans="3:3" ht="15.75" customHeight="1" x14ac:dyDescent="0.25">
      <c r="C563" s="26"/>
    </row>
    <row r="564" spans="3:3" ht="15.75" customHeight="1" x14ac:dyDescent="0.25">
      <c r="C564" s="26"/>
    </row>
    <row r="565" spans="3:3" ht="15.75" customHeight="1" x14ac:dyDescent="0.25">
      <c r="C565" s="26"/>
    </row>
    <row r="566" spans="3:3" ht="15.75" customHeight="1" x14ac:dyDescent="0.25">
      <c r="C566" s="26"/>
    </row>
    <row r="567" spans="3:3" ht="15.75" customHeight="1" x14ac:dyDescent="0.25">
      <c r="C567" s="26"/>
    </row>
    <row r="568" spans="3:3" ht="15.75" customHeight="1" x14ac:dyDescent="0.25">
      <c r="C568" s="26"/>
    </row>
    <row r="569" spans="3:3" ht="15.75" customHeight="1" x14ac:dyDescent="0.25">
      <c r="C569" s="26"/>
    </row>
    <row r="570" spans="3:3" ht="15.75" customHeight="1" x14ac:dyDescent="0.25">
      <c r="C570" s="26"/>
    </row>
    <row r="571" spans="3:3" ht="15.75" customHeight="1" x14ac:dyDescent="0.25">
      <c r="C571" s="26"/>
    </row>
    <row r="572" spans="3:3" ht="15.75" customHeight="1" x14ac:dyDescent="0.25">
      <c r="C572" s="26"/>
    </row>
    <row r="573" spans="3:3" ht="15.75" customHeight="1" x14ac:dyDescent="0.25">
      <c r="C573" s="26"/>
    </row>
    <row r="574" spans="3:3" ht="15.75" customHeight="1" x14ac:dyDescent="0.25">
      <c r="C574" s="26"/>
    </row>
    <row r="575" spans="3:3" ht="15.75" customHeight="1" x14ac:dyDescent="0.25">
      <c r="C575" s="26"/>
    </row>
    <row r="576" spans="3:3" ht="15.75" customHeight="1" x14ac:dyDescent="0.25">
      <c r="C576" s="26"/>
    </row>
    <row r="577" spans="3:3" ht="15.75" customHeight="1" x14ac:dyDescent="0.25">
      <c r="C577" s="26"/>
    </row>
    <row r="578" spans="3:3" ht="15.75" customHeight="1" x14ac:dyDescent="0.25">
      <c r="C578" s="26"/>
    </row>
    <row r="579" spans="3:3" ht="15.75" customHeight="1" x14ac:dyDescent="0.25">
      <c r="C579" s="26"/>
    </row>
    <row r="580" spans="3:3" ht="15.75" customHeight="1" x14ac:dyDescent="0.25">
      <c r="C580" s="26"/>
    </row>
    <row r="581" spans="3:3" ht="15.75" customHeight="1" x14ac:dyDescent="0.25">
      <c r="C581" s="26"/>
    </row>
    <row r="582" spans="3:3" ht="15.75" customHeight="1" x14ac:dyDescent="0.25">
      <c r="C582" s="26"/>
    </row>
    <row r="583" spans="3:3" ht="15.75" customHeight="1" x14ac:dyDescent="0.25">
      <c r="C583" s="26"/>
    </row>
    <row r="584" spans="3:3" ht="15.75" customHeight="1" x14ac:dyDescent="0.25">
      <c r="C584" s="26"/>
    </row>
    <row r="585" spans="3:3" ht="15.75" customHeight="1" x14ac:dyDescent="0.25">
      <c r="C585" s="26"/>
    </row>
    <row r="586" spans="3:3" ht="15.75" customHeight="1" x14ac:dyDescent="0.25">
      <c r="C586" s="26"/>
    </row>
    <row r="587" spans="3:3" ht="15.75" customHeight="1" x14ac:dyDescent="0.25">
      <c r="C587" s="26"/>
    </row>
    <row r="588" spans="3:3" ht="15.75" customHeight="1" x14ac:dyDescent="0.25">
      <c r="C588" s="26"/>
    </row>
    <row r="589" spans="3:3" ht="15.75" customHeight="1" x14ac:dyDescent="0.25">
      <c r="C589" s="26"/>
    </row>
    <row r="590" spans="3:3" ht="15.75" customHeight="1" x14ac:dyDescent="0.25">
      <c r="C590" s="26"/>
    </row>
    <row r="591" spans="3:3" ht="15.75" customHeight="1" x14ac:dyDescent="0.25">
      <c r="C591" s="26"/>
    </row>
    <row r="592" spans="3:3" ht="15.75" customHeight="1" x14ac:dyDescent="0.25">
      <c r="C592" s="26"/>
    </row>
    <row r="593" spans="3:3" ht="15.75" customHeight="1" x14ac:dyDescent="0.25">
      <c r="C593" s="26"/>
    </row>
    <row r="594" spans="3:3" ht="15.75" customHeight="1" x14ac:dyDescent="0.25">
      <c r="C594" s="26"/>
    </row>
    <row r="595" spans="3:3" ht="15.75" customHeight="1" x14ac:dyDescent="0.25">
      <c r="C595" s="26"/>
    </row>
    <row r="596" spans="3:3" ht="15.75" customHeight="1" x14ac:dyDescent="0.25">
      <c r="C596" s="26"/>
    </row>
    <row r="597" spans="3:3" ht="15.75" customHeight="1" x14ac:dyDescent="0.25">
      <c r="C597" s="26"/>
    </row>
    <row r="598" spans="3:3" ht="15.75" customHeight="1" x14ac:dyDescent="0.25">
      <c r="C598" s="26"/>
    </row>
    <row r="599" spans="3:3" ht="15.75" customHeight="1" x14ac:dyDescent="0.25">
      <c r="C599" s="26"/>
    </row>
    <row r="600" spans="3:3" ht="15.75" customHeight="1" x14ac:dyDescent="0.25">
      <c r="C600" s="26"/>
    </row>
    <row r="601" spans="3:3" ht="15.75" customHeight="1" x14ac:dyDescent="0.25">
      <c r="C601" s="26"/>
    </row>
    <row r="602" spans="3:3" ht="15.75" customHeight="1" x14ac:dyDescent="0.25">
      <c r="C602" s="26"/>
    </row>
    <row r="603" spans="3:3" ht="15.75" customHeight="1" x14ac:dyDescent="0.25">
      <c r="C603" s="26"/>
    </row>
    <row r="604" spans="3:3" ht="15.75" customHeight="1" x14ac:dyDescent="0.25">
      <c r="C604" s="26"/>
    </row>
    <row r="605" spans="3:3" ht="15.75" customHeight="1" x14ac:dyDescent="0.25">
      <c r="C605" s="26"/>
    </row>
    <row r="606" spans="3:3" ht="15.75" customHeight="1" x14ac:dyDescent="0.25">
      <c r="C606" s="26"/>
    </row>
    <row r="607" spans="3:3" ht="15.75" customHeight="1" x14ac:dyDescent="0.25">
      <c r="C607" s="26"/>
    </row>
    <row r="608" spans="3:3" ht="15.75" customHeight="1" x14ac:dyDescent="0.25">
      <c r="C608" s="26"/>
    </row>
    <row r="609" spans="3:3" ht="15.75" customHeight="1" x14ac:dyDescent="0.25">
      <c r="C609" s="26"/>
    </row>
    <row r="610" spans="3:3" ht="15.75" customHeight="1" x14ac:dyDescent="0.25">
      <c r="C610" s="26"/>
    </row>
    <row r="611" spans="3:3" ht="15.75" customHeight="1" x14ac:dyDescent="0.25">
      <c r="C611" s="26"/>
    </row>
    <row r="612" spans="3:3" ht="15.75" customHeight="1" x14ac:dyDescent="0.25">
      <c r="C612" s="26"/>
    </row>
    <row r="613" spans="3:3" ht="15.75" customHeight="1" x14ac:dyDescent="0.25">
      <c r="C613" s="26"/>
    </row>
    <row r="614" spans="3:3" ht="15.75" customHeight="1" x14ac:dyDescent="0.25">
      <c r="C614" s="26"/>
    </row>
    <row r="615" spans="3:3" ht="15.75" customHeight="1" x14ac:dyDescent="0.25">
      <c r="C615" s="26"/>
    </row>
    <row r="616" spans="3:3" ht="15.75" customHeight="1" x14ac:dyDescent="0.25">
      <c r="C616" s="26"/>
    </row>
    <row r="617" spans="3:3" ht="15.75" customHeight="1" x14ac:dyDescent="0.25">
      <c r="C617" s="26"/>
    </row>
    <row r="618" spans="3:3" ht="15.75" customHeight="1" x14ac:dyDescent="0.25">
      <c r="C618" s="26"/>
    </row>
    <row r="619" spans="3:3" ht="15.75" customHeight="1" x14ac:dyDescent="0.25">
      <c r="C619" s="26"/>
    </row>
    <row r="620" spans="3:3" ht="15.75" customHeight="1" x14ac:dyDescent="0.25">
      <c r="C620" s="26"/>
    </row>
    <row r="621" spans="3:3" ht="15.75" customHeight="1" x14ac:dyDescent="0.25">
      <c r="C621" s="26"/>
    </row>
    <row r="622" spans="3:3" ht="15.75" customHeight="1" x14ac:dyDescent="0.25">
      <c r="C622" s="26"/>
    </row>
    <row r="623" spans="3:3" ht="15.75" customHeight="1" x14ac:dyDescent="0.25">
      <c r="C623" s="26"/>
    </row>
    <row r="624" spans="3:3" ht="15.75" customHeight="1" x14ac:dyDescent="0.25">
      <c r="C624" s="26"/>
    </row>
    <row r="625" spans="3:3" ht="15.75" customHeight="1" x14ac:dyDescent="0.25">
      <c r="C625" s="26"/>
    </row>
    <row r="626" spans="3:3" ht="15.75" customHeight="1" x14ac:dyDescent="0.25">
      <c r="C626" s="26"/>
    </row>
    <row r="627" spans="3:3" ht="15.75" customHeight="1" x14ac:dyDescent="0.25">
      <c r="C627" s="26"/>
    </row>
    <row r="628" spans="3:3" ht="15.75" customHeight="1" x14ac:dyDescent="0.25">
      <c r="C628" s="26"/>
    </row>
    <row r="629" spans="3:3" ht="15.75" customHeight="1" x14ac:dyDescent="0.25">
      <c r="C629" s="26"/>
    </row>
    <row r="630" spans="3:3" ht="15.75" customHeight="1" x14ac:dyDescent="0.25">
      <c r="C630" s="26"/>
    </row>
    <row r="631" spans="3:3" ht="15.75" customHeight="1" x14ac:dyDescent="0.25">
      <c r="C631" s="26"/>
    </row>
    <row r="632" spans="3:3" ht="15.75" customHeight="1" x14ac:dyDescent="0.25">
      <c r="C632" s="26"/>
    </row>
    <row r="633" spans="3:3" ht="15.75" customHeight="1" x14ac:dyDescent="0.25">
      <c r="C633" s="26"/>
    </row>
    <row r="634" spans="3:3" ht="15.75" customHeight="1" x14ac:dyDescent="0.25">
      <c r="C634" s="26"/>
    </row>
    <row r="635" spans="3:3" ht="15.75" customHeight="1" x14ac:dyDescent="0.25">
      <c r="C635" s="26"/>
    </row>
    <row r="636" spans="3:3" ht="15.75" customHeight="1" x14ac:dyDescent="0.25">
      <c r="C636" s="26"/>
    </row>
    <row r="637" spans="3:3" ht="15.75" customHeight="1" x14ac:dyDescent="0.25">
      <c r="C637" s="26"/>
    </row>
    <row r="638" spans="3:3" ht="15.75" customHeight="1" x14ac:dyDescent="0.25">
      <c r="C638" s="26"/>
    </row>
    <row r="639" spans="3:3" ht="15.75" customHeight="1" x14ac:dyDescent="0.25">
      <c r="C639" s="26"/>
    </row>
    <row r="640" spans="3:3" ht="15.75" customHeight="1" x14ac:dyDescent="0.25">
      <c r="C640" s="26"/>
    </row>
    <row r="641" spans="3:3" ht="15.75" customHeight="1" x14ac:dyDescent="0.25">
      <c r="C641" s="26"/>
    </row>
    <row r="642" spans="3:3" ht="15.75" customHeight="1" x14ac:dyDescent="0.25">
      <c r="C642" s="26"/>
    </row>
    <row r="643" spans="3:3" ht="15.75" customHeight="1" x14ac:dyDescent="0.25">
      <c r="C643" s="26"/>
    </row>
    <row r="644" spans="3:3" ht="15.75" customHeight="1" x14ac:dyDescent="0.25">
      <c r="C644" s="26"/>
    </row>
    <row r="645" spans="3:3" ht="15.75" customHeight="1" x14ac:dyDescent="0.25">
      <c r="C645" s="26"/>
    </row>
    <row r="646" spans="3:3" ht="15.75" customHeight="1" x14ac:dyDescent="0.25">
      <c r="C646" s="26"/>
    </row>
    <row r="647" spans="3:3" ht="15.75" customHeight="1" x14ac:dyDescent="0.25">
      <c r="C647" s="26"/>
    </row>
    <row r="648" spans="3:3" ht="15.75" customHeight="1" x14ac:dyDescent="0.25">
      <c r="C648" s="26"/>
    </row>
    <row r="649" spans="3:3" ht="15.75" customHeight="1" x14ac:dyDescent="0.25">
      <c r="C649" s="26"/>
    </row>
    <row r="650" spans="3:3" ht="15.75" customHeight="1" x14ac:dyDescent="0.25">
      <c r="C650" s="26"/>
    </row>
    <row r="651" spans="3:3" ht="15.75" customHeight="1" x14ac:dyDescent="0.25">
      <c r="C651" s="26"/>
    </row>
    <row r="652" spans="3:3" ht="15.75" customHeight="1" x14ac:dyDescent="0.25">
      <c r="C652" s="26"/>
    </row>
    <row r="653" spans="3:3" ht="15.75" customHeight="1" x14ac:dyDescent="0.25">
      <c r="C653" s="26"/>
    </row>
    <row r="654" spans="3:3" ht="15.75" customHeight="1" x14ac:dyDescent="0.25">
      <c r="C654" s="26"/>
    </row>
    <row r="655" spans="3:3" ht="15.75" customHeight="1" x14ac:dyDescent="0.25">
      <c r="C655" s="26"/>
    </row>
    <row r="656" spans="3:3" ht="15.75" customHeight="1" x14ac:dyDescent="0.25">
      <c r="C656" s="26"/>
    </row>
    <row r="657" spans="3:3" ht="15.75" customHeight="1" x14ac:dyDescent="0.25">
      <c r="C657" s="26"/>
    </row>
    <row r="658" spans="3:3" ht="15.75" customHeight="1" x14ac:dyDescent="0.25">
      <c r="C658" s="26"/>
    </row>
    <row r="659" spans="3:3" ht="15.75" customHeight="1" x14ac:dyDescent="0.25">
      <c r="C659" s="26"/>
    </row>
    <row r="660" spans="3:3" ht="15.75" customHeight="1" x14ac:dyDescent="0.25">
      <c r="C660" s="26"/>
    </row>
    <row r="661" spans="3:3" ht="15.75" customHeight="1" x14ac:dyDescent="0.25">
      <c r="C661" s="26"/>
    </row>
    <row r="662" spans="3:3" ht="15.75" customHeight="1" x14ac:dyDescent="0.25">
      <c r="C662" s="26"/>
    </row>
    <row r="663" spans="3:3" ht="15.75" customHeight="1" x14ac:dyDescent="0.25">
      <c r="C663" s="26"/>
    </row>
    <row r="664" spans="3:3" ht="15.75" customHeight="1" x14ac:dyDescent="0.25">
      <c r="C664" s="26"/>
    </row>
    <row r="665" spans="3:3" ht="15.75" customHeight="1" x14ac:dyDescent="0.25">
      <c r="C665" s="26"/>
    </row>
    <row r="666" spans="3:3" ht="15.75" customHeight="1" x14ac:dyDescent="0.25">
      <c r="C666" s="26"/>
    </row>
    <row r="667" spans="3:3" ht="15.75" customHeight="1" x14ac:dyDescent="0.25">
      <c r="C667" s="26"/>
    </row>
    <row r="668" spans="3:3" ht="15.75" customHeight="1" x14ac:dyDescent="0.25">
      <c r="C668" s="26"/>
    </row>
    <row r="669" spans="3:3" ht="15.75" customHeight="1" x14ac:dyDescent="0.25">
      <c r="C669" s="26"/>
    </row>
    <row r="670" spans="3:3" ht="15.75" customHeight="1" x14ac:dyDescent="0.25">
      <c r="C670" s="26"/>
    </row>
    <row r="671" spans="3:3" ht="15.75" customHeight="1" x14ac:dyDescent="0.25">
      <c r="C671" s="26"/>
    </row>
    <row r="672" spans="3:3" ht="15.75" customHeight="1" x14ac:dyDescent="0.25">
      <c r="C672" s="26"/>
    </row>
    <row r="673" spans="3:3" ht="15.75" customHeight="1" x14ac:dyDescent="0.25">
      <c r="C673" s="26"/>
    </row>
    <row r="674" spans="3:3" ht="15.75" customHeight="1" x14ac:dyDescent="0.25">
      <c r="C674" s="26"/>
    </row>
    <row r="675" spans="3:3" ht="15.75" customHeight="1" x14ac:dyDescent="0.25">
      <c r="C675" s="26"/>
    </row>
    <row r="676" spans="3:3" ht="15.75" customHeight="1" x14ac:dyDescent="0.25">
      <c r="C676" s="26"/>
    </row>
    <row r="677" spans="3:3" ht="15.75" customHeight="1" x14ac:dyDescent="0.25">
      <c r="C677" s="26"/>
    </row>
    <row r="678" spans="3:3" ht="15.75" customHeight="1" x14ac:dyDescent="0.25">
      <c r="C678" s="26"/>
    </row>
    <row r="679" spans="3:3" ht="15.75" customHeight="1" x14ac:dyDescent="0.25">
      <c r="C679" s="26"/>
    </row>
    <row r="680" spans="3:3" ht="15.75" customHeight="1" x14ac:dyDescent="0.25">
      <c r="C680" s="26"/>
    </row>
    <row r="681" spans="3:3" ht="15.75" customHeight="1" x14ac:dyDescent="0.25">
      <c r="C681" s="26"/>
    </row>
    <row r="682" spans="3:3" ht="15.75" customHeight="1" x14ac:dyDescent="0.25">
      <c r="C682" s="26"/>
    </row>
    <row r="683" spans="3:3" ht="15.75" customHeight="1" x14ac:dyDescent="0.25">
      <c r="C683" s="26"/>
    </row>
    <row r="684" spans="3:3" ht="15.75" customHeight="1" x14ac:dyDescent="0.25">
      <c r="C684" s="26"/>
    </row>
    <row r="685" spans="3:3" ht="15.75" customHeight="1" x14ac:dyDescent="0.25">
      <c r="C685" s="26"/>
    </row>
    <row r="686" spans="3:3" ht="15.75" customHeight="1" x14ac:dyDescent="0.25">
      <c r="C686" s="26"/>
    </row>
    <row r="687" spans="3:3" ht="15.75" customHeight="1" x14ac:dyDescent="0.25">
      <c r="C687" s="26"/>
    </row>
    <row r="688" spans="3:3" ht="15.75" customHeight="1" x14ac:dyDescent="0.25">
      <c r="C688" s="26"/>
    </row>
    <row r="689" spans="3:3" ht="15.75" customHeight="1" x14ac:dyDescent="0.25">
      <c r="C689" s="26"/>
    </row>
    <row r="690" spans="3:3" ht="15.75" customHeight="1" x14ac:dyDescent="0.25">
      <c r="C690" s="26"/>
    </row>
    <row r="691" spans="3:3" ht="15.75" customHeight="1" x14ac:dyDescent="0.25">
      <c r="C691" s="26"/>
    </row>
    <row r="692" spans="3:3" ht="15.75" customHeight="1" x14ac:dyDescent="0.25">
      <c r="C692" s="26"/>
    </row>
    <row r="693" spans="3:3" ht="15.75" customHeight="1" x14ac:dyDescent="0.25">
      <c r="C693" s="26"/>
    </row>
    <row r="694" spans="3:3" ht="15.75" customHeight="1" x14ac:dyDescent="0.25">
      <c r="C694" s="26"/>
    </row>
    <row r="695" spans="3:3" ht="15.75" customHeight="1" x14ac:dyDescent="0.25">
      <c r="C695" s="26"/>
    </row>
    <row r="696" spans="3:3" ht="15.75" customHeight="1" x14ac:dyDescent="0.25">
      <c r="C696" s="26"/>
    </row>
    <row r="697" spans="3:3" ht="15.75" customHeight="1" x14ac:dyDescent="0.25">
      <c r="C697" s="26"/>
    </row>
    <row r="698" spans="3:3" ht="15.75" customHeight="1" x14ac:dyDescent="0.25">
      <c r="C698" s="26"/>
    </row>
    <row r="699" spans="3:3" ht="15.75" customHeight="1" x14ac:dyDescent="0.25">
      <c r="C699" s="26"/>
    </row>
    <row r="700" spans="3:3" ht="15.75" customHeight="1" x14ac:dyDescent="0.25">
      <c r="C700" s="26"/>
    </row>
    <row r="701" spans="3:3" ht="15.75" customHeight="1" x14ac:dyDescent="0.25">
      <c r="C701" s="26"/>
    </row>
    <row r="702" spans="3:3" ht="15.75" customHeight="1" x14ac:dyDescent="0.25">
      <c r="C702" s="26"/>
    </row>
    <row r="703" spans="3:3" ht="15.75" customHeight="1" x14ac:dyDescent="0.25">
      <c r="C703" s="26"/>
    </row>
    <row r="704" spans="3:3" ht="15.75" customHeight="1" x14ac:dyDescent="0.25">
      <c r="C704" s="26"/>
    </row>
    <row r="705" spans="3:3" ht="15.75" customHeight="1" x14ac:dyDescent="0.25">
      <c r="C705" s="26"/>
    </row>
    <row r="706" spans="3:3" ht="15.75" customHeight="1" x14ac:dyDescent="0.25">
      <c r="C706" s="26"/>
    </row>
    <row r="707" spans="3:3" ht="15.75" customHeight="1" x14ac:dyDescent="0.25">
      <c r="C707" s="26"/>
    </row>
    <row r="708" spans="3:3" ht="15.75" customHeight="1" x14ac:dyDescent="0.25">
      <c r="C708" s="26"/>
    </row>
    <row r="709" spans="3:3" ht="15.75" customHeight="1" x14ac:dyDescent="0.25">
      <c r="C709" s="26"/>
    </row>
    <row r="710" spans="3:3" ht="15.75" customHeight="1" x14ac:dyDescent="0.25">
      <c r="C710" s="26"/>
    </row>
    <row r="711" spans="3:3" ht="15.75" customHeight="1" x14ac:dyDescent="0.25">
      <c r="C711" s="26"/>
    </row>
    <row r="712" spans="3:3" ht="15.75" customHeight="1" x14ac:dyDescent="0.25">
      <c r="C712" s="26"/>
    </row>
    <row r="713" spans="3:3" ht="15.75" customHeight="1" x14ac:dyDescent="0.25">
      <c r="C713" s="26"/>
    </row>
    <row r="714" spans="3:3" ht="15.75" customHeight="1" x14ac:dyDescent="0.25">
      <c r="C714" s="26"/>
    </row>
    <row r="715" spans="3:3" ht="15.75" customHeight="1" x14ac:dyDescent="0.25">
      <c r="C715" s="26"/>
    </row>
    <row r="716" spans="3:3" ht="15.75" customHeight="1" x14ac:dyDescent="0.25">
      <c r="C716" s="26"/>
    </row>
    <row r="717" spans="3:3" ht="15.75" customHeight="1" x14ac:dyDescent="0.25">
      <c r="C717" s="26"/>
    </row>
    <row r="718" spans="3:3" ht="15.75" customHeight="1" x14ac:dyDescent="0.25">
      <c r="C718" s="26"/>
    </row>
    <row r="719" spans="3:3" ht="15.75" customHeight="1" x14ac:dyDescent="0.25">
      <c r="C719" s="26"/>
    </row>
    <row r="720" spans="3:3" ht="15.75" customHeight="1" x14ac:dyDescent="0.25">
      <c r="C720" s="26"/>
    </row>
    <row r="721" spans="3:3" ht="15.75" customHeight="1" x14ac:dyDescent="0.25">
      <c r="C721" s="26"/>
    </row>
    <row r="722" spans="3:3" ht="15.75" customHeight="1" x14ac:dyDescent="0.25">
      <c r="C722" s="26"/>
    </row>
    <row r="723" spans="3:3" ht="15.75" customHeight="1" x14ac:dyDescent="0.25">
      <c r="C723" s="26"/>
    </row>
    <row r="724" spans="3:3" ht="15.75" customHeight="1" x14ac:dyDescent="0.25">
      <c r="C724" s="26"/>
    </row>
    <row r="725" spans="3:3" ht="15.75" customHeight="1" x14ac:dyDescent="0.25">
      <c r="C725" s="26"/>
    </row>
    <row r="726" spans="3:3" ht="15.75" customHeight="1" x14ac:dyDescent="0.25">
      <c r="C726" s="26"/>
    </row>
    <row r="727" spans="3:3" ht="15.75" customHeight="1" x14ac:dyDescent="0.25">
      <c r="C727" s="26"/>
    </row>
    <row r="728" spans="3:3" ht="15.75" customHeight="1" x14ac:dyDescent="0.25">
      <c r="C728" s="26"/>
    </row>
    <row r="729" spans="3:3" ht="15.75" customHeight="1" x14ac:dyDescent="0.25">
      <c r="C729" s="26"/>
    </row>
    <row r="730" spans="3:3" ht="15.75" customHeight="1" x14ac:dyDescent="0.25">
      <c r="C730" s="26"/>
    </row>
    <row r="731" spans="3:3" ht="15.75" customHeight="1" x14ac:dyDescent="0.25">
      <c r="C731" s="26"/>
    </row>
    <row r="732" spans="3:3" ht="15.75" customHeight="1" x14ac:dyDescent="0.25">
      <c r="C732" s="26"/>
    </row>
    <row r="733" spans="3:3" ht="15.75" customHeight="1" x14ac:dyDescent="0.25">
      <c r="C733" s="26"/>
    </row>
    <row r="734" spans="3:3" ht="15.75" customHeight="1" x14ac:dyDescent="0.25">
      <c r="C734" s="26"/>
    </row>
    <row r="735" spans="3:3" ht="15.75" customHeight="1" x14ac:dyDescent="0.25">
      <c r="C735" s="26"/>
    </row>
    <row r="736" spans="3:3" ht="15.75" customHeight="1" x14ac:dyDescent="0.25">
      <c r="C736" s="26"/>
    </row>
    <row r="737" spans="3:3" ht="15.75" customHeight="1" x14ac:dyDescent="0.25">
      <c r="C737" s="26"/>
    </row>
    <row r="738" spans="3:3" ht="15.75" customHeight="1" x14ac:dyDescent="0.25">
      <c r="C738" s="26"/>
    </row>
    <row r="739" spans="3:3" ht="15.75" customHeight="1" x14ac:dyDescent="0.25">
      <c r="C739" s="26"/>
    </row>
    <row r="740" spans="3:3" ht="15.75" customHeight="1" x14ac:dyDescent="0.25">
      <c r="C740" s="26"/>
    </row>
    <row r="741" spans="3:3" ht="15.75" customHeight="1" x14ac:dyDescent="0.25">
      <c r="C741" s="26"/>
    </row>
    <row r="742" spans="3:3" ht="15.75" customHeight="1" x14ac:dyDescent="0.25">
      <c r="C742" s="26"/>
    </row>
    <row r="743" spans="3:3" ht="15.75" customHeight="1" x14ac:dyDescent="0.25">
      <c r="C743" s="26"/>
    </row>
    <row r="744" spans="3:3" ht="15.75" customHeight="1" x14ac:dyDescent="0.25">
      <c r="C744" s="26"/>
    </row>
    <row r="745" spans="3:3" ht="15.75" customHeight="1" x14ac:dyDescent="0.25">
      <c r="C745" s="26"/>
    </row>
    <row r="746" spans="3:3" ht="15.75" customHeight="1" x14ac:dyDescent="0.25">
      <c r="C746" s="26"/>
    </row>
    <row r="747" spans="3:3" ht="15.75" customHeight="1" x14ac:dyDescent="0.25">
      <c r="C747" s="26"/>
    </row>
    <row r="748" spans="3:3" ht="15.75" customHeight="1" x14ac:dyDescent="0.25">
      <c r="C748" s="26"/>
    </row>
    <row r="749" spans="3:3" ht="15.75" customHeight="1" x14ac:dyDescent="0.25">
      <c r="C749" s="26"/>
    </row>
    <row r="750" spans="3:3" ht="15.75" customHeight="1" x14ac:dyDescent="0.25">
      <c r="C750" s="26"/>
    </row>
    <row r="751" spans="3:3" ht="15.75" customHeight="1" x14ac:dyDescent="0.25">
      <c r="C751" s="26"/>
    </row>
    <row r="752" spans="3:3" ht="15.75" customHeight="1" x14ac:dyDescent="0.25">
      <c r="C752" s="26"/>
    </row>
    <row r="753" spans="3:3" ht="15.75" customHeight="1" x14ac:dyDescent="0.25">
      <c r="C753" s="26"/>
    </row>
    <row r="754" spans="3:3" ht="15.75" customHeight="1" x14ac:dyDescent="0.25">
      <c r="C754" s="26"/>
    </row>
    <row r="755" spans="3:3" ht="15.75" customHeight="1" x14ac:dyDescent="0.25">
      <c r="C755" s="26"/>
    </row>
    <row r="756" spans="3:3" ht="15.75" customHeight="1" x14ac:dyDescent="0.25">
      <c r="C756" s="26"/>
    </row>
    <row r="757" spans="3:3" ht="15.75" customHeight="1" x14ac:dyDescent="0.25">
      <c r="C757" s="26"/>
    </row>
    <row r="758" spans="3:3" ht="15.75" customHeight="1" x14ac:dyDescent="0.25">
      <c r="C758" s="26"/>
    </row>
    <row r="759" spans="3:3" ht="15.75" customHeight="1" x14ac:dyDescent="0.25">
      <c r="C759" s="26"/>
    </row>
    <row r="760" spans="3:3" ht="15.75" customHeight="1" x14ac:dyDescent="0.25">
      <c r="C760" s="26"/>
    </row>
    <row r="761" spans="3:3" ht="15.75" customHeight="1" x14ac:dyDescent="0.25">
      <c r="C761" s="26"/>
    </row>
    <row r="762" spans="3:3" ht="15.75" customHeight="1" x14ac:dyDescent="0.25">
      <c r="C762" s="26"/>
    </row>
    <row r="763" spans="3:3" ht="15.75" customHeight="1" x14ac:dyDescent="0.25">
      <c r="C763" s="26"/>
    </row>
    <row r="764" spans="3:3" ht="15.75" customHeight="1" x14ac:dyDescent="0.25">
      <c r="C764" s="26"/>
    </row>
    <row r="765" spans="3:3" ht="15.75" customHeight="1" x14ac:dyDescent="0.25">
      <c r="C765" s="26"/>
    </row>
    <row r="766" spans="3:3" ht="15.75" customHeight="1" x14ac:dyDescent="0.25">
      <c r="C766" s="26"/>
    </row>
    <row r="767" spans="3:3" ht="15.75" customHeight="1" x14ac:dyDescent="0.25">
      <c r="C767" s="26"/>
    </row>
    <row r="768" spans="3:3" ht="15.75" customHeight="1" x14ac:dyDescent="0.25">
      <c r="C768" s="26"/>
    </row>
    <row r="769" spans="3:3" ht="15.75" customHeight="1" x14ac:dyDescent="0.25">
      <c r="C769" s="26"/>
    </row>
    <row r="770" spans="3:3" ht="15.75" customHeight="1" x14ac:dyDescent="0.25">
      <c r="C770" s="26"/>
    </row>
    <row r="771" spans="3:3" ht="15.75" customHeight="1" x14ac:dyDescent="0.25">
      <c r="C771" s="26"/>
    </row>
    <row r="772" spans="3:3" ht="15.75" customHeight="1" x14ac:dyDescent="0.25">
      <c r="C772" s="26"/>
    </row>
    <row r="773" spans="3:3" ht="15.75" customHeight="1" x14ac:dyDescent="0.25">
      <c r="C773" s="26"/>
    </row>
    <row r="774" spans="3:3" ht="15.75" customHeight="1" x14ac:dyDescent="0.25">
      <c r="C774" s="26"/>
    </row>
    <row r="775" spans="3:3" ht="15.75" customHeight="1" x14ac:dyDescent="0.25">
      <c r="C775" s="26"/>
    </row>
    <row r="776" spans="3:3" ht="15.75" customHeight="1" x14ac:dyDescent="0.25">
      <c r="C776" s="26"/>
    </row>
    <row r="777" spans="3:3" ht="15.75" customHeight="1" x14ac:dyDescent="0.25">
      <c r="C777" s="26"/>
    </row>
    <row r="778" spans="3:3" ht="15.75" customHeight="1" x14ac:dyDescent="0.25">
      <c r="C778" s="26"/>
    </row>
    <row r="779" spans="3:3" ht="15.75" customHeight="1" x14ac:dyDescent="0.25">
      <c r="C779" s="26"/>
    </row>
    <row r="780" spans="3:3" ht="15.75" customHeight="1" x14ac:dyDescent="0.25">
      <c r="C780" s="26"/>
    </row>
    <row r="781" spans="3:3" ht="15.75" customHeight="1" x14ac:dyDescent="0.25">
      <c r="C781" s="26"/>
    </row>
    <row r="782" spans="3:3" ht="15.75" customHeight="1" x14ac:dyDescent="0.25">
      <c r="C782" s="26"/>
    </row>
    <row r="783" spans="3:3" ht="15.75" customHeight="1" x14ac:dyDescent="0.25">
      <c r="C783" s="26"/>
    </row>
    <row r="784" spans="3:3" ht="15.75" customHeight="1" x14ac:dyDescent="0.25">
      <c r="C784" s="26"/>
    </row>
    <row r="785" spans="3:3" ht="15.75" customHeight="1" x14ac:dyDescent="0.25">
      <c r="C785" s="26"/>
    </row>
    <row r="786" spans="3:3" ht="15.75" customHeight="1" x14ac:dyDescent="0.25">
      <c r="C786" s="26"/>
    </row>
    <row r="787" spans="3:3" ht="15.75" customHeight="1" x14ac:dyDescent="0.25">
      <c r="C787" s="26"/>
    </row>
    <row r="788" spans="3:3" ht="15.75" customHeight="1" x14ac:dyDescent="0.25">
      <c r="C788" s="26"/>
    </row>
    <row r="789" spans="3:3" ht="15.75" customHeight="1" x14ac:dyDescent="0.25">
      <c r="C789" s="26"/>
    </row>
    <row r="790" spans="3:3" ht="15.75" customHeight="1" x14ac:dyDescent="0.25">
      <c r="C790" s="26"/>
    </row>
    <row r="791" spans="3:3" ht="15.75" customHeight="1" x14ac:dyDescent="0.25">
      <c r="C791" s="26"/>
    </row>
    <row r="792" spans="3:3" ht="15.75" customHeight="1" x14ac:dyDescent="0.25">
      <c r="C792" s="26"/>
    </row>
    <row r="793" spans="3:3" ht="15.75" customHeight="1" x14ac:dyDescent="0.25">
      <c r="C793" s="26"/>
    </row>
    <row r="794" spans="3:3" ht="15.75" customHeight="1" x14ac:dyDescent="0.25">
      <c r="C794" s="26"/>
    </row>
    <row r="795" spans="3:3" ht="15.75" customHeight="1" x14ac:dyDescent="0.25">
      <c r="C795" s="26"/>
    </row>
    <row r="796" spans="3:3" ht="15.75" customHeight="1" x14ac:dyDescent="0.25">
      <c r="C796" s="26"/>
    </row>
    <row r="797" spans="3:3" ht="15.75" customHeight="1" x14ac:dyDescent="0.25">
      <c r="C797" s="26"/>
    </row>
    <row r="798" spans="3:3" ht="15.75" customHeight="1" x14ac:dyDescent="0.25">
      <c r="C798" s="26"/>
    </row>
    <row r="799" spans="3:3" ht="15.75" customHeight="1" x14ac:dyDescent="0.25">
      <c r="C799" s="26"/>
    </row>
    <row r="800" spans="3:3" ht="15.75" customHeight="1" x14ac:dyDescent="0.25">
      <c r="C800" s="26"/>
    </row>
    <row r="801" spans="3:3" ht="15.75" customHeight="1" x14ac:dyDescent="0.25">
      <c r="C801" s="26"/>
    </row>
    <row r="802" spans="3:3" ht="15.75" customHeight="1" x14ac:dyDescent="0.25">
      <c r="C802" s="26"/>
    </row>
    <row r="803" spans="3:3" ht="15.75" customHeight="1" x14ac:dyDescent="0.25">
      <c r="C803" s="26"/>
    </row>
    <row r="804" spans="3:3" ht="15.75" customHeight="1" x14ac:dyDescent="0.25">
      <c r="C804" s="26"/>
    </row>
    <row r="805" spans="3:3" ht="15.75" customHeight="1" x14ac:dyDescent="0.25">
      <c r="C805" s="26"/>
    </row>
    <row r="806" spans="3:3" ht="15.75" customHeight="1" x14ac:dyDescent="0.25">
      <c r="C806" s="26"/>
    </row>
    <row r="807" spans="3:3" ht="15.75" customHeight="1" x14ac:dyDescent="0.25">
      <c r="C807" s="26"/>
    </row>
    <row r="808" spans="3:3" ht="15.75" customHeight="1" x14ac:dyDescent="0.25">
      <c r="C808" s="26"/>
    </row>
    <row r="809" spans="3:3" ht="15.75" customHeight="1" x14ac:dyDescent="0.25">
      <c r="C809" s="26"/>
    </row>
    <row r="810" spans="3:3" ht="15.75" customHeight="1" x14ac:dyDescent="0.25">
      <c r="C810" s="26"/>
    </row>
    <row r="811" spans="3:3" ht="15.75" customHeight="1" x14ac:dyDescent="0.25">
      <c r="C811" s="26"/>
    </row>
    <row r="812" spans="3:3" ht="15.75" customHeight="1" x14ac:dyDescent="0.25">
      <c r="C812" s="26"/>
    </row>
    <row r="813" spans="3:3" ht="15.75" customHeight="1" x14ac:dyDescent="0.25">
      <c r="C813" s="26"/>
    </row>
    <row r="814" spans="3:3" ht="15.75" customHeight="1" x14ac:dyDescent="0.25">
      <c r="C814" s="26"/>
    </row>
    <row r="815" spans="3:3" ht="15.75" customHeight="1" x14ac:dyDescent="0.25">
      <c r="C815" s="26"/>
    </row>
    <row r="816" spans="3:3" ht="15.75" customHeight="1" x14ac:dyDescent="0.25">
      <c r="C816" s="26"/>
    </row>
    <row r="817" spans="3:3" ht="15.75" customHeight="1" x14ac:dyDescent="0.25">
      <c r="C817" s="26"/>
    </row>
    <row r="818" spans="3:3" ht="15.75" customHeight="1" x14ac:dyDescent="0.25">
      <c r="C818" s="26"/>
    </row>
    <row r="819" spans="3:3" ht="15.75" customHeight="1" x14ac:dyDescent="0.25">
      <c r="C819" s="26"/>
    </row>
    <row r="820" spans="3:3" ht="15.75" customHeight="1" x14ac:dyDescent="0.25">
      <c r="C820" s="26"/>
    </row>
    <row r="821" spans="3:3" ht="15.75" customHeight="1" x14ac:dyDescent="0.25">
      <c r="C821" s="26"/>
    </row>
    <row r="822" spans="3:3" ht="15.75" customHeight="1" x14ac:dyDescent="0.25">
      <c r="C822" s="26"/>
    </row>
    <row r="823" spans="3:3" ht="15.75" customHeight="1" x14ac:dyDescent="0.25">
      <c r="C823" s="26"/>
    </row>
    <row r="824" spans="3:3" ht="15.75" customHeight="1" x14ac:dyDescent="0.25">
      <c r="C824" s="26"/>
    </row>
    <row r="825" spans="3:3" ht="15.75" customHeight="1" x14ac:dyDescent="0.25">
      <c r="C825" s="26"/>
    </row>
    <row r="826" spans="3:3" ht="15.75" customHeight="1" x14ac:dyDescent="0.25">
      <c r="C826" s="26"/>
    </row>
    <row r="827" spans="3:3" ht="15.75" customHeight="1" x14ac:dyDescent="0.25">
      <c r="C827" s="26"/>
    </row>
    <row r="828" spans="3:3" ht="15.75" customHeight="1" x14ac:dyDescent="0.25">
      <c r="C828" s="26"/>
    </row>
    <row r="829" spans="3:3" ht="15.75" customHeight="1" x14ac:dyDescent="0.25">
      <c r="C829" s="26"/>
    </row>
    <row r="830" spans="3:3" ht="15.75" customHeight="1" x14ac:dyDescent="0.25">
      <c r="C830" s="26"/>
    </row>
    <row r="831" spans="3:3" ht="15.75" customHeight="1" x14ac:dyDescent="0.25">
      <c r="C831" s="26"/>
    </row>
    <row r="832" spans="3:3" ht="15.75" customHeight="1" x14ac:dyDescent="0.25">
      <c r="C832" s="26"/>
    </row>
    <row r="833" spans="3:3" ht="15.75" customHeight="1" x14ac:dyDescent="0.25">
      <c r="C833" s="26"/>
    </row>
    <row r="834" spans="3:3" ht="15.75" customHeight="1" x14ac:dyDescent="0.25">
      <c r="C834" s="26"/>
    </row>
    <row r="835" spans="3:3" ht="15.75" customHeight="1" x14ac:dyDescent="0.25">
      <c r="C835" s="26"/>
    </row>
    <row r="836" spans="3:3" ht="15.75" customHeight="1" x14ac:dyDescent="0.25">
      <c r="C836" s="26"/>
    </row>
    <row r="837" spans="3:3" ht="15.75" customHeight="1" x14ac:dyDescent="0.25">
      <c r="C837" s="26"/>
    </row>
    <row r="838" spans="3:3" ht="15.75" customHeight="1" x14ac:dyDescent="0.25">
      <c r="C838" s="26"/>
    </row>
    <row r="839" spans="3:3" ht="15.75" customHeight="1" x14ac:dyDescent="0.25">
      <c r="C839" s="26"/>
    </row>
    <row r="840" spans="3:3" ht="15.75" customHeight="1" x14ac:dyDescent="0.25">
      <c r="C840" s="26"/>
    </row>
    <row r="841" spans="3:3" ht="15.75" customHeight="1" x14ac:dyDescent="0.25">
      <c r="C841" s="26"/>
    </row>
    <row r="842" spans="3:3" ht="15.75" customHeight="1" x14ac:dyDescent="0.25">
      <c r="C842" s="26"/>
    </row>
    <row r="843" spans="3:3" ht="15.75" customHeight="1" x14ac:dyDescent="0.25">
      <c r="C843" s="26"/>
    </row>
    <row r="844" spans="3:3" ht="15.75" customHeight="1" x14ac:dyDescent="0.25">
      <c r="C844" s="26"/>
    </row>
    <row r="845" spans="3:3" ht="15.75" customHeight="1" x14ac:dyDescent="0.25">
      <c r="C845" s="26"/>
    </row>
    <row r="846" spans="3:3" ht="15.75" customHeight="1" x14ac:dyDescent="0.25">
      <c r="C846" s="26"/>
    </row>
    <row r="847" spans="3:3" ht="15.75" customHeight="1" x14ac:dyDescent="0.25">
      <c r="C847" s="26"/>
    </row>
    <row r="848" spans="3:3" ht="15.75" customHeight="1" x14ac:dyDescent="0.25">
      <c r="C848" s="26"/>
    </row>
    <row r="849" spans="3:3" ht="15.75" customHeight="1" x14ac:dyDescent="0.25">
      <c r="C849" s="26"/>
    </row>
    <row r="850" spans="3:3" ht="15.75" customHeight="1" x14ac:dyDescent="0.25">
      <c r="C850" s="26"/>
    </row>
    <row r="851" spans="3:3" ht="15.75" customHeight="1" x14ac:dyDescent="0.25">
      <c r="C851" s="26"/>
    </row>
    <row r="852" spans="3:3" ht="15.75" customHeight="1" x14ac:dyDescent="0.25">
      <c r="C852" s="26"/>
    </row>
    <row r="853" spans="3:3" ht="15.75" customHeight="1" x14ac:dyDescent="0.25">
      <c r="C853" s="26"/>
    </row>
    <row r="854" spans="3:3" ht="15.75" customHeight="1" x14ac:dyDescent="0.25">
      <c r="C854" s="26"/>
    </row>
    <row r="855" spans="3:3" ht="15.75" customHeight="1" x14ac:dyDescent="0.25">
      <c r="C855" s="26"/>
    </row>
    <row r="856" spans="3:3" ht="15.75" customHeight="1" x14ac:dyDescent="0.25">
      <c r="C856" s="26"/>
    </row>
    <row r="857" spans="3:3" ht="15.75" customHeight="1" x14ac:dyDescent="0.25">
      <c r="C857" s="26"/>
    </row>
    <row r="858" spans="3:3" ht="15.75" customHeight="1" x14ac:dyDescent="0.25">
      <c r="C858" s="26"/>
    </row>
    <row r="859" spans="3:3" ht="15.75" customHeight="1" x14ac:dyDescent="0.25">
      <c r="C859" s="26"/>
    </row>
    <row r="860" spans="3:3" ht="15.75" customHeight="1" x14ac:dyDescent="0.25">
      <c r="C860" s="26"/>
    </row>
    <row r="861" spans="3:3" ht="15.75" customHeight="1" x14ac:dyDescent="0.25">
      <c r="C861" s="26"/>
    </row>
    <row r="862" spans="3:3" ht="15.75" customHeight="1" x14ac:dyDescent="0.25">
      <c r="C862" s="26"/>
    </row>
    <row r="863" spans="3:3" ht="15.75" customHeight="1" x14ac:dyDescent="0.25">
      <c r="C863" s="26"/>
    </row>
    <row r="864" spans="3:3" ht="15.75" customHeight="1" x14ac:dyDescent="0.25">
      <c r="C864" s="26"/>
    </row>
    <row r="865" spans="3:3" ht="15.75" customHeight="1" x14ac:dyDescent="0.25">
      <c r="C865" s="26"/>
    </row>
    <row r="866" spans="3:3" ht="15.75" customHeight="1" x14ac:dyDescent="0.25">
      <c r="C866" s="26"/>
    </row>
    <row r="867" spans="3:3" ht="15.75" customHeight="1" x14ac:dyDescent="0.25">
      <c r="C867" s="26"/>
    </row>
    <row r="868" spans="3:3" ht="15.75" customHeight="1" x14ac:dyDescent="0.25">
      <c r="C868" s="26"/>
    </row>
    <row r="869" spans="3:3" ht="15.75" customHeight="1" x14ac:dyDescent="0.25">
      <c r="C869" s="26"/>
    </row>
    <row r="870" spans="3:3" ht="15.75" customHeight="1" x14ac:dyDescent="0.25">
      <c r="C870" s="26"/>
    </row>
    <row r="871" spans="3:3" ht="15.75" customHeight="1" x14ac:dyDescent="0.25">
      <c r="C871" s="26"/>
    </row>
    <row r="872" spans="3:3" ht="15.75" customHeight="1" x14ac:dyDescent="0.25">
      <c r="C872" s="26"/>
    </row>
    <row r="873" spans="3:3" ht="15.75" customHeight="1" x14ac:dyDescent="0.25">
      <c r="C873" s="26"/>
    </row>
    <row r="874" spans="3:3" ht="15.75" customHeight="1" x14ac:dyDescent="0.25">
      <c r="C874" s="26"/>
    </row>
    <row r="875" spans="3:3" ht="15.75" customHeight="1" x14ac:dyDescent="0.25">
      <c r="C875" s="26"/>
    </row>
    <row r="876" spans="3:3" ht="15.75" customHeight="1" x14ac:dyDescent="0.25">
      <c r="C876" s="26"/>
    </row>
    <row r="877" spans="3:3" ht="15.75" customHeight="1" x14ac:dyDescent="0.25">
      <c r="C877" s="26"/>
    </row>
    <row r="878" spans="3:3" ht="15.75" customHeight="1" x14ac:dyDescent="0.25">
      <c r="C878" s="26"/>
    </row>
    <row r="879" spans="3:3" ht="15.75" customHeight="1" x14ac:dyDescent="0.25">
      <c r="C879" s="26"/>
    </row>
    <row r="880" spans="3:3" ht="15.75" customHeight="1" x14ac:dyDescent="0.25">
      <c r="C880" s="26"/>
    </row>
    <row r="881" spans="3:3" ht="15.75" customHeight="1" x14ac:dyDescent="0.25">
      <c r="C881" s="26"/>
    </row>
    <row r="882" spans="3:3" ht="15.75" customHeight="1" x14ac:dyDescent="0.25">
      <c r="C882" s="26"/>
    </row>
    <row r="883" spans="3:3" ht="15.75" customHeight="1" x14ac:dyDescent="0.25">
      <c r="C883" s="26"/>
    </row>
    <row r="884" spans="3:3" ht="15.75" customHeight="1" x14ac:dyDescent="0.25">
      <c r="C884" s="26"/>
    </row>
    <row r="885" spans="3:3" ht="15.75" customHeight="1" x14ac:dyDescent="0.25">
      <c r="C885" s="26"/>
    </row>
    <row r="886" spans="3:3" ht="15.75" customHeight="1" x14ac:dyDescent="0.25">
      <c r="C886" s="26"/>
    </row>
    <row r="887" spans="3:3" ht="15.75" customHeight="1" x14ac:dyDescent="0.25">
      <c r="C887" s="26"/>
    </row>
    <row r="888" spans="3:3" ht="15.75" customHeight="1" x14ac:dyDescent="0.25">
      <c r="C888" s="26"/>
    </row>
    <row r="889" spans="3:3" ht="15.75" customHeight="1" x14ac:dyDescent="0.25">
      <c r="C889" s="26"/>
    </row>
    <row r="890" spans="3:3" ht="15.75" customHeight="1" x14ac:dyDescent="0.25">
      <c r="C890" s="26"/>
    </row>
    <row r="891" spans="3:3" ht="15.75" customHeight="1" x14ac:dyDescent="0.25">
      <c r="C891" s="26"/>
    </row>
    <row r="892" spans="3:3" ht="15.75" customHeight="1" x14ac:dyDescent="0.25">
      <c r="C892" s="26"/>
    </row>
    <row r="893" spans="3:3" ht="15.75" customHeight="1" x14ac:dyDescent="0.25">
      <c r="C893" s="26"/>
    </row>
    <row r="894" spans="3:3" ht="15.75" customHeight="1" x14ac:dyDescent="0.25">
      <c r="C894" s="26"/>
    </row>
    <row r="895" spans="3:3" ht="15.75" customHeight="1" x14ac:dyDescent="0.25">
      <c r="C895" s="26"/>
    </row>
    <row r="896" spans="3:3" ht="15.75" customHeight="1" x14ac:dyDescent="0.25">
      <c r="C896" s="26"/>
    </row>
    <row r="897" spans="3:3" ht="15.75" customHeight="1" x14ac:dyDescent="0.25">
      <c r="C897" s="26"/>
    </row>
    <row r="898" spans="3:3" ht="15.75" customHeight="1" x14ac:dyDescent="0.25">
      <c r="C898" s="26"/>
    </row>
    <row r="899" spans="3:3" ht="15.75" customHeight="1" x14ac:dyDescent="0.25">
      <c r="C899" s="26"/>
    </row>
    <row r="900" spans="3:3" ht="15.75" customHeight="1" x14ac:dyDescent="0.25">
      <c r="C900" s="26"/>
    </row>
    <row r="901" spans="3:3" ht="15.75" customHeight="1" x14ac:dyDescent="0.25">
      <c r="C901" s="26"/>
    </row>
    <row r="902" spans="3:3" ht="15.75" customHeight="1" x14ac:dyDescent="0.25">
      <c r="C902" s="26"/>
    </row>
    <row r="903" spans="3:3" ht="15.75" customHeight="1" x14ac:dyDescent="0.25">
      <c r="C903" s="26"/>
    </row>
    <row r="904" spans="3:3" ht="15.75" customHeight="1" x14ac:dyDescent="0.25">
      <c r="C904" s="26"/>
    </row>
    <row r="905" spans="3:3" ht="15.75" customHeight="1" x14ac:dyDescent="0.25">
      <c r="C905" s="26"/>
    </row>
    <row r="906" spans="3:3" ht="15.75" customHeight="1" x14ac:dyDescent="0.25">
      <c r="C906" s="26"/>
    </row>
    <row r="907" spans="3:3" ht="15.75" customHeight="1" x14ac:dyDescent="0.25">
      <c r="C907" s="26"/>
    </row>
    <row r="908" spans="3:3" ht="15.75" customHeight="1" x14ac:dyDescent="0.25">
      <c r="C908" s="26"/>
    </row>
    <row r="909" spans="3:3" ht="15.75" customHeight="1" x14ac:dyDescent="0.25">
      <c r="C909" s="26"/>
    </row>
    <row r="910" spans="3:3" ht="15.75" customHeight="1" x14ac:dyDescent="0.25">
      <c r="C910" s="26"/>
    </row>
    <row r="911" spans="3:3" ht="15.75" customHeight="1" x14ac:dyDescent="0.25">
      <c r="C911" s="26"/>
    </row>
    <row r="912" spans="3:3" ht="15.75" customHeight="1" x14ac:dyDescent="0.25">
      <c r="C912" s="26"/>
    </row>
    <row r="913" spans="3:3" ht="15.75" customHeight="1" x14ac:dyDescent="0.25">
      <c r="C913" s="26"/>
    </row>
    <row r="914" spans="3:3" ht="15.75" customHeight="1" x14ac:dyDescent="0.25">
      <c r="C914" s="26"/>
    </row>
    <row r="915" spans="3:3" ht="15.75" customHeight="1" x14ac:dyDescent="0.25">
      <c r="C915" s="26"/>
    </row>
    <row r="916" spans="3:3" ht="15.75" customHeight="1" x14ac:dyDescent="0.25">
      <c r="C916" s="26"/>
    </row>
    <row r="917" spans="3:3" ht="15.75" customHeight="1" x14ac:dyDescent="0.25">
      <c r="C917" s="26"/>
    </row>
    <row r="918" spans="3:3" ht="15.75" customHeight="1" x14ac:dyDescent="0.25">
      <c r="C918" s="26"/>
    </row>
    <row r="919" spans="3:3" ht="15.75" customHeight="1" x14ac:dyDescent="0.25">
      <c r="C919" s="26"/>
    </row>
    <row r="920" spans="3:3" ht="15.75" customHeight="1" x14ac:dyDescent="0.25">
      <c r="C920" s="26"/>
    </row>
    <row r="921" spans="3:3" ht="15.75" customHeight="1" x14ac:dyDescent="0.25">
      <c r="C921" s="26"/>
    </row>
    <row r="922" spans="3:3" ht="15.75" customHeight="1" x14ac:dyDescent="0.25">
      <c r="C922" s="26"/>
    </row>
    <row r="923" spans="3:3" ht="15.75" customHeight="1" x14ac:dyDescent="0.25">
      <c r="C923" s="26"/>
    </row>
    <row r="924" spans="3:3" ht="15.75" customHeight="1" x14ac:dyDescent="0.25">
      <c r="C924" s="26"/>
    </row>
    <row r="925" spans="3:3" ht="15.75" customHeight="1" x14ac:dyDescent="0.25">
      <c r="C925" s="26"/>
    </row>
    <row r="926" spans="3:3" ht="15.75" customHeight="1" x14ac:dyDescent="0.25">
      <c r="C926" s="26"/>
    </row>
    <row r="927" spans="3:3" ht="15.75" customHeight="1" x14ac:dyDescent="0.25">
      <c r="C927" s="26"/>
    </row>
    <row r="928" spans="3:3" ht="15.75" customHeight="1" x14ac:dyDescent="0.25">
      <c r="C928" s="26"/>
    </row>
    <row r="929" spans="3:3" ht="15.75" customHeight="1" x14ac:dyDescent="0.25">
      <c r="C929" s="26"/>
    </row>
    <row r="930" spans="3:3" ht="15.75" customHeight="1" x14ac:dyDescent="0.25">
      <c r="C930" s="26"/>
    </row>
    <row r="931" spans="3:3" ht="15.75" customHeight="1" x14ac:dyDescent="0.25">
      <c r="C931" s="26"/>
    </row>
    <row r="932" spans="3:3" ht="15.75" customHeight="1" x14ac:dyDescent="0.25">
      <c r="C932" s="26"/>
    </row>
    <row r="933" spans="3:3" ht="15.75" customHeight="1" x14ac:dyDescent="0.25">
      <c r="C933" s="26"/>
    </row>
    <row r="934" spans="3:3" ht="15.75" customHeight="1" x14ac:dyDescent="0.25">
      <c r="C934" s="26"/>
    </row>
    <row r="935" spans="3:3" ht="15.75" customHeight="1" x14ac:dyDescent="0.25">
      <c r="C935" s="26"/>
    </row>
    <row r="936" spans="3:3" ht="15.75" customHeight="1" x14ac:dyDescent="0.25">
      <c r="C936" s="26"/>
    </row>
    <row r="937" spans="3:3" ht="15.75" customHeight="1" x14ac:dyDescent="0.25">
      <c r="C937" s="26"/>
    </row>
    <row r="938" spans="3:3" ht="15.75" customHeight="1" x14ac:dyDescent="0.25">
      <c r="C938" s="26"/>
    </row>
    <row r="939" spans="3:3" ht="15.75" customHeight="1" x14ac:dyDescent="0.25">
      <c r="C939" s="26"/>
    </row>
    <row r="940" spans="3:3" ht="15.75" customHeight="1" x14ac:dyDescent="0.25">
      <c r="C940" s="26"/>
    </row>
    <row r="941" spans="3:3" ht="15.75" customHeight="1" x14ac:dyDescent="0.25">
      <c r="C941" s="26"/>
    </row>
    <row r="942" spans="3:3" ht="15.75" customHeight="1" x14ac:dyDescent="0.25">
      <c r="C942" s="26"/>
    </row>
    <row r="943" spans="3:3" ht="15.75" customHeight="1" x14ac:dyDescent="0.25">
      <c r="C943" s="26"/>
    </row>
    <row r="944" spans="3:3" ht="15.75" customHeight="1" x14ac:dyDescent="0.25">
      <c r="C944" s="26"/>
    </row>
    <row r="945" spans="3:3" ht="15.75" customHeight="1" x14ac:dyDescent="0.25">
      <c r="C945" s="26"/>
    </row>
    <row r="946" spans="3:3" ht="15.75" customHeight="1" x14ac:dyDescent="0.25">
      <c r="C946" s="26"/>
    </row>
    <row r="947" spans="3:3" ht="15.75" customHeight="1" x14ac:dyDescent="0.25">
      <c r="C947" s="26"/>
    </row>
    <row r="948" spans="3:3" ht="15.75" customHeight="1" x14ac:dyDescent="0.25">
      <c r="C948" s="26"/>
    </row>
    <row r="949" spans="3:3" ht="15.75" customHeight="1" x14ac:dyDescent="0.25">
      <c r="C949" s="26"/>
    </row>
    <row r="950" spans="3:3" ht="15.75" customHeight="1" x14ac:dyDescent="0.25">
      <c r="C950" s="26"/>
    </row>
    <row r="951" spans="3:3" ht="15.75" customHeight="1" x14ac:dyDescent="0.25">
      <c r="C951" s="26"/>
    </row>
    <row r="952" spans="3:3" ht="15.75" customHeight="1" x14ac:dyDescent="0.25">
      <c r="C952" s="26"/>
    </row>
    <row r="953" spans="3:3" ht="15.75" customHeight="1" x14ac:dyDescent="0.25">
      <c r="C953" s="26"/>
    </row>
    <row r="954" spans="3:3" ht="15.75" customHeight="1" x14ac:dyDescent="0.25">
      <c r="C954" s="26"/>
    </row>
    <row r="955" spans="3:3" ht="15.75" customHeight="1" x14ac:dyDescent="0.25">
      <c r="C955" s="26"/>
    </row>
    <row r="956" spans="3:3" ht="15.75" customHeight="1" x14ac:dyDescent="0.25">
      <c r="C956" s="26"/>
    </row>
    <row r="957" spans="3:3" ht="15.75" customHeight="1" x14ac:dyDescent="0.25">
      <c r="C957" s="26"/>
    </row>
    <row r="958" spans="3:3" ht="15.75" customHeight="1" x14ac:dyDescent="0.25">
      <c r="C958" s="26"/>
    </row>
    <row r="959" spans="3:3" ht="15.75" customHeight="1" x14ac:dyDescent="0.25">
      <c r="C959" s="26"/>
    </row>
    <row r="960" spans="3:3" ht="15.75" customHeight="1" x14ac:dyDescent="0.25">
      <c r="C960" s="26"/>
    </row>
    <row r="961" spans="3:3" ht="15.75" customHeight="1" x14ac:dyDescent="0.25">
      <c r="C961" s="26"/>
    </row>
    <row r="962" spans="3:3" ht="15.75" customHeight="1" x14ac:dyDescent="0.25">
      <c r="C962" s="26"/>
    </row>
    <row r="963" spans="3:3" ht="15.75" customHeight="1" x14ac:dyDescent="0.25">
      <c r="C963" s="26"/>
    </row>
    <row r="964" spans="3:3" ht="15.75" customHeight="1" x14ac:dyDescent="0.25">
      <c r="C964" s="26"/>
    </row>
    <row r="965" spans="3:3" ht="15.75" customHeight="1" x14ac:dyDescent="0.25">
      <c r="C965" s="26"/>
    </row>
    <row r="966" spans="3:3" ht="15.75" customHeight="1" x14ac:dyDescent="0.25">
      <c r="C966" s="26"/>
    </row>
    <row r="967" spans="3:3" ht="15.75" customHeight="1" x14ac:dyDescent="0.25">
      <c r="C967" s="26"/>
    </row>
    <row r="968" spans="3:3" ht="15.75" customHeight="1" x14ac:dyDescent="0.25">
      <c r="C968" s="26"/>
    </row>
    <row r="969" spans="3:3" ht="15.75" customHeight="1" x14ac:dyDescent="0.25">
      <c r="C969" s="26"/>
    </row>
    <row r="970" spans="3:3" ht="15.75" customHeight="1" x14ac:dyDescent="0.25">
      <c r="C970" s="26"/>
    </row>
    <row r="971" spans="3:3" ht="15.75" customHeight="1" x14ac:dyDescent="0.25">
      <c r="C971" s="26"/>
    </row>
    <row r="972" spans="3:3" ht="15.75" customHeight="1" x14ac:dyDescent="0.25">
      <c r="C972" s="26"/>
    </row>
    <row r="973" spans="3:3" ht="15.75" customHeight="1" x14ac:dyDescent="0.25">
      <c r="C973" s="26"/>
    </row>
    <row r="974" spans="3:3" ht="15.75" customHeight="1" x14ac:dyDescent="0.25">
      <c r="C974" s="26"/>
    </row>
    <row r="975" spans="3:3" ht="15.75" customHeight="1" x14ac:dyDescent="0.25">
      <c r="C975" s="26"/>
    </row>
    <row r="976" spans="3:3" ht="15.75" customHeight="1" x14ac:dyDescent="0.25">
      <c r="C976" s="26"/>
    </row>
    <row r="977" spans="3:3" ht="15.75" customHeight="1" x14ac:dyDescent="0.25">
      <c r="C977" s="26"/>
    </row>
    <row r="978" spans="3:3" ht="15.75" customHeight="1" x14ac:dyDescent="0.25">
      <c r="C978" s="26"/>
    </row>
    <row r="979" spans="3:3" ht="15.75" customHeight="1" x14ac:dyDescent="0.25">
      <c r="C979" s="26"/>
    </row>
    <row r="980" spans="3:3" ht="15.75" customHeight="1" x14ac:dyDescent="0.25">
      <c r="C980" s="26"/>
    </row>
    <row r="981" spans="3:3" ht="15.75" customHeight="1" x14ac:dyDescent="0.25">
      <c r="C981" s="26"/>
    </row>
    <row r="982" spans="3:3" ht="15.75" customHeight="1" x14ac:dyDescent="0.25">
      <c r="C982" s="26"/>
    </row>
    <row r="983" spans="3:3" ht="15.75" customHeight="1" x14ac:dyDescent="0.25">
      <c r="C983" s="26"/>
    </row>
    <row r="984" spans="3:3" ht="15.75" customHeight="1" x14ac:dyDescent="0.25">
      <c r="C984" s="26"/>
    </row>
    <row r="985" spans="3:3" ht="15.75" customHeight="1" x14ac:dyDescent="0.25">
      <c r="C985" s="26"/>
    </row>
    <row r="986" spans="3:3" ht="15.75" customHeight="1" x14ac:dyDescent="0.25">
      <c r="C986" s="26"/>
    </row>
    <row r="987" spans="3:3" ht="15.75" customHeight="1" x14ac:dyDescent="0.25">
      <c r="C987" s="26"/>
    </row>
    <row r="988" spans="3:3" ht="15.75" customHeight="1" x14ac:dyDescent="0.25">
      <c r="C988" s="26"/>
    </row>
    <row r="989" spans="3:3" ht="15.75" customHeight="1" x14ac:dyDescent="0.25">
      <c r="C989" s="26"/>
    </row>
    <row r="990" spans="3:3" ht="15.75" customHeight="1" x14ac:dyDescent="0.25">
      <c r="C990" s="26"/>
    </row>
    <row r="991" spans="3:3" ht="15.75" customHeight="1" x14ac:dyDescent="0.25">
      <c r="C991" s="26"/>
    </row>
    <row r="992" spans="3:3" ht="15.75" customHeight="1" x14ac:dyDescent="0.25">
      <c r="C992" s="26"/>
    </row>
    <row r="993" spans="3:3" ht="15.75" customHeight="1" x14ac:dyDescent="0.25">
      <c r="C993" s="26"/>
    </row>
    <row r="994" spans="3:3" ht="15.75" customHeight="1" x14ac:dyDescent="0.25">
      <c r="C994" s="26"/>
    </row>
    <row r="995" spans="3:3" ht="15.75" customHeight="1" x14ac:dyDescent="0.25">
      <c r="C995" s="26"/>
    </row>
    <row r="996" spans="3:3" ht="15.75" customHeight="1" x14ac:dyDescent="0.25">
      <c r="C996" s="26"/>
    </row>
    <row r="997" spans="3:3" ht="15.75" customHeight="1" x14ac:dyDescent="0.25">
      <c r="C997" s="26"/>
    </row>
    <row r="998" spans="3:3" ht="15.75" customHeight="1" x14ac:dyDescent="0.25">
      <c r="C998" s="26"/>
    </row>
    <row r="999" spans="3:3" ht="15.75" customHeight="1" x14ac:dyDescent="0.25">
      <c r="C999" s="26"/>
    </row>
    <row r="1000" spans="3:3" ht="15.75" customHeight="1" x14ac:dyDescent="0.25">
      <c r="C1000" s="26"/>
    </row>
  </sheetData>
  <mergeCells count="63">
    <mergeCell ref="C48:C49"/>
    <mergeCell ref="Z5:AC5"/>
    <mergeCell ref="AD5:AG5"/>
    <mergeCell ref="C9:C11"/>
    <mergeCell ref="B12:B51"/>
    <mergeCell ref="E14:H14"/>
    <mergeCell ref="F17:G17"/>
    <mergeCell ref="F18:G18"/>
    <mergeCell ref="C30:C31"/>
    <mergeCell ref="I30:I31"/>
    <mergeCell ref="F34:G34"/>
    <mergeCell ref="H34:I34"/>
    <mergeCell ref="C35:C36"/>
    <mergeCell ref="C37:C38"/>
    <mergeCell ref="E37:E38"/>
    <mergeCell ref="C40:C41"/>
    <mergeCell ref="O42:P42"/>
    <mergeCell ref="O43:P43"/>
    <mergeCell ref="Q42:R42"/>
    <mergeCell ref="Q43:R43"/>
    <mergeCell ref="C45:C46"/>
    <mergeCell ref="I40:I43"/>
    <mergeCell ref="J40:J41"/>
    <mergeCell ref="J42:J43"/>
    <mergeCell ref="K40:M40"/>
    <mergeCell ref="N40:O40"/>
    <mergeCell ref="K41:M41"/>
    <mergeCell ref="N41:O41"/>
    <mergeCell ref="C33:C34"/>
    <mergeCell ref="E33:E36"/>
    <mergeCell ref="F33:G33"/>
    <mergeCell ref="H33:I33"/>
    <mergeCell ref="C42:C43"/>
    <mergeCell ref="C28:C29"/>
    <mergeCell ref="E28:E29"/>
    <mergeCell ref="J30:K30"/>
    <mergeCell ref="M30:N30"/>
    <mergeCell ref="J31:K31"/>
    <mergeCell ref="M31:N31"/>
    <mergeCell ref="H26:I26"/>
    <mergeCell ref="C23:C24"/>
    <mergeCell ref="F23:G23"/>
    <mergeCell ref="F24:G24"/>
    <mergeCell ref="F27:G27"/>
    <mergeCell ref="H27:I27"/>
    <mergeCell ref="C14:C18"/>
    <mergeCell ref="C20:C21"/>
    <mergeCell ref="C26:C27"/>
    <mergeCell ref="E26:E27"/>
    <mergeCell ref="F26:G26"/>
    <mergeCell ref="BB5:BE5"/>
    <mergeCell ref="E3:M3"/>
    <mergeCell ref="N3:BE3"/>
    <mergeCell ref="E5:H5"/>
    <mergeCell ref="I5:M5"/>
    <mergeCell ref="N5:Q5"/>
    <mergeCell ref="R5:U5"/>
    <mergeCell ref="V5:Y5"/>
    <mergeCell ref="AH5:AK5"/>
    <mergeCell ref="AL5:AO5"/>
    <mergeCell ref="AP5:AS5"/>
    <mergeCell ref="AT5:AW5"/>
    <mergeCell ref="AX5:BA5"/>
  </mergeCells>
  <pageMargins left="0.25" right="0.25" top="0.75" bottom="0.75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CJ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14.42578125" defaultRowHeight="15" customHeight="1" x14ac:dyDescent="0.25"/>
  <cols>
    <col min="1" max="1" width="2.7109375" customWidth="1"/>
    <col min="2" max="2" width="6.28515625" customWidth="1"/>
    <col min="3" max="3" width="44.140625" customWidth="1"/>
    <col min="4" max="4" width="10.42578125" customWidth="1"/>
    <col min="5" max="24" width="30.7109375" customWidth="1"/>
    <col min="25" max="25" width="31.42578125" customWidth="1"/>
    <col min="26" max="41" width="30.7109375" customWidth="1"/>
    <col min="42" max="42" width="31.7109375" customWidth="1"/>
    <col min="43" max="65" width="30.7109375" customWidth="1"/>
  </cols>
  <sheetData>
    <row r="1" spans="1:79" ht="14.25" customHeight="1" x14ac:dyDescent="0.25">
      <c r="A1" s="19"/>
      <c r="B1" s="19"/>
      <c r="C1" s="26"/>
      <c r="D1" s="26"/>
      <c r="BH1" s="74"/>
    </row>
    <row r="2" spans="1:79" ht="14.25" customHeight="1" x14ac:dyDescent="0.25">
      <c r="A2" s="27"/>
      <c r="B2" s="27"/>
      <c r="C2" s="27"/>
      <c r="D2" s="26"/>
      <c r="BH2" s="74"/>
    </row>
    <row r="3" spans="1:79" ht="106.5" customHeight="1" x14ac:dyDescent="0.25">
      <c r="A3" s="27"/>
      <c r="B3" s="27"/>
      <c r="C3" s="27"/>
      <c r="D3" s="26"/>
      <c r="E3" s="28" t="s">
        <v>53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37"/>
      <c r="BH3" s="74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</row>
    <row r="4" spans="1:79" ht="9.75" customHeight="1" x14ac:dyDescent="0.25">
      <c r="A4" s="27"/>
      <c r="B4" s="27"/>
      <c r="C4" s="27"/>
      <c r="D4" s="26"/>
      <c r="BH4" s="74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spans="1:79" ht="57.75" customHeight="1" x14ac:dyDescent="0.25">
      <c r="A5" s="27"/>
      <c r="B5" s="27"/>
      <c r="C5" s="27"/>
      <c r="D5" s="27"/>
      <c r="E5" s="575" t="s">
        <v>58</v>
      </c>
      <c r="F5" s="568"/>
      <c r="G5" s="568"/>
      <c r="H5" s="568"/>
      <c r="I5" s="569"/>
      <c r="J5" s="575" t="s">
        <v>59</v>
      </c>
      <c r="K5" s="568"/>
      <c r="L5" s="568"/>
      <c r="M5" s="569"/>
      <c r="N5" s="575" t="s">
        <v>1</v>
      </c>
      <c r="O5" s="568"/>
      <c r="P5" s="568"/>
      <c r="Q5" s="569"/>
      <c r="R5" s="575" t="s">
        <v>19</v>
      </c>
      <c r="S5" s="568"/>
      <c r="T5" s="568"/>
      <c r="U5" s="569"/>
      <c r="V5" s="575" t="s">
        <v>25</v>
      </c>
      <c r="W5" s="568"/>
      <c r="X5" s="568"/>
      <c r="Y5" s="569"/>
      <c r="Z5" s="575" t="s">
        <v>26</v>
      </c>
      <c r="AA5" s="568"/>
      <c r="AB5" s="568"/>
      <c r="AC5" s="569"/>
      <c r="AD5" s="575" t="s">
        <v>27</v>
      </c>
      <c r="AE5" s="568"/>
      <c r="AF5" s="568"/>
      <c r="AG5" s="569"/>
      <c r="AH5" s="575" t="s">
        <v>54</v>
      </c>
      <c r="AI5" s="568"/>
      <c r="AJ5" s="568"/>
      <c r="AK5" s="569"/>
      <c r="AL5" s="575" t="s">
        <v>60</v>
      </c>
      <c r="AM5" s="568"/>
      <c r="AN5" s="568"/>
      <c r="AO5" s="569"/>
      <c r="AP5" s="575" t="s">
        <v>55</v>
      </c>
      <c r="AQ5" s="568"/>
      <c r="AR5" s="568"/>
      <c r="AS5" s="569"/>
      <c r="AT5" s="575" t="s">
        <v>56</v>
      </c>
      <c r="AU5" s="568"/>
      <c r="AV5" s="568"/>
      <c r="AW5" s="569"/>
      <c r="AX5" s="575" t="s">
        <v>57</v>
      </c>
      <c r="AY5" s="568"/>
      <c r="AZ5" s="568"/>
      <c r="BA5" s="569"/>
      <c r="BB5" s="575" t="s">
        <v>58</v>
      </c>
      <c r="BC5" s="568"/>
      <c r="BD5" s="568"/>
      <c r="BE5" s="569"/>
      <c r="BF5" s="575" t="s">
        <v>59</v>
      </c>
      <c r="BG5" s="568"/>
      <c r="BH5" s="568"/>
      <c r="BI5" s="569"/>
      <c r="BJ5" s="575" t="s">
        <v>1</v>
      </c>
      <c r="BK5" s="568"/>
      <c r="BL5" s="568"/>
      <c r="BM5" s="56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spans="1:79" ht="9.75" customHeight="1" x14ac:dyDescent="0.25">
      <c r="A6" s="27"/>
      <c r="B6" s="27"/>
      <c r="C6" s="27"/>
      <c r="D6" s="27"/>
      <c r="BH6" s="74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</row>
    <row r="7" spans="1:79" ht="42" customHeight="1" x14ac:dyDescent="0.25">
      <c r="A7" s="27"/>
      <c r="B7" s="27"/>
      <c r="C7" s="27"/>
      <c r="D7" s="27"/>
      <c r="E7" s="4" t="s">
        <v>31</v>
      </c>
      <c r="F7" s="12" t="s">
        <v>32</v>
      </c>
      <c r="G7" s="12" t="s">
        <v>29</v>
      </c>
      <c r="H7" s="12" t="s">
        <v>30</v>
      </c>
      <c r="I7" s="12" t="s">
        <v>51</v>
      </c>
      <c r="J7" s="12" t="s">
        <v>31</v>
      </c>
      <c r="K7" s="12" t="s">
        <v>32</v>
      </c>
      <c r="L7" s="12" t="s">
        <v>29</v>
      </c>
      <c r="M7" s="12" t="s">
        <v>30</v>
      </c>
      <c r="N7" s="12" t="s">
        <v>31</v>
      </c>
      <c r="O7" s="12" t="s">
        <v>32</v>
      </c>
      <c r="P7" s="12" t="s">
        <v>29</v>
      </c>
      <c r="Q7" s="12" t="s">
        <v>30</v>
      </c>
      <c r="R7" s="12" t="s">
        <v>31</v>
      </c>
      <c r="S7" s="12" t="s">
        <v>32</v>
      </c>
      <c r="T7" s="12" t="s">
        <v>29</v>
      </c>
      <c r="U7" s="12" t="s">
        <v>30</v>
      </c>
      <c r="V7" s="12" t="s">
        <v>31</v>
      </c>
      <c r="W7" s="12" t="s">
        <v>32</v>
      </c>
      <c r="X7" s="12" t="s">
        <v>29</v>
      </c>
      <c r="Y7" s="12" t="s">
        <v>30</v>
      </c>
      <c r="Z7" s="12" t="s">
        <v>31</v>
      </c>
      <c r="AA7" s="12" t="s">
        <v>32</v>
      </c>
      <c r="AB7" s="12" t="s">
        <v>29</v>
      </c>
      <c r="AC7" s="12" t="s">
        <v>30</v>
      </c>
      <c r="AD7" s="12" t="s">
        <v>31</v>
      </c>
      <c r="AE7" s="12" t="s">
        <v>32</v>
      </c>
      <c r="AF7" s="12" t="s">
        <v>29</v>
      </c>
      <c r="AG7" s="12" t="s">
        <v>30</v>
      </c>
      <c r="AH7" s="12" t="s">
        <v>31</v>
      </c>
      <c r="AI7" s="12" t="s">
        <v>32</v>
      </c>
      <c r="AJ7" s="12" t="s">
        <v>29</v>
      </c>
      <c r="AK7" s="12" t="s">
        <v>30</v>
      </c>
      <c r="AL7" s="12" t="s">
        <v>31</v>
      </c>
      <c r="AM7" s="12" t="s">
        <v>32</v>
      </c>
      <c r="AN7" s="12" t="s">
        <v>29</v>
      </c>
      <c r="AO7" s="12" t="s">
        <v>30</v>
      </c>
      <c r="BH7" s="74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</row>
    <row r="8" spans="1:79" ht="42" hidden="1" customHeight="1" x14ac:dyDescent="0.25">
      <c r="C8" s="32"/>
      <c r="D8" s="27"/>
      <c r="E8" s="1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BH8" s="74"/>
    </row>
    <row r="9" spans="1:79" ht="165" hidden="1" customHeight="1" x14ac:dyDescent="0.25">
      <c r="C9" s="34" t="s">
        <v>69</v>
      </c>
      <c r="D9" s="26"/>
      <c r="E9" s="36" t="s">
        <v>70</v>
      </c>
      <c r="G9" s="579" t="s">
        <v>71</v>
      </c>
      <c r="H9" s="580"/>
      <c r="I9" s="581" t="s">
        <v>72</v>
      </c>
      <c r="J9" s="572"/>
      <c r="K9" s="36" t="s">
        <v>70</v>
      </c>
      <c r="L9" s="35"/>
      <c r="M9" s="36" t="s">
        <v>70</v>
      </c>
      <c r="N9" s="37" t="s">
        <v>73</v>
      </c>
      <c r="O9" s="36" t="s">
        <v>70</v>
      </c>
      <c r="Q9" s="36" t="s">
        <v>70</v>
      </c>
      <c r="S9" s="36" t="s">
        <v>70</v>
      </c>
      <c r="U9" s="36" t="s">
        <v>70</v>
      </c>
      <c r="W9" s="36" t="s">
        <v>70</v>
      </c>
      <c r="X9" s="37" t="s">
        <v>74</v>
      </c>
      <c r="Y9" s="36" t="s">
        <v>70</v>
      </c>
      <c r="Z9" s="37" t="s">
        <v>75</v>
      </c>
      <c r="AA9" s="36" t="s">
        <v>70</v>
      </c>
      <c r="AC9" s="36" t="s">
        <v>70</v>
      </c>
      <c r="AE9" s="36" t="s">
        <v>70</v>
      </c>
      <c r="AG9" s="36" t="s">
        <v>70</v>
      </c>
      <c r="AI9" s="36" t="s">
        <v>70</v>
      </c>
      <c r="AK9" s="36" t="s">
        <v>70</v>
      </c>
      <c r="AM9" s="36" t="s">
        <v>70</v>
      </c>
      <c r="AO9" s="36" t="s">
        <v>70</v>
      </c>
      <c r="AQ9" s="36" t="s">
        <v>70</v>
      </c>
      <c r="AS9" s="36" t="s">
        <v>70</v>
      </c>
      <c r="AU9" s="36" t="s">
        <v>70</v>
      </c>
      <c r="AW9" s="36" t="s">
        <v>70</v>
      </c>
      <c r="AY9" s="36" t="s">
        <v>70</v>
      </c>
      <c r="BA9" s="36" t="s">
        <v>70</v>
      </c>
      <c r="BC9" s="36" t="s">
        <v>70</v>
      </c>
      <c r="BE9" s="36" t="s">
        <v>70</v>
      </c>
      <c r="BH9" s="74"/>
    </row>
    <row r="10" spans="1:79" ht="30.75" customHeight="1" x14ac:dyDescent="0.25">
      <c r="B10" s="19"/>
      <c r="C10" s="13"/>
      <c r="D10" s="26"/>
      <c r="AA10" s="38"/>
      <c r="AB10" s="2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H10" s="74"/>
    </row>
    <row r="11" spans="1:79" ht="90" customHeight="1" x14ac:dyDescent="0.25">
      <c r="B11" s="19"/>
      <c r="C11" s="766" t="s">
        <v>76</v>
      </c>
      <c r="D11" s="239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763" t="s">
        <v>346</v>
      </c>
      <c r="AC11" s="649"/>
      <c r="AD11" s="649"/>
      <c r="AE11" s="649"/>
      <c r="AF11" s="649"/>
      <c r="AG11" s="649"/>
      <c r="AH11" s="649"/>
      <c r="AI11" s="639"/>
      <c r="AJ11" s="63"/>
      <c r="AK11" s="63"/>
      <c r="AL11" s="63"/>
      <c r="AM11" s="63"/>
      <c r="AN11" s="63"/>
      <c r="AO11" s="63"/>
      <c r="AP11" s="240"/>
      <c r="AQ11" s="240"/>
      <c r="AR11" s="240"/>
      <c r="AS11" s="240"/>
      <c r="AT11" s="240"/>
      <c r="AU11" s="240"/>
      <c r="AV11" s="240"/>
      <c r="AW11" s="240"/>
      <c r="AX11" s="240"/>
      <c r="AY11" s="240"/>
      <c r="AZ11" s="240"/>
      <c r="BA11" s="240"/>
      <c r="BF11" s="63"/>
      <c r="BG11" s="63"/>
      <c r="BH11" s="241"/>
      <c r="BI11" s="63"/>
      <c r="BJ11" s="63"/>
      <c r="BK11" s="63"/>
      <c r="BL11" s="63"/>
      <c r="BM11" s="122"/>
    </row>
    <row r="12" spans="1:79" ht="90" customHeight="1" x14ac:dyDescent="0.25">
      <c r="B12" s="19"/>
      <c r="C12" s="624"/>
      <c r="D12" s="26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764" t="s">
        <v>347</v>
      </c>
      <c r="AC12" s="574"/>
      <c r="AD12" s="574"/>
      <c r="AE12" s="574"/>
      <c r="AF12" s="574"/>
      <c r="AG12" s="574"/>
      <c r="AH12" s="574"/>
      <c r="AI12" s="573"/>
      <c r="AJ12" s="19"/>
      <c r="AK12" s="19"/>
      <c r="AL12" s="767" t="s">
        <v>52</v>
      </c>
      <c r="AM12" s="574"/>
      <c r="AN12" s="574"/>
      <c r="AO12" s="573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E12" s="19"/>
      <c r="BF12" s="19"/>
      <c r="BG12" s="19"/>
      <c r="BH12" s="74"/>
      <c r="BI12" s="19"/>
      <c r="BJ12" s="19"/>
      <c r="BK12" s="19"/>
      <c r="BL12" s="19"/>
      <c r="BM12" s="21"/>
    </row>
    <row r="13" spans="1:79" ht="90" customHeight="1" x14ac:dyDescent="0.25">
      <c r="B13" s="19"/>
      <c r="C13" s="593"/>
      <c r="D13" s="242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756" t="s">
        <v>45</v>
      </c>
      <c r="AJ13" s="574"/>
      <c r="AK13" s="574"/>
      <c r="AL13" s="573"/>
      <c r="AM13" s="24"/>
      <c r="AN13" s="24"/>
      <c r="AO13" s="24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"/>
      <c r="BF13" s="24"/>
      <c r="BG13" s="24"/>
      <c r="BH13" s="244"/>
      <c r="BI13" s="24"/>
      <c r="BJ13" s="24"/>
      <c r="BK13" s="24"/>
      <c r="BL13" s="24"/>
      <c r="BM13" s="25"/>
    </row>
    <row r="14" spans="1:79" ht="45" customHeight="1" x14ac:dyDescent="0.25">
      <c r="B14" s="19"/>
      <c r="C14" s="19"/>
      <c r="D14" s="26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38"/>
      <c r="AQ14" s="38"/>
      <c r="AT14" s="245"/>
      <c r="BH14" s="74"/>
    </row>
    <row r="15" spans="1:79" ht="90" customHeight="1" x14ac:dyDescent="0.25">
      <c r="B15" s="19"/>
      <c r="C15" s="592" t="s">
        <v>77</v>
      </c>
      <c r="D15" s="239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240"/>
      <c r="AQ15" s="63"/>
      <c r="AR15" s="63"/>
      <c r="AS15" s="63"/>
      <c r="AT15" s="762" t="s">
        <v>346</v>
      </c>
      <c r="AU15" s="649"/>
      <c r="AV15" s="649"/>
      <c r="AW15" s="649"/>
      <c r="AX15" s="649"/>
      <c r="AY15" s="649"/>
      <c r="AZ15" s="649"/>
      <c r="BA15" s="639"/>
      <c r="BB15" s="240"/>
      <c r="BC15" s="240"/>
      <c r="BD15" s="240"/>
      <c r="BE15" s="63"/>
      <c r="BF15" s="63"/>
      <c r="BG15" s="63"/>
      <c r="BH15" s="241"/>
      <c r="BI15" s="63"/>
      <c r="BJ15" s="63"/>
      <c r="BK15" s="63"/>
      <c r="BL15" s="63"/>
      <c r="BM15" s="122"/>
    </row>
    <row r="16" spans="1:79" ht="90" customHeight="1" x14ac:dyDescent="0.25">
      <c r="B16" s="19"/>
      <c r="C16" s="624"/>
      <c r="D16" s="26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M16" s="19"/>
      <c r="AN16" s="19"/>
      <c r="AO16" s="19"/>
      <c r="AP16" s="38"/>
      <c r="AQ16" s="19"/>
      <c r="AR16" s="19"/>
      <c r="AS16" s="19"/>
      <c r="AT16" s="757" t="s">
        <v>347</v>
      </c>
      <c r="AU16" s="574"/>
      <c r="AV16" s="574"/>
      <c r="AW16" s="574"/>
      <c r="AX16" s="574"/>
      <c r="AY16" s="574"/>
      <c r="AZ16" s="574"/>
      <c r="BA16" s="573"/>
      <c r="BB16" s="19"/>
      <c r="BC16" s="19"/>
      <c r="BD16" s="755" t="s">
        <v>52</v>
      </c>
      <c r="BE16" s="754"/>
      <c r="BF16" s="754"/>
      <c r="BG16" s="719"/>
      <c r="BH16" s="74"/>
      <c r="BI16" s="19"/>
      <c r="BJ16" s="19"/>
      <c r="BK16" s="19"/>
      <c r="BL16" s="19"/>
      <c r="BM16" s="21"/>
    </row>
    <row r="17" spans="2:66" ht="90" customHeight="1" x14ac:dyDescent="0.25">
      <c r="B17" s="19"/>
      <c r="C17" s="593"/>
      <c r="D17" s="242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3"/>
      <c r="AQ17" s="24"/>
      <c r="AR17" s="24"/>
      <c r="AS17" s="24"/>
      <c r="AT17" s="243"/>
      <c r="AU17" s="243"/>
      <c r="AV17" s="243"/>
      <c r="AW17" s="243"/>
      <c r="AX17" s="243"/>
      <c r="AY17" s="243"/>
      <c r="AZ17" s="243"/>
      <c r="BA17" s="756" t="s">
        <v>45</v>
      </c>
      <c r="BB17" s="574"/>
      <c r="BC17" s="574"/>
      <c r="BD17" s="573"/>
      <c r="BE17" s="24"/>
      <c r="BF17" s="24"/>
      <c r="BG17" s="24"/>
      <c r="BH17" s="244"/>
      <c r="BI17" s="24"/>
      <c r="BJ17" s="24"/>
      <c r="BK17" s="24"/>
      <c r="BL17" s="24"/>
      <c r="BM17" s="25"/>
    </row>
    <row r="18" spans="2:66" ht="33" customHeight="1" x14ac:dyDescent="0.25">
      <c r="B18" s="19"/>
      <c r="C18" s="19"/>
      <c r="D18" s="2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38"/>
      <c r="AP18" s="38"/>
      <c r="AQ18" s="38"/>
      <c r="AR18" s="245"/>
      <c r="AS18" s="38"/>
      <c r="AT18" s="38"/>
      <c r="BH18" s="74"/>
    </row>
    <row r="19" spans="2:66" ht="90" customHeight="1" x14ac:dyDescent="0.25">
      <c r="B19" s="19"/>
      <c r="C19" s="592" t="s">
        <v>348</v>
      </c>
      <c r="D19" s="239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751" t="s">
        <v>346</v>
      </c>
      <c r="AS19" s="649"/>
      <c r="AT19" s="649"/>
      <c r="AU19" s="649"/>
      <c r="AV19" s="649"/>
      <c r="AW19" s="649"/>
      <c r="AX19" s="649"/>
      <c r="AY19" s="639"/>
      <c r="AZ19" s="63"/>
      <c r="BA19" s="63"/>
      <c r="BB19" s="63"/>
      <c r="BC19" s="63"/>
      <c r="BD19" s="63"/>
      <c r="BE19" s="63"/>
      <c r="BF19" s="63"/>
      <c r="BG19" s="63"/>
      <c r="BH19" s="241"/>
      <c r="BI19" s="63"/>
      <c r="BJ19" s="63"/>
      <c r="BK19" s="63"/>
      <c r="BL19" s="63"/>
      <c r="BM19" s="122"/>
    </row>
    <row r="20" spans="2:66" ht="90" customHeight="1" x14ac:dyDescent="0.25">
      <c r="B20" s="19"/>
      <c r="C20" s="624"/>
      <c r="D20" s="26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752" t="s">
        <v>347</v>
      </c>
      <c r="AS20" s="574"/>
      <c r="AT20" s="574"/>
      <c r="AU20" s="574"/>
      <c r="AV20" s="574"/>
      <c r="AW20" s="574"/>
      <c r="AX20" s="574"/>
      <c r="AY20" s="573"/>
      <c r="AZ20" s="19"/>
      <c r="BA20" s="19"/>
      <c r="BB20" s="753" t="s">
        <v>52</v>
      </c>
      <c r="BC20" s="754"/>
      <c r="BD20" s="754"/>
      <c r="BE20" s="719"/>
      <c r="BF20" s="19"/>
      <c r="BG20" s="19"/>
      <c r="BH20" s="74"/>
      <c r="BI20" s="19"/>
      <c r="BJ20" s="19"/>
      <c r="BK20" s="19"/>
      <c r="BL20" s="19"/>
      <c r="BM20" s="21"/>
    </row>
    <row r="21" spans="2:66" ht="90" customHeight="1" x14ac:dyDescent="0.25">
      <c r="B21" s="19"/>
      <c r="C21" s="593"/>
      <c r="D21" s="242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3"/>
      <c r="AS21" s="243"/>
      <c r="AT21" s="243"/>
      <c r="AU21" s="243"/>
      <c r="AV21" s="243"/>
      <c r="AW21" s="243"/>
      <c r="AX21" s="243"/>
      <c r="AY21" s="756" t="s">
        <v>45</v>
      </c>
      <c r="AZ21" s="574"/>
      <c r="BA21" s="574"/>
      <c r="BB21" s="573"/>
      <c r="BC21" s="24"/>
      <c r="BD21" s="24"/>
      <c r="BE21" s="24"/>
      <c r="BF21" s="24"/>
      <c r="BG21" s="24"/>
      <c r="BH21" s="244"/>
      <c r="BI21" s="24"/>
      <c r="BJ21" s="24"/>
      <c r="BK21" s="24"/>
      <c r="BL21" s="24"/>
      <c r="BM21" s="25"/>
    </row>
    <row r="22" spans="2:66" ht="36" customHeight="1" x14ac:dyDescent="0.25">
      <c r="B22" s="19"/>
      <c r="C22" s="19"/>
      <c r="D22" s="26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K22" s="19"/>
      <c r="AL22" s="19"/>
      <c r="AM22" s="19"/>
      <c r="AN22" s="19"/>
      <c r="AR22" s="245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</row>
    <row r="23" spans="2:66" ht="90" customHeight="1" x14ac:dyDescent="0.25">
      <c r="B23" s="19"/>
      <c r="C23" s="592" t="s">
        <v>349</v>
      </c>
      <c r="D23" s="239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763" t="s">
        <v>346</v>
      </c>
      <c r="AS23" s="649"/>
      <c r="AT23" s="649"/>
      <c r="AU23" s="649"/>
      <c r="AV23" s="649"/>
      <c r="AW23" s="649"/>
      <c r="AX23" s="649"/>
      <c r="AY23" s="639"/>
      <c r="AZ23" s="63"/>
      <c r="BA23" s="63"/>
      <c r="BB23" s="63"/>
      <c r="BC23" s="63"/>
      <c r="BD23" s="63"/>
      <c r="BE23" s="63"/>
      <c r="BF23" s="63"/>
      <c r="BG23" s="63"/>
      <c r="BH23" s="241"/>
      <c r="BI23" s="63"/>
      <c r="BJ23" s="63"/>
      <c r="BK23" s="63"/>
      <c r="BL23" s="63"/>
      <c r="BM23" s="122"/>
    </row>
    <row r="24" spans="2:66" ht="90" customHeight="1" x14ac:dyDescent="0.25">
      <c r="B24" s="19"/>
      <c r="C24" s="624"/>
      <c r="D24" s="26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764" t="s">
        <v>347</v>
      </c>
      <c r="AS24" s="574"/>
      <c r="AT24" s="574"/>
      <c r="AU24" s="574"/>
      <c r="AV24" s="574"/>
      <c r="AW24" s="574"/>
      <c r="AX24" s="574"/>
      <c r="AY24" s="573"/>
      <c r="AZ24" s="19"/>
      <c r="BA24" s="19"/>
      <c r="BB24" s="755" t="s">
        <v>52</v>
      </c>
      <c r="BC24" s="754"/>
      <c r="BD24" s="754"/>
      <c r="BE24" s="719"/>
      <c r="BF24" s="19"/>
      <c r="BG24" s="19"/>
      <c r="BH24" s="74"/>
      <c r="BI24" s="19"/>
      <c r="BJ24" s="19"/>
      <c r="BK24" s="19"/>
      <c r="BL24" s="19"/>
      <c r="BM24" s="21"/>
    </row>
    <row r="25" spans="2:66" ht="90" customHeight="1" x14ac:dyDescent="0.25">
      <c r="B25" s="19"/>
      <c r="C25" s="593"/>
      <c r="D25" s="242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756" t="s">
        <v>45</v>
      </c>
      <c r="AZ25" s="574"/>
      <c r="BA25" s="574"/>
      <c r="BB25" s="573"/>
      <c r="BC25" s="24"/>
      <c r="BD25" s="24"/>
      <c r="BE25" s="24"/>
      <c r="BF25" s="24"/>
      <c r="BG25" s="24"/>
      <c r="BH25" s="244"/>
      <c r="BI25" s="24"/>
      <c r="BJ25" s="24"/>
      <c r="BK25" s="24"/>
      <c r="BL25" s="24"/>
      <c r="BM25" s="25"/>
    </row>
    <row r="26" spans="2:66" ht="39" customHeight="1" x14ac:dyDescent="0.25">
      <c r="B26" s="19"/>
      <c r="C26" s="19"/>
      <c r="D26" s="26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E26" s="245"/>
      <c r="AG26" s="19"/>
      <c r="AH26" s="19"/>
      <c r="AI26" s="19"/>
      <c r="AJ26" s="19"/>
      <c r="AK26" s="19"/>
      <c r="AL26" s="19"/>
      <c r="AM26" s="19"/>
      <c r="AN26" s="19"/>
      <c r="AO26" s="19"/>
      <c r="BH26" s="74"/>
    </row>
    <row r="27" spans="2:66" ht="90" customHeight="1" x14ac:dyDescent="0.25">
      <c r="B27" s="19"/>
      <c r="C27" s="592" t="s">
        <v>350</v>
      </c>
      <c r="D27" s="239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768" t="s">
        <v>346</v>
      </c>
      <c r="AK27" s="649"/>
      <c r="AL27" s="649"/>
      <c r="AM27" s="649"/>
      <c r="AN27" s="649"/>
      <c r="AO27" s="649"/>
      <c r="AP27" s="649"/>
      <c r="AQ27" s="639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241"/>
      <c r="BI27" s="63"/>
      <c r="BJ27" s="63"/>
      <c r="BK27" s="63"/>
      <c r="BL27" s="63"/>
      <c r="BM27" s="122"/>
    </row>
    <row r="28" spans="2:66" ht="90" customHeight="1" x14ac:dyDescent="0.25">
      <c r="B28" s="19"/>
      <c r="C28" s="624"/>
      <c r="D28" s="26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769" t="s">
        <v>347</v>
      </c>
      <c r="AK28" s="574"/>
      <c r="AL28" s="574"/>
      <c r="AM28" s="574"/>
      <c r="AN28" s="574"/>
      <c r="AO28" s="574"/>
      <c r="AP28" s="574"/>
      <c r="AQ28" s="573"/>
      <c r="AR28" s="19"/>
      <c r="AS28" s="19"/>
      <c r="AT28" s="755" t="s">
        <v>52</v>
      </c>
      <c r="AU28" s="754"/>
      <c r="AV28" s="754"/>
      <c r="AW28" s="719"/>
      <c r="AX28" s="19"/>
      <c r="AY28" s="19"/>
      <c r="BD28" s="19"/>
      <c r="BE28" s="19"/>
      <c r="BF28" s="19"/>
      <c r="BG28" s="19"/>
      <c r="BH28" s="74"/>
      <c r="BI28" s="19"/>
      <c r="BJ28" s="19"/>
      <c r="BK28" s="19"/>
      <c r="BL28" s="19"/>
      <c r="BM28" s="21"/>
    </row>
    <row r="29" spans="2:66" ht="90" customHeight="1" x14ac:dyDescent="0.25">
      <c r="B29" s="19"/>
      <c r="C29" s="593"/>
      <c r="D29" s="242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756" t="s">
        <v>45</v>
      </c>
      <c r="AR29" s="574"/>
      <c r="AS29" s="574"/>
      <c r="AT29" s="573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4"/>
      <c r="BI29" s="24"/>
      <c r="BJ29" s="24"/>
      <c r="BK29" s="24"/>
      <c r="BL29" s="24"/>
      <c r="BM29" s="25"/>
    </row>
    <row r="30" spans="2:66" ht="30.75" customHeight="1" x14ac:dyDescent="0.25">
      <c r="B30" s="19"/>
      <c r="C30" s="26"/>
      <c r="D30" s="26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E30" s="245"/>
      <c r="AI30" s="246"/>
      <c r="AJ30" s="19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BH30" s="74"/>
    </row>
    <row r="31" spans="2:66" ht="90" customHeight="1" x14ac:dyDescent="0.25">
      <c r="B31" s="19"/>
      <c r="C31" s="761" t="s">
        <v>351</v>
      </c>
      <c r="D31" s="239"/>
      <c r="E31" s="63"/>
      <c r="F31" s="63"/>
      <c r="G31" s="63"/>
      <c r="H31" s="63"/>
      <c r="I31" s="63"/>
      <c r="J31" s="63"/>
      <c r="K31" s="63"/>
      <c r="L31" s="63"/>
      <c r="M31" s="247"/>
      <c r="N31" s="247"/>
      <c r="O31" s="247"/>
      <c r="P31" s="247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248"/>
      <c r="AF31" s="63"/>
      <c r="AG31" s="63"/>
      <c r="AH31" s="63"/>
      <c r="AI31" s="63"/>
      <c r="AJ31" s="751" t="s">
        <v>346</v>
      </c>
      <c r="AK31" s="649"/>
      <c r="AL31" s="649"/>
      <c r="AM31" s="649"/>
      <c r="AN31" s="649"/>
      <c r="AO31" s="649"/>
      <c r="AP31" s="649"/>
      <c r="AQ31" s="639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241"/>
      <c r="BI31" s="63"/>
      <c r="BJ31" s="63"/>
      <c r="BK31" s="63"/>
      <c r="BL31" s="63"/>
      <c r="BM31" s="249"/>
      <c r="BN31" s="38"/>
    </row>
    <row r="32" spans="2:66" ht="90" customHeight="1" x14ac:dyDescent="0.25">
      <c r="B32" s="19"/>
      <c r="C32" s="626"/>
      <c r="D32" s="26"/>
      <c r="E32" s="19"/>
      <c r="F32" s="19"/>
      <c r="G32" s="19"/>
      <c r="H32" s="19"/>
      <c r="I32" s="19"/>
      <c r="J32" s="19"/>
      <c r="K32" s="19"/>
      <c r="L32" s="19"/>
      <c r="M32" s="250"/>
      <c r="N32" s="250"/>
      <c r="O32" s="250"/>
      <c r="P32" s="250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45"/>
      <c r="AF32" s="19"/>
      <c r="AG32" s="19"/>
      <c r="AH32" s="19"/>
      <c r="AI32" s="19"/>
      <c r="AJ32" s="752" t="s">
        <v>347</v>
      </c>
      <c r="AK32" s="574"/>
      <c r="AL32" s="574"/>
      <c r="AM32" s="574"/>
      <c r="AN32" s="574"/>
      <c r="AO32" s="574"/>
      <c r="AP32" s="574"/>
      <c r="AQ32" s="573"/>
      <c r="AR32" s="19"/>
      <c r="AS32" s="19"/>
      <c r="AT32" s="753" t="s">
        <v>52</v>
      </c>
      <c r="AU32" s="754"/>
      <c r="AV32" s="754"/>
      <c r="AW32" s="719"/>
      <c r="AX32" s="19"/>
      <c r="AY32" s="19"/>
      <c r="BD32" s="19"/>
      <c r="BE32" s="19"/>
      <c r="BF32" s="19"/>
      <c r="BG32" s="19"/>
      <c r="BH32" s="74"/>
      <c r="BI32" s="19"/>
      <c r="BJ32" s="19"/>
      <c r="BK32" s="19"/>
      <c r="BL32" s="19"/>
      <c r="BM32" s="21"/>
    </row>
    <row r="33" spans="1:88" ht="90" customHeight="1" x14ac:dyDescent="0.25">
      <c r="B33" s="19"/>
      <c r="C33" s="627"/>
      <c r="D33" s="242"/>
      <c r="E33" s="251"/>
      <c r="F33" s="251"/>
      <c r="G33" s="251"/>
      <c r="H33" s="251"/>
      <c r="I33" s="251"/>
      <c r="J33" s="251"/>
      <c r="K33" s="251"/>
      <c r="L33" s="251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52"/>
      <c r="AF33" s="24"/>
      <c r="AG33" s="24"/>
      <c r="AH33" s="24"/>
      <c r="AI33" s="24"/>
      <c r="AJ33" s="243"/>
      <c r="AK33" s="243"/>
      <c r="AL33" s="243"/>
      <c r="AM33" s="243"/>
      <c r="AN33" s="243"/>
      <c r="AO33" s="243"/>
      <c r="AP33" s="243"/>
      <c r="AQ33" s="756" t="s">
        <v>45</v>
      </c>
      <c r="AR33" s="574"/>
      <c r="AS33" s="574"/>
      <c r="AT33" s="573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4"/>
      <c r="BI33" s="24"/>
      <c r="BJ33" s="24"/>
      <c r="BK33" s="24"/>
      <c r="BL33" s="24"/>
      <c r="BM33" s="25"/>
    </row>
    <row r="34" spans="1:88" ht="33" customHeight="1" x14ac:dyDescent="0.25">
      <c r="B34" s="19"/>
      <c r="C34" s="19"/>
      <c r="D34" s="25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E34" s="19"/>
      <c r="AF34" s="245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H34" s="74"/>
    </row>
    <row r="35" spans="1:88" ht="90" customHeight="1" x14ac:dyDescent="0.25">
      <c r="B35" s="19"/>
      <c r="C35" s="592" t="s">
        <v>352</v>
      </c>
      <c r="D35" s="239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248"/>
      <c r="AG35" s="63"/>
      <c r="AH35" s="63"/>
      <c r="AI35" s="63"/>
      <c r="AJ35" s="63"/>
      <c r="AK35" s="63"/>
      <c r="AL35" s="762" t="s">
        <v>346</v>
      </c>
      <c r="AM35" s="649"/>
      <c r="AN35" s="649"/>
      <c r="AO35" s="649"/>
      <c r="AP35" s="649"/>
      <c r="AQ35" s="649"/>
      <c r="AR35" s="649"/>
      <c r="AS35" s="639"/>
      <c r="AT35" s="240"/>
      <c r="AU35" s="240"/>
      <c r="AV35" s="240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241"/>
      <c r="BI35" s="63"/>
      <c r="BJ35" s="63"/>
      <c r="BK35" s="63"/>
      <c r="BL35" s="63"/>
      <c r="BM35" s="122"/>
    </row>
    <row r="36" spans="1:88" ht="90" customHeight="1" x14ac:dyDescent="0.25">
      <c r="B36" s="19"/>
      <c r="C36" s="624"/>
      <c r="D36" s="26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245"/>
      <c r="AG36" s="19"/>
      <c r="AH36" s="19"/>
      <c r="AI36" s="19"/>
      <c r="AJ36" s="19"/>
      <c r="AK36" s="19"/>
      <c r="AL36" s="757" t="s">
        <v>347</v>
      </c>
      <c r="AM36" s="574"/>
      <c r="AN36" s="574"/>
      <c r="AO36" s="574"/>
      <c r="AP36" s="574"/>
      <c r="AQ36" s="574"/>
      <c r="AR36" s="574"/>
      <c r="AS36" s="573"/>
      <c r="AT36" s="19"/>
      <c r="AU36" s="19"/>
      <c r="AV36" s="755" t="s">
        <v>52</v>
      </c>
      <c r="AW36" s="754"/>
      <c r="AX36" s="754"/>
      <c r="AY36" s="719"/>
      <c r="AZ36" s="19"/>
      <c r="BE36" s="19"/>
      <c r="BF36" s="19"/>
      <c r="BG36" s="19"/>
      <c r="BH36" s="74"/>
      <c r="BI36" s="19"/>
      <c r="BJ36" s="19"/>
      <c r="BK36" s="19"/>
      <c r="BL36" s="19"/>
      <c r="BM36" s="21"/>
    </row>
    <row r="37" spans="1:88" ht="90" customHeight="1" x14ac:dyDescent="0.25">
      <c r="B37" s="19"/>
      <c r="C37" s="593"/>
      <c r="D37" s="242"/>
      <c r="E37" s="24"/>
      <c r="F37" s="24"/>
      <c r="G37" s="24"/>
      <c r="H37" s="24"/>
      <c r="I37" s="24"/>
      <c r="J37" s="24"/>
      <c r="K37" s="24"/>
      <c r="L37" s="24"/>
      <c r="M37" s="251"/>
      <c r="N37" s="251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2"/>
      <c r="AG37" s="24"/>
      <c r="AH37" s="24"/>
      <c r="AI37" s="24"/>
      <c r="AJ37" s="24"/>
      <c r="AK37" s="24"/>
      <c r="AL37" s="243"/>
      <c r="AM37" s="243"/>
      <c r="AN37" s="243"/>
      <c r="AO37" s="243"/>
      <c r="AP37" s="243"/>
      <c r="AQ37" s="243"/>
      <c r="AR37" s="243"/>
      <c r="AS37" s="756" t="s">
        <v>45</v>
      </c>
      <c r="AT37" s="574"/>
      <c r="AU37" s="574"/>
      <c r="AV37" s="573"/>
      <c r="AZ37" s="24"/>
      <c r="BA37" s="24"/>
      <c r="BB37" s="24"/>
      <c r="BC37" s="24"/>
      <c r="BD37" s="24"/>
      <c r="BE37" s="24"/>
      <c r="BF37" s="24"/>
      <c r="BG37" s="24"/>
      <c r="BH37" s="244"/>
      <c r="BI37" s="24"/>
      <c r="BJ37" s="24"/>
      <c r="BK37" s="24"/>
      <c r="BL37" s="24"/>
      <c r="BM37" s="25"/>
      <c r="CJ37" s="19" t="s">
        <v>353</v>
      </c>
    </row>
    <row r="38" spans="1:88" ht="39" customHeight="1" x14ac:dyDescent="0.25">
      <c r="B38" s="19"/>
      <c r="C38" s="43"/>
      <c r="D38" s="26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245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T38" s="24"/>
      <c r="AU38" s="24"/>
      <c r="AV38" s="24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74"/>
      <c r="BI38" s="19"/>
      <c r="BJ38" s="19"/>
      <c r="BK38" s="19"/>
      <c r="BL38" s="19"/>
      <c r="BM38" s="19"/>
    </row>
    <row r="39" spans="1:88" ht="90" customHeight="1" x14ac:dyDescent="0.25">
      <c r="A39" s="121"/>
      <c r="B39" s="63"/>
      <c r="C39" s="592" t="s">
        <v>354</v>
      </c>
      <c r="D39" s="239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248"/>
      <c r="AG39" s="63"/>
      <c r="AH39" s="63"/>
      <c r="AI39" s="63"/>
      <c r="AJ39" s="763" t="s">
        <v>346</v>
      </c>
      <c r="AK39" s="649"/>
      <c r="AL39" s="649"/>
      <c r="AM39" s="649"/>
      <c r="AN39" s="649"/>
      <c r="AO39" s="649"/>
      <c r="AP39" s="649"/>
      <c r="AQ39" s="639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241"/>
      <c r="BI39" s="63"/>
      <c r="BJ39" s="63"/>
      <c r="BK39" s="63"/>
      <c r="BL39" s="63"/>
      <c r="BM39" s="122"/>
    </row>
    <row r="40" spans="1:88" ht="90" customHeight="1" x14ac:dyDescent="0.25">
      <c r="A40" s="20"/>
      <c r="B40" s="19"/>
      <c r="C40" s="624"/>
      <c r="D40" s="26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245"/>
      <c r="AG40" s="19"/>
      <c r="AH40" s="19"/>
      <c r="AI40" s="19"/>
      <c r="AJ40" s="764" t="s">
        <v>347</v>
      </c>
      <c r="AK40" s="574"/>
      <c r="AL40" s="574"/>
      <c r="AM40" s="574"/>
      <c r="AN40" s="574"/>
      <c r="AO40" s="574"/>
      <c r="AP40" s="574"/>
      <c r="AQ40" s="573"/>
      <c r="AR40" s="19"/>
      <c r="AS40" s="19"/>
      <c r="AT40" s="755" t="s">
        <v>52</v>
      </c>
      <c r="AU40" s="754"/>
      <c r="AV40" s="754"/>
      <c r="AW40" s="719"/>
      <c r="AX40" s="19"/>
      <c r="BC40" s="19"/>
      <c r="BD40" s="19"/>
      <c r="BE40" s="19"/>
      <c r="BF40" s="19"/>
      <c r="BG40" s="19"/>
      <c r="BH40" s="74"/>
      <c r="BI40" s="19"/>
      <c r="BJ40" s="19"/>
      <c r="BK40" s="19"/>
      <c r="BL40" s="19"/>
      <c r="BM40" s="21"/>
    </row>
    <row r="41" spans="1:88" ht="90" customHeight="1" x14ac:dyDescent="0.25">
      <c r="A41" s="23"/>
      <c r="B41" s="24"/>
      <c r="C41" s="593"/>
      <c r="D41" s="242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52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756" t="s">
        <v>45</v>
      </c>
      <c r="AR41" s="574"/>
      <c r="AS41" s="574"/>
      <c r="AT41" s="573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4"/>
      <c r="BI41" s="24"/>
      <c r="BJ41" s="24"/>
      <c r="BK41" s="24"/>
      <c r="BL41" s="24"/>
      <c r="BM41" s="25"/>
    </row>
    <row r="42" spans="1:88" ht="39" customHeight="1" x14ac:dyDescent="0.25">
      <c r="B42" s="19"/>
      <c r="C42" s="19"/>
      <c r="D42" s="26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74"/>
      <c r="BI42" s="19"/>
      <c r="BJ42" s="19"/>
      <c r="BK42" s="19"/>
      <c r="BL42" s="19"/>
      <c r="BM42" s="19"/>
    </row>
    <row r="43" spans="1:88" ht="90" customHeight="1" x14ac:dyDescent="0.25">
      <c r="B43" s="19"/>
      <c r="C43" s="592" t="s">
        <v>355</v>
      </c>
      <c r="D43" s="239"/>
      <c r="E43" s="63"/>
      <c r="F43" s="63"/>
      <c r="G43" s="63"/>
      <c r="H43" s="63"/>
      <c r="I43" s="63"/>
      <c r="J43" s="63"/>
      <c r="K43" s="63"/>
      <c r="L43" s="248"/>
      <c r="M43" s="63"/>
      <c r="N43" s="63"/>
      <c r="O43" s="63"/>
      <c r="P43" s="63"/>
      <c r="Q43" s="63"/>
      <c r="R43" s="63"/>
      <c r="S43" s="63"/>
      <c r="T43" s="247"/>
      <c r="U43" s="247"/>
      <c r="V43" s="751" t="s">
        <v>346</v>
      </c>
      <c r="W43" s="649"/>
      <c r="X43" s="649"/>
      <c r="Y43" s="649"/>
      <c r="Z43" s="649"/>
      <c r="AA43" s="649"/>
      <c r="AB43" s="649"/>
      <c r="AC43" s="639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241"/>
      <c r="BI43" s="63"/>
      <c r="BJ43" s="63"/>
      <c r="BK43" s="63"/>
      <c r="BL43" s="63"/>
      <c r="BM43" s="122"/>
    </row>
    <row r="44" spans="1:88" ht="90" customHeight="1" x14ac:dyDescent="0.25">
      <c r="B44" s="19"/>
      <c r="C44" s="624"/>
      <c r="D44" s="26"/>
      <c r="E44" s="19"/>
      <c r="F44" s="19"/>
      <c r="G44" s="19"/>
      <c r="H44" s="19"/>
      <c r="I44" s="19"/>
      <c r="J44" s="19"/>
      <c r="K44" s="19"/>
      <c r="L44" s="245"/>
      <c r="M44" s="19"/>
      <c r="N44" s="19"/>
      <c r="O44" s="19"/>
      <c r="P44" s="19"/>
      <c r="Q44" s="19"/>
      <c r="R44" s="19"/>
      <c r="S44" s="19"/>
      <c r="T44" s="250"/>
      <c r="U44" s="250"/>
      <c r="V44" s="752" t="s">
        <v>347</v>
      </c>
      <c r="W44" s="574"/>
      <c r="X44" s="574"/>
      <c r="Y44" s="574"/>
      <c r="Z44" s="574"/>
      <c r="AA44" s="574"/>
      <c r="AB44" s="574"/>
      <c r="AC44" s="573"/>
      <c r="AD44" s="19"/>
      <c r="AE44" s="19"/>
      <c r="AF44" s="753" t="s">
        <v>52</v>
      </c>
      <c r="AG44" s="754"/>
      <c r="AH44" s="754"/>
      <c r="AI44" s="7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74"/>
      <c r="BI44" s="19"/>
      <c r="BJ44" s="19"/>
      <c r="BK44" s="19"/>
      <c r="BL44" s="19"/>
      <c r="BM44" s="21"/>
    </row>
    <row r="45" spans="1:88" ht="90" customHeight="1" x14ac:dyDescent="0.25">
      <c r="B45" s="19"/>
      <c r="C45" s="593"/>
      <c r="D45" s="242"/>
      <c r="E45" s="24"/>
      <c r="F45" s="24"/>
      <c r="G45" s="24"/>
      <c r="H45" s="24"/>
      <c r="I45" s="24"/>
      <c r="J45" s="24"/>
      <c r="K45" s="24"/>
      <c r="L45" s="252"/>
      <c r="M45" s="24"/>
      <c r="N45" s="24"/>
      <c r="O45" s="24"/>
      <c r="P45" s="24"/>
      <c r="Q45" s="24"/>
      <c r="R45" s="24"/>
      <c r="S45" s="24"/>
      <c r="T45" s="24"/>
      <c r="U45" s="24"/>
      <c r="V45" s="243"/>
      <c r="W45" s="243"/>
      <c r="X45" s="243"/>
      <c r="Y45" s="243"/>
      <c r="Z45" s="243"/>
      <c r="AA45" s="243"/>
      <c r="AB45" s="243"/>
      <c r="AC45" s="756" t="s">
        <v>45</v>
      </c>
      <c r="AD45" s="574"/>
      <c r="AE45" s="574"/>
      <c r="AF45" s="573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4"/>
      <c r="BI45" s="24"/>
      <c r="BJ45" s="24"/>
      <c r="BK45" s="24"/>
      <c r="BL45" s="24"/>
      <c r="BM45" s="25"/>
    </row>
    <row r="46" spans="1:88" ht="33.75" customHeight="1" x14ac:dyDescent="0.25">
      <c r="B46" s="19"/>
      <c r="C46" s="43"/>
      <c r="D46" s="2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74"/>
      <c r="BI46" s="19"/>
      <c r="BJ46" s="19"/>
      <c r="BK46" s="19"/>
      <c r="BL46" s="19"/>
      <c r="BM46" s="19"/>
    </row>
    <row r="47" spans="1:88" ht="90" customHeight="1" x14ac:dyDescent="0.25">
      <c r="B47" s="19"/>
      <c r="C47" s="592" t="s">
        <v>356</v>
      </c>
      <c r="D47" s="239"/>
      <c r="E47" s="63"/>
      <c r="F47" s="63"/>
      <c r="G47" s="63"/>
      <c r="H47" s="63"/>
      <c r="I47" s="63"/>
      <c r="J47" s="63"/>
      <c r="K47" s="63"/>
      <c r="L47" s="248"/>
      <c r="M47" s="63"/>
      <c r="N47" s="63"/>
      <c r="O47" s="63"/>
      <c r="P47" s="63"/>
      <c r="Q47" s="63"/>
      <c r="R47" s="63"/>
      <c r="S47" s="63"/>
      <c r="T47" s="763" t="s">
        <v>346</v>
      </c>
      <c r="U47" s="649"/>
      <c r="V47" s="649"/>
      <c r="W47" s="649"/>
      <c r="X47" s="649"/>
      <c r="Y47" s="649"/>
      <c r="Z47" s="649"/>
      <c r="AA47" s="639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241"/>
      <c r="BI47" s="63"/>
      <c r="BJ47" s="63"/>
      <c r="BK47" s="63"/>
      <c r="BL47" s="63"/>
      <c r="BM47" s="122"/>
    </row>
    <row r="48" spans="1:88" ht="90" customHeight="1" x14ac:dyDescent="0.25">
      <c r="B48" s="19"/>
      <c r="C48" s="624"/>
      <c r="D48" s="26"/>
      <c r="E48" s="19"/>
      <c r="F48" s="19"/>
      <c r="G48" s="19"/>
      <c r="H48" s="19"/>
      <c r="I48" s="19"/>
      <c r="J48" s="19"/>
      <c r="K48" s="19"/>
      <c r="L48" s="245"/>
      <c r="M48" s="19"/>
      <c r="N48" s="19"/>
      <c r="O48" s="19"/>
      <c r="P48" s="19"/>
      <c r="Q48" s="19"/>
      <c r="R48" s="19"/>
      <c r="S48" s="19"/>
      <c r="T48" s="764" t="s">
        <v>347</v>
      </c>
      <c r="U48" s="574"/>
      <c r="V48" s="574"/>
      <c r="W48" s="574"/>
      <c r="X48" s="574"/>
      <c r="Y48" s="574"/>
      <c r="Z48" s="574"/>
      <c r="AA48" s="573"/>
      <c r="AB48" s="19"/>
      <c r="AC48" s="19"/>
      <c r="AD48" s="755" t="s">
        <v>52</v>
      </c>
      <c r="AE48" s="754"/>
      <c r="AF48" s="754"/>
      <c r="AG48" s="719"/>
      <c r="AH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74"/>
      <c r="BI48" s="19"/>
      <c r="BJ48" s="19"/>
      <c r="BK48" s="19"/>
      <c r="BL48" s="19"/>
      <c r="BM48" s="21"/>
    </row>
    <row r="49" spans="1:76" ht="90" customHeight="1" x14ac:dyDescent="0.25">
      <c r="B49" s="19"/>
      <c r="C49" s="593"/>
      <c r="D49" s="242"/>
      <c r="E49" s="24"/>
      <c r="F49" s="24"/>
      <c r="G49" s="24"/>
      <c r="H49" s="24"/>
      <c r="I49" s="24"/>
      <c r="J49" s="24"/>
      <c r="K49" s="24"/>
      <c r="L49" s="252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756" t="s">
        <v>45</v>
      </c>
      <c r="AB49" s="574"/>
      <c r="AC49" s="574"/>
      <c r="AD49" s="573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4"/>
      <c r="BI49" s="24"/>
      <c r="BJ49" s="24"/>
      <c r="BK49" s="24"/>
      <c r="BL49" s="24"/>
      <c r="BM49" s="25"/>
    </row>
    <row r="50" spans="1:76" ht="32.25" customHeight="1" x14ac:dyDescent="0.25">
      <c r="B50" s="19"/>
      <c r="C50" s="43"/>
      <c r="D50" s="2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74"/>
      <c r="BI50" s="19"/>
      <c r="BJ50" s="19"/>
      <c r="BK50" s="19"/>
      <c r="BL50" s="19"/>
      <c r="BM50" s="19"/>
    </row>
    <row r="51" spans="1:76" ht="90" customHeight="1" x14ac:dyDescent="0.25">
      <c r="B51" s="19"/>
      <c r="C51" s="592" t="s">
        <v>357</v>
      </c>
      <c r="D51" s="239"/>
      <c r="E51" s="63"/>
      <c r="F51" s="63"/>
      <c r="G51" s="63"/>
      <c r="H51" s="63"/>
      <c r="I51" s="63"/>
      <c r="J51" s="254"/>
      <c r="K51" s="63"/>
      <c r="L51" s="63"/>
      <c r="M51" s="63"/>
      <c r="N51" s="255" t="s">
        <v>346</v>
      </c>
      <c r="O51" s="255"/>
      <c r="P51" s="255"/>
      <c r="Q51" s="255"/>
      <c r="R51" s="255"/>
      <c r="S51" s="255"/>
      <c r="T51" s="255"/>
      <c r="U51" s="255"/>
      <c r="V51" s="240"/>
      <c r="W51" s="240"/>
      <c r="X51" s="240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241"/>
      <c r="BI51" s="63"/>
      <c r="BJ51" s="63"/>
      <c r="BK51" s="63"/>
      <c r="BL51" s="63"/>
      <c r="BM51" s="122"/>
    </row>
    <row r="52" spans="1:76" ht="90" customHeight="1" x14ac:dyDescent="0.25">
      <c r="B52" s="19"/>
      <c r="C52" s="624"/>
      <c r="D52" s="26"/>
      <c r="E52" s="19"/>
      <c r="F52" s="19"/>
      <c r="G52" s="19"/>
      <c r="H52" s="19"/>
      <c r="I52" s="19"/>
      <c r="J52" s="238"/>
      <c r="K52" s="19"/>
      <c r="L52" s="19"/>
      <c r="M52" s="19"/>
      <c r="N52" s="757" t="s">
        <v>347</v>
      </c>
      <c r="O52" s="574"/>
      <c r="P52" s="574"/>
      <c r="Q52" s="574"/>
      <c r="R52" s="574"/>
      <c r="S52" s="574"/>
      <c r="T52" s="574"/>
      <c r="U52" s="573"/>
      <c r="V52" s="19"/>
      <c r="W52" s="19"/>
      <c r="X52" s="755" t="s">
        <v>52</v>
      </c>
      <c r="Y52" s="754"/>
      <c r="Z52" s="754"/>
      <c r="AA52" s="719"/>
      <c r="AB52" s="19"/>
      <c r="AG52" s="256"/>
      <c r="AH52" s="256"/>
      <c r="AI52" s="256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74"/>
      <c r="BI52" s="19"/>
      <c r="BJ52" s="19"/>
      <c r="BK52" s="19"/>
      <c r="BL52" s="19"/>
      <c r="BM52" s="21"/>
    </row>
    <row r="53" spans="1:76" ht="90" customHeight="1" x14ac:dyDescent="0.25">
      <c r="B53" s="19"/>
      <c r="C53" s="593"/>
      <c r="D53" s="242"/>
      <c r="E53" s="24"/>
      <c r="F53" s="24"/>
      <c r="G53" s="24"/>
      <c r="H53" s="24"/>
      <c r="I53" s="24"/>
      <c r="J53" s="257"/>
      <c r="K53" s="24"/>
      <c r="L53" s="24"/>
      <c r="M53" s="24"/>
      <c r="N53" s="24"/>
      <c r="O53" s="243"/>
      <c r="P53" s="243"/>
      <c r="Q53" s="243"/>
      <c r="R53" s="243"/>
      <c r="S53" s="243"/>
      <c r="T53" s="243"/>
      <c r="U53" s="758" t="s">
        <v>45</v>
      </c>
      <c r="V53" s="649"/>
      <c r="W53" s="649"/>
      <c r="X53" s="639"/>
      <c r="Y53" s="24"/>
      <c r="Z53" s="24"/>
      <c r="AA53" s="24"/>
      <c r="AB53" s="24"/>
      <c r="AC53" s="759"/>
      <c r="AD53" s="760"/>
      <c r="AE53" s="760"/>
      <c r="AF53" s="760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4"/>
      <c r="BI53" s="24"/>
      <c r="BJ53" s="24"/>
      <c r="BK53" s="24"/>
      <c r="BL53" s="24"/>
      <c r="BM53" s="25"/>
    </row>
    <row r="54" spans="1:76" ht="33" customHeight="1" x14ac:dyDescent="0.25">
      <c r="B54" s="19"/>
      <c r="C54" s="26"/>
      <c r="D54" s="2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74"/>
      <c r="BI54" s="19"/>
      <c r="BJ54" s="19"/>
      <c r="BK54" s="19"/>
      <c r="BL54" s="19"/>
      <c r="BM54" s="19"/>
    </row>
    <row r="55" spans="1:76" ht="90" customHeight="1" x14ac:dyDescent="0.25">
      <c r="B55" s="19"/>
      <c r="C55" s="592" t="s">
        <v>358</v>
      </c>
      <c r="D55" s="239"/>
      <c r="E55" s="63"/>
      <c r="F55" s="63"/>
      <c r="G55" s="63"/>
      <c r="H55" s="63"/>
      <c r="I55" s="63"/>
      <c r="J55" s="248"/>
      <c r="K55" s="63"/>
      <c r="L55" s="63"/>
      <c r="M55" s="63"/>
      <c r="N55" s="751" t="s">
        <v>346</v>
      </c>
      <c r="O55" s="649"/>
      <c r="P55" s="649"/>
      <c r="Q55" s="649"/>
      <c r="R55" s="649"/>
      <c r="S55" s="649"/>
      <c r="T55" s="649"/>
      <c r="U55" s="639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241"/>
      <c r="BI55" s="63"/>
      <c r="BJ55" s="63"/>
      <c r="BK55" s="63"/>
      <c r="BL55" s="63"/>
      <c r="BM55" s="122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</row>
    <row r="56" spans="1:76" ht="90" customHeight="1" x14ac:dyDescent="0.25">
      <c r="B56" s="19"/>
      <c r="C56" s="624"/>
      <c r="D56" s="26"/>
      <c r="E56" s="19"/>
      <c r="F56" s="19"/>
      <c r="G56" s="19"/>
      <c r="H56" s="19"/>
      <c r="I56" s="19"/>
      <c r="J56" s="245"/>
      <c r="K56" s="19"/>
      <c r="L56" s="19"/>
      <c r="M56" s="19"/>
      <c r="N56" s="752" t="s">
        <v>347</v>
      </c>
      <c r="O56" s="574"/>
      <c r="P56" s="574"/>
      <c r="Q56" s="574"/>
      <c r="R56" s="574"/>
      <c r="S56" s="574"/>
      <c r="T56" s="574"/>
      <c r="U56" s="573"/>
      <c r="V56" s="19"/>
      <c r="W56" s="19"/>
      <c r="X56" s="753" t="s">
        <v>52</v>
      </c>
      <c r="Y56" s="754"/>
      <c r="Z56" s="754"/>
      <c r="AA56" s="719"/>
      <c r="AB56" s="19"/>
      <c r="AG56" s="256"/>
      <c r="AH56" s="256"/>
      <c r="AI56" s="256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74"/>
      <c r="BI56" s="19"/>
      <c r="BJ56" s="19"/>
      <c r="BK56" s="19"/>
      <c r="BL56" s="19"/>
      <c r="BM56" s="21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</row>
    <row r="57" spans="1:76" ht="90" customHeight="1" x14ac:dyDescent="0.25">
      <c r="A57" s="19"/>
      <c r="B57" s="19"/>
      <c r="C57" s="593"/>
      <c r="D57" s="242"/>
      <c r="E57" s="24"/>
      <c r="F57" s="24"/>
      <c r="G57" s="24"/>
      <c r="H57" s="24"/>
      <c r="I57" s="24"/>
      <c r="J57" s="252"/>
      <c r="K57" s="24"/>
      <c r="L57" s="24"/>
      <c r="M57" s="24"/>
      <c r="N57" s="243"/>
      <c r="O57" s="243"/>
      <c r="P57" s="243"/>
      <c r="Q57" s="243"/>
      <c r="R57" s="243"/>
      <c r="S57" s="243"/>
      <c r="T57" s="243"/>
      <c r="U57" s="758" t="s">
        <v>45</v>
      </c>
      <c r="V57" s="649"/>
      <c r="W57" s="649"/>
      <c r="X57" s="639"/>
      <c r="Y57" s="24"/>
      <c r="Z57" s="24"/>
      <c r="AA57" s="24"/>
      <c r="AB57" s="24"/>
      <c r="AC57" s="765"/>
      <c r="AD57" s="760"/>
      <c r="AE57" s="760"/>
      <c r="AF57" s="760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4"/>
      <c r="BI57" s="24"/>
      <c r="BJ57" s="24"/>
      <c r="BK57" s="24"/>
      <c r="BL57" s="24"/>
      <c r="BM57" s="25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</row>
    <row r="58" spans="1:76" ht="36" customHeight="1" x14ac:dyDescent="0.25">
      <c r="A58" s="19"/>
      <c r="B58" s="19"/>
      <c r="C58" s="258"/>
      <c r="D58" s="26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74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</row>
    <row r="59" spans="1:76" ht="90" customHeight="1" x14ac:dyDescent="0.25">
      <c r="A59" s="19"/>
      <c r="B59" s="19"/>
      <c r="C59" s="592" t="s">
        <v>359</v>
      </c>
      <c r="D59" s="239"/>
      <c r="E59" s="63"/>
      <c r="F59" s="63"/>
      <c r="G59" s="63"/>
      <c r="H59" s="63"/>
      <c r="I59" s="63"/>
      <c r="J59" s="248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762" t="s">
        <v>346</v>
      </c>
      <c r="W59" s="649"/>
      <c r="X59" s="649"/>
      <c r="Y59" s="649"/>
      <c r="Z59" s="649"/>
      <c r="AA59" s="649"/>
      <c r="AB59" s="649"/>
      <c r="AC59" s="639"/>
      <c r="AD59" s="240"/>
      <c r="AE59" s="240"/>
      <c r="AF59" s="240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241"/>
      <c r="BI59" s="63"/>
      <c r="BJ59" s="63"/>
      <c r="BK59" s="63"/>
      <c r="BL59" s="63"/>
      <c r="BM59" s="122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</row>
    <row r="60" spans="1:76" ht="90" customHeight="1" x14ac:dyDescent="0.25">
      <c r="B60" s="19"/>
      <c r="C60" s="624"/>
      <c r="D60" s="26"/>
      <c r="E60" s="19"/>
      <c r="F60" s="19"/>
      <c r="G60" s="19"/>
      <c r="H60" s="19"/>
      <c r="I60" s="19"/>
      <c r="J60" s="245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757" t="s">
        <v>347</v>
      </c>
      <c r="W60" s="574"/>
      <c r="X60" s="574"/>
      <c r="Y60" s="574"/>
      <c r="Z60" s="574"/>
      <c r="AA60" s="574"/>
      <c r="AB60" s="574"/>
      <c r="AC60" s="573"/>
      <c r="AD60" s="19"/>
      <c r="AE60" s="19"/>
      <c r="AF60" s="755" t="s">
        <v>52</v>
      </c>
      <c r="AG60" s="754"/>
      <c r="AH60" s="754"/>
      <c r="AI60" s="719"/>
      <c r="AJ60" s="256"/>
      <c r="AO60" s="256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74"/>
      <c r="BI60" s="19"/>
      <c r="BJ60" s="19"/>
      <c r="BK60" s="19"/>
      <c r="BL60" s="19"/>
      <c r="BM60" s="21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</row>
    <row r="61" spans="1:76" ht="90" customHeight="1" x14ac:dyDescent="0.25">
      <c r="B61" s="19"/>
      <c r="C61" s="593"/>
      <c r="D61" s="242"/>
      <c r="E61" s="24"/>
      <c r="F61" s="24"/>
      <c r="G61" s="24"/>
      <c r="H61" s="24"/>
      <c r="I61" s="24"/>
      <c r="J61" s="252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3"/>
      <c r="W61" s="243"/>
      <c r="X61" s="243"/>
      <c r="Y61" s="243"/>
      <c r="Z61" s="243"/>
      <c r="AA61" s="243"/>
      <c r="AB61" s="243"/>
      <c r="AC61" s="756" t="s">
        <v>45</v>
      </c>
      <c r="AD61" s="574"/>
      <c r="AE61" s="574"/>
      <c r="AF61" s="573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4"/>
      <c r="BI61" s="24"/>
      <c r="BJ61" s="24"/>
      <c r="BK61" s="24"/>
      <c r="BL61" s="24"/>
      <c r="BM61" s="25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</row>
    <row r="62" spans="1:76" ht="29.25" customHeight="1" x14ac:dyDescent="0.25">
      <c r="C62" s="26"/>
      <c r="D62" s="26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48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74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</row>
    <row r="63" spans="1:76" ht="90" customHeight="1" x14ac:dyDescent="0.25">
      <c r="B63" s="19"/>
      <c r="C63" s="592" t="s">
        <v>89</v>
      </c>
      <c r="D63" s="239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248"/>
      <c r="AE63" s="63"/>
      <c r="AF63" s="768" t="s">
        <v>346</v>
      </c>
      <c r="AG63" s="649"/>
      <c r="AH63" s="649"/>
      <c r="AI63" s="649"/>
      <c r="AJ63" s="649"/>
      <c r="AK63" s="649"/>
      <c r="AL63" s="649"/>
      <c r="AM63" s="639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241"/>
      <c r="BI63" s="63"/>
      <c r="BJ63" s="63"/>
      <c r="BK63" s="63"/>
      <c r="BL63" s="63"/>
      <c r="BM63" s="122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</row>
    <row r="64" spans="1:76" ht="90" customHeight="1" x14ac:dyDescent="0.25">
      <c r="B64" s="19"/>
      <c r="C64" s="624"/>
      <c r="D64" s="26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245"/>
      <c r="AE64" s="19"/>
      <c r="AF64" s="769" t="s">
        <v>347</v>
      </c>
      <c r="AG64" s="574"/>
      <c r="AH64" s="574"/>
      <c r="AI64" s="574"/>
      <c r="AJ64" s="574"/>
      <c r="AK64" s="574"/>
      <c r="AL64" s="574"/>
      <c r="AM64" s="573"/>
      <c r="AN64" s="19"/>
      <c r="AO64" s="19"/>
      <c r="AP64" s="755" t="s">
        <v>52</v>
      </c>
      <c r="AQ64" s="754"/>
      <c r="AR64" s="754"/>
      <c r="AS64" s="7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74"/>
      <c r="BI64" s="19"/>
      <c r="BJ64" s="19"/>
      <c r="BK64" s="19"/>
      <c r="BL64" s="19"/>
      <c r="BM64" s="21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</row>
    <row r="65" spans="2:76" ht="90" customHeight="1" x14ac:dyDescent="0.25">
      <c r="B65" s="19"/>
      <c r="C65" s="593"/>
      <c r="D65" s="242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52"/>
      <c r="AE65" s="24"/>
      <c r="AF65" s="24"/>
      <c r="AG65" s="24"/>
      <c r="AH65" s="24"/>
      <c r="AI65" s="24"/>
      <c r="AJ65" s="24"/>
      <c r="AK65" s="24"/>
      <c r="AL65" s="24"/>
      <c r="AM65" s="756" t="s">
        <v>45</v>
      </c>
      <c r="AN65" s="574"/>
      <c r="AO65" s="574"/>
      <c r="AP65" s="573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4"/>
      <c r="BI65" s="24"/>
      <c r="BJ65" s="24"/>
      <c r="BK65" s="24"/>
      <c r="BL65" s="24"/>
      <c r="BM65" s="25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</row>
    <row r="66" spans="2:76" ht="14.25" customHeight="1" x14ac:dyDescent="0.25">
      <c r="C66" s="26"/>
      <c r="D66" s="26"/>
      <c r="BH66" s="74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</row>
    <row r="67" spans="2:76" ht="39.75" customHeight="1" x14ac:dyDescent="0.25">
      <c r="C67" s="592" t="s">
        <v>360</v>
      </c>
      <c r="D67" s="26"/>
      <c r="AH67" s="770" t="s">
        <v>361</v>
      </c>
      <c r="AI67" s="574"/>
      <c r="AJ67" s="574"/>
      <c r="AK67" s="574"/>
      <c r="AL67" s="574"/>
      <c r="AM67" s="574"/>
      <c r="AN67" s="574"/>
      <c r="AO67" s="574"/>
      <c r="AP67" s="574"/>
      <c r="AQ67" s="573"/>
      <c r="BH67" s="74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</row>
    <row r="68" spans="2:76" ht="39.75" customHeight="1" x14ac:dyDescent="0.25">
      <c r="C68" s="624"/>
      <c r="D68" s="26"/>
      <c r="BH68" s="74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</row>
    <row r="69" spans="2:76" ht="39.75" customHeight="1" x14ac:dyDescent="0.25">
      <c r="C69" s="593"/>
      <c r="D69" s="26"/>
      <c r="BH69" s="74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</row>
    <row r="70" spans="2:76" ht="14.25" customHeight="1" x14ac:dyDescent="0.25">
      <c r="C70" s="26"/>
      <c r="D70" s="26"/>
      <c r="BH70" s="74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</row>
    <row r="71" spans="2:76" ht="14.25" customHeight="1" x14ac:dyDescent="0.25">
      <c r="C71" s="26"/>
      <c r="D71" s="26"/>
      <c r="BH71" s="74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</row>
    <row r="72" spans="2:76" ht="14.25" customHeight="1" x14ac:dyDescent="0.25">
      <c r="C72" s="26"/>
      <c r="D72" s="26"/>
      <c r="BH72" s="74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</row>
    <row r="73" spans="2:76" ht="14.25" customHeight="1" x14ac:dyDescent="0.25">
      <c r="C73" s="26"/>
      <c r="D73" s="26"/>
      <c r="BH73" s="74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</row>
    <row r="74" spans="2:76" ht="14.25" customHeight="1" x14ac:dyDescent="0.25">
      <c r="C74" s="26"/>
      <c r="D74" s="26"/>
      <c r="BH74" s="74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</row>
    <row r="75" spans="2:76" ht="14.25" customHeight="1" x14ac:dyDescent="0.25">
      <c r="C75" s="26"/>
      <c r="D75" s="26"/>
      <c r="BH75" s="74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</row>
    <row r="76" spans="2:76" ht="14.25" customHeight="1" x14ac:dyDescent="0.25">
      <c r="C76" s="26"/>
      <c r="D76" s="26"/>
      <c r="BH76" s="74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</row>
    <row r="77" spans="2:76" ht="14.25" customHeight="1" x14ac:dyDescent="0.25">
      <c r="C77" s="26"/>
      <c r="D77" s="26"/>
      <c r="BH77" s="74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</row>
    <row r="78" spans="2:76" ht="14.25" customHeight="1" x14ac:dyDescent="0.25">
      <c r="C78" s="26"/>
      <c r="D78" s="26"/>
      <c r="BH78" s="74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</row>
    <row r="79" spans="2:76" ht="14.25" customHeight="1" x14ac:dyDescent="0.25">
      <c r="C79" s="26"/>
      <c r="D79" s="26"/>
      <c r="BH79" s="74"/>
    </row>
    <row r="80" spans="2:76" ht="14.25" customHeight="1" x14ac:dyDescent="0.25">
      <c r="C80" s="26"/>
      <c r="D80" s="26"/>
      <c r="BH80" s="74"/>
    </row>
    <row r="81" spans="3:60" ht="14.25" customHeight="1" x14ac:dyDescent="0.25">
      <c r="C81" s="26"/>
      <c r="D81" s="26"/>
      <c r="BH81" s="74"/>
    </row>
    <row r="82" spans="3:60" ht="14.25" customHeight="1" x14ac:dyDescent="0.25">
      <c r="C82" s="26"/>
      <c r="D82" s="26"/>
      <c r="BH82" s="74"/>
    </row>
    <row r="83" spans="3:60" ht="14.25" customHeight="1" x14ac:dyDescent="0.25">
      <c r="C83" s="26"/>
      <c r="D83" s="26"/>
      <c r="BH83" s="74"/>
    </row>
    <row r="84" spans="3:60" ht="14.25" customHeight="1" x14ac:dyDescent="0.25">
      <c r="C84" s="26"/>
      <c r="D84" s="26"/>
      <c r="BH84" s="74"/>
    </row>
    <row r="85" spans="3:60" ht="14.25" customHeight="1" x14ac:dyDescent="0.25">
      <c r="C85" s="26"/>
      <c r="D85" s="26"/>
      <c r="BH85" s="74"/>
    </row>
    <row r="86" spans="3:60" ht="14.25" customHeight="1" x14ac:dyDescent="0.25">
      <c r="C86" s="26"/>
      <c r="D86" s="26"/>
      <c r="BH86" s="74"/>
    </row>
    <row r="87" spans="3:60" ht="14.25" customHeight="1" x14ac:dyDescent="0.25">
      <c r="C87" s="26"/>
      <c r="D87" s="26"/>
      <c r="BH87" s="74"/>
    </row>
    <row r="88" spans="3:60" ht="14.25" customHeight="1" x14ac:dyDescent="0.25">
      <c r="C88" s="26"/>
      <c r="D88" s="26"/>
      <c r="BH88" s="74"/>
    </row>
    <row r="89" spans="3:60" ht="14.25" customHeight="1" x14ac:dyDescent="0.25">
      <c r="C89" s="26"/>
      <c r="D89" s="26"/>
      <c r="BH89" s="74"/>
    </row>
    <row r="90" spans="3:60" ht="14.25" customHeight="1" x14ac:dyDescent="0.25">
      <c r="C90" s="26"/>
      <c r="D90" s="26"/>
      <c r="AL90" s="5"/>
      <c r="BH90" s="74"/>
    </row>
    <row r="91" spans="3:60" ht="14.25" customHeight="1" x14ac:dyDescent="0.25">
      <c r="C91" s="26"/>
      <c r="D91" s="26"/>
      <c r="BH91" s="74"/>
    </row>
    <row r="92" spans="3:60" ht="14.25" customHeight="1" x14ac:dyDescent="0.25">
      <c r="C92" s="26"/>
      <c r="D92" s="26"/>
      <c r="BH92" s="74"/>
    </row>
    <row r="93" spans="3:60" ht="14.25" customHeight="1" x14ac:dyDescent="0.25">
      <c r="C93" s="26"/>
      <c r="D93" s="26"/>
      <c r="BH93" s="74"/>
    </row>
    <row r="94" spans="3:60" ht="14.25" customHeight="1" x14ac:dyDescent="0.25">
      <c r="C94" s="26"/>
      <c r="D94" s="26"/>
      <c r="BH94" s="74"/>
    </row>
    <row r="95" spans="3:60" ht="14.25" customHeight="1" x14ac:dyDescent="0.25">
      <c r="C95" s="26"/>
      <c r="D95" s="26"/>
      <c r="BH95" s="74"/>
    </row>
    <row r="96" spans="3:60" ht="14.25" customHeight="1" x14ac:dyDescent="0.25">
      <c r="C96" s="26"/>
      <c r="D96" s="26"/>
      <c r="BH96" s="74"/>
    </row>
    <row r="97" spans="3:60" ht="14.25" customHeight="1" x14ac:dyDescent="0.25">
      <c r="C97" s="26"/>
      <c r="D97" s="26"/>
      <c r="BH97" s="74"/>
    </row>
    <row r="98" spans="3:60" ht="14.25" customHeight="1" x14ac:dyDescent="0.25">
      <c r="C98" s="26"/>
      <c r="D98" s="26"/>
      <c r="BH98" s="74"/>
    </row>
    <row r="99" spans="3:60" ht="14.25" customHeight="1" x14ac:dyDescent="0.25">
      <c r="C99" s="26"/>
      <c r="D99" s="26"/>
      <c r="BH99" s="74"/>
    </row>
    <row r="100" spans="3:60" ht="14.25" customHeight="1" x14ac:dyDescent="0.25">
      <c r="C100" s="26"/>
      <c r="D100" s="26"/>
      <c r="BH100" s="74"/>
    </row>
    <row r="101" spans="3:60" ht="14.25" customHeight="1" x14ac:dyDescent="0.25">
      <c r="C101" s="26"/>
      <c r="D101" s="26"/>
      <c r="BH101" s="74"/>
    </row>
    <row r="102" spans="3:60" ht="14.25" customHeight="1" x14ac:dyDescent="0.25">
      <c r="C102" s="26"/>
      <c r="D102" s="26"/>
      <c r="BH102" s="74"/>
    </row>
    <row r="103" spans="3:60" ht="14.25" customHeight="1" x14ac:dyDescent="0.25">
      <c r="C103" s="26"/>
      <c r="D103" s="26"/>
      <c r="BH103" s="74"/>
    </row>
    <row r="104" spans="3:60" ht="14.25" customHeight="1" x14ac:dyDescent="0.25">
      <c r="C104" s="26"/>
      <c r="D104" s="26"/>
      <c r="BH104" s="74"/>
    </row>
    <row r="105" spans="3:60" ht="14.25" customHeight="1" x14ac:dyDescent="0.25">
      <c r="C105" s="26"/>
      <c r="D105" s="26"/>
      <c r="BH105" s="74"/>
    </row>
    <row r="106" spans="3:60" ht="14.25" customHeight="1" x14ac:dyDescent="0.25">
      <c r="C106" s="26"/>
      <c r="D106" s="26"/>
      <c r="BH106" s="74"/>
    </row>
    <row r="107" spans="3:60" ht="14.25" customHeight="1" x14ac:dyDescent="0.25">
      <c r="C107" s="26"/>
      <c r="D107" s="26"/>
      <c r="BH107" s="74"/>
    </row>
    <row r="108" spans="3:60" ht="14.25" customHeight="1" x14ac:dyDescent="0.25">
      <c r="C108" s="26"/>
      <c r="D108" s="26"/>
      <c r="BH108" s="74"/>
    </row>
    <row r="109" spans="3:60" ht="14.25" customHeight="1" x14ac:dyDescent="0.25">
      <c r="C109" s="26"/>
      <c r="D109" s="26"/>
      <c r="BH109" s="74"/>
    </row>
    <row r="110" spans="3:60" ht="14.25" customHeight="1" x14ac:dyDescent="0.25">
      <c r="C110" s="26"/>
      <c r="D110" s="26"/>
      <c r="BH110" s="74"/>
    </row>
    <row r="111" spans="3:60" ht="14.25" customHeight="1" x14ac:dyDescent="0.25">
      <c r="C111" s="26"/>
      <c r="D111" s="26"/>
      <c r="BH111" s="74"/>
    </row>
    <row r="112" spans="3:60" ht="14.25" customHeight="1" x14ac:dyDescent="0.25">
      <c r="C112" s="26"/>
      <c r="D112" s="26"/>
      <c r="BH112" s="74"/>
    </row>
    <row r="113" spans="3:60" ht="14.25" customHeight="1" x14ac:dyDescent="0.25">
      <c r="C113" s="26"/>
      <c r="D113" s="26"/>
      <c r="BH113" s="74"/>
    </row>
    <row r="114" spans="3:60" ht="14.25" customHeight="1" x14ac:dyDescent="0.25">
      <c r="C114" s="26"/>
      <c r="D114" s="26"/>
      <c r="BH114" s="74"/>
    </row>
    <row r="115" spans="3:60" ht="14.25" customHeight="1" x14ac:dyDescent="0.25">
      <c r="C115" s="26"/>
      <c r="D115" s="26"/>
      <c r="BH115" s="74"/>
    </row>
    <row r="116" spans="3:60" ht="14.25" customHeight="1" x14ac:dyDescent="0.25">
      <c r="C116" s="26"/>
      <c r="D116" s="26"/>
      <c r="BH116" s="74"/>
    </row>
    <row r="117" spans="3:60" ht="14.25" customHeight="1" x14ac:dyDescent="0.25">
      <c r="C117" s="26"/>
      <c r="D117" s="26"/>
      <c r="BH117" s="74"/>
    </row>
    <row r="118" spans="3:60" ht="14.25" customHeight="1" x14ac:dyDescent="0.25">
      <c r="C118" s="26"/>
      <c r="D118" s="26"/>
      <c r="BH118" s="74"/>
    </row>
    <row r="119" spans="3:60" ht="14.25" customHeight="1" x14ac:dyDescent="0.25">
      <c r="C119" s="26"/>
      <c r="D119" s="26"/>
      <c r="BH119" s="74"/>
    </row>
    <row r="120" spans="3:60" ht="14.25" customHeight="1" x14ac:dyDescent="0.25">
      <c r="C120" s="26"/>
      <c r="D120" s="26"/>
      <c r="BH120" s="74"/>
    </row>
    <row r="121" spans="3:60" ht="14.25" customHeight="1" x14ac:dyDescent="0.25">
      <c r="C121" s="26"/>
      <c r="D121" s="26"/>
      <c r="BH121" s="74"/>
    </row>
    <row r="122" spans="3:60" ht="14.25" customHeight="1" x14ac:dyDescent="0.25">
      <c r="C122" s="26"/>
      <c r="D122" s="26"/>
      <c r="BH122" s="74"/>
    </row>
    <row r="123" spans="3:60" ht="14.25" customHeight="1" x14ac:dyDescent="0.25">
      <c r="C123" s="26"/>
      <c r="D123" s="26"/>
      <c r="BH123" s="74"/>
    </row>
    <row r="124" spans="3:60" ht="14.25" customHeight="1" x14ac:dyDescent="0.25">
      <c r="C124" s="26"/>
      <c r="D124" s="26"/>
      <c r="BH124" s="74"/>
    </row>
    <row r="125" spans="3:60" ht="14.25" customHeight="1" x14ac:dyDescent="0.25">
      <c r="C125" s="26"/>
      <c r="D125" s="26"/>
      <c r="BH125" s="74"/>
    </row>
    <row r="126" spans="3:60" ht="14.25" customHeight="1" x14ac:dyDescent="0.25">
      <c r="C126" s="26"/>
      <c r="D126" s="26"/>
      <c r="BH126" s="74"/>
    </row>
    <row r="127" spans="3:60" ht="14.25" customHeight="1" x14ac:dyDescent="0.25">
      <c r="C127" s="26"/>
      <c r="D127" s="26"/>
      <c r="BH127" s="74"/>
    </row>
    <row r="128" spans="3:60" ht="14.25" customHeight="1" x14ac:dyDescent="0.25">
      <c r="C128" s="26"/>
      <c r="D128" s="26"/>
      <c r="BH128" s="74"/>
    </row>
    <row r="129" spans="3:60" ht="14.25" customHeight="1" x14ac:dyDescent="0.25">
      <c r="C129" s="26"/>
      <c r="D129" s="26"/>
      <c r="BH129" s="74"/>
    </row>
    <row r="130" spans="3:60" ht="14.25" customHeight="1" x14ac:dyDescent="0.25">
      <c r="C130" s="26"/>
      <c r="D130" s="26"/>
      <c r="BH130" s="74"/>
    </row>
    <row r="131" spans="3:60" ht="14.25" customHeight="1" x14ac:dyDescent="0.25">
      <c r="C131" s="26"/>
      <c r="D131" s="26"/>
      <c r="BH131" s="74"/>
    </row>
    <row r="132" spans="3:60" ht="14.25" customHeight="1" x14ac:dyDescent="0.25">
      <c r="C132" s="26"/>
      <c r="D132" s="26"/>
      <c r="BH132" s="74"/>
    </row>
    <row r="133" spans="3:60" ht="14.25" customHeight="1" x14ac:dyDescent="0.25">
      <c r="C133" s="26"/>
      <c r="D133" s="26"/>
      <c r="BH133" s="74"/>
    </row>
    <row r="134" spans="3:60" ht="14.25" customHeight="1" x14ac:dyDescent="0.25">
      <c r="C134" s="26"/>
      <c r="D134" s="26"/>
      <c r="BH134" s="74"/>
    </row>
    <row r="135" spans="3:60" ht="14.25" customHeight="1" x14ac:dyDescent="0.25">
      <c r="C135" s="26"/>
      <c r="D135" s="26"/>
      <c r="BH135" s="74"/>
    </row>
    <row r="136" spans="3:60" ht="14.25" customHeight="1" x14ac:dyDescent="0.25">
      <c r="C136" s="26"/>
      <c r="D136" s="26"/>
      <c r="BH136" s="74"/>
    </row>
    <row r="137" spans="3:60" ht="14.25" customHeight="1" x14ac:dyDescent="0.25">
      <c r="C137" s="26"/>
      <c r="D137" s="26"/>
      <c r="BH137" s="74"/>
    </row>
    <row r="138" spans="3:60" ht="14.25" customHeight="1" x14ac:dyDescent="0.25">
      <c r="C138" s="26"/>
      <c r="D138" s="26"/>
      <c r="BH138" s="74"/>
    </row>
    <row r="139" spans="3:60" ht="14.25" customHeight="1" x14ac:dyDescent="0.25">
      <c r="C139" s="26"/>
      <c r="D139" s="26"/>
      <c r="BH139" s="74"/>
    </row>
    <row r="140" spans="3:60" ht="14.25" customHeight="1" x14ac:dyDescent="0.25">
      <c r="C140" s="26"/>
      <c r="D140" s="26"/>
      <c r="BH140" s="74"/>
    </row>
    <row r="141" spans="3:60" ht="14.25" customHeight="1" x14ac:dyDescent="0.25">
      <c r="C141" s="26"/>
      <c r="D141" s="26"/>
      <c r="BH141" s="74"/>
    </row>
    <row r="142" spans="3:60" ht="14.25" customHeight="1" x14ac:dyDescent="0.25">
      <c r="C142" s="26"/>
      <c r="D142" s="26"/>
      <c r="BH142" s="74"/>
    </row>
    <row r="143" spans="3:60" ht="14.25" customHeight="1" x14ac:dyDescent="0.25">
      <c r="C143" s="26"/>
      <c r="D143" s="26"/>
      <c r="BH143" s="74"/>
    </row>
    <row r="144" spans="3:60" ht="14.25" customHeight="1" x14ac:dyDescent="0.25">
      <c r="C144" s="26"/>
      <c r="D144" s="26"/>
      <c r="BH144" s="74"/>
    </row>
    <row r="145" spans="3:60" ht="14.25" customHeight="1" x14ac:dyDescent="0.25">
      <c r="C145" s="26"/>
      <c r="D145" s="26"/>
      <c r="BH145" s="74"/>
    </row>
    <row r="146" spans="3:60" ht="14.25" customHeight="1" x14ac:dyDescent="0.25">
      <c r="C146" s="26"/>
      <c r="D146" s="26"/>
      <c r="BH146" s="74"/>
    </row>
    <row r="147" spans="3:60" ht="14.25" customHeight="1" x14ac:dyDescent="0.25">
      <c r="C147" s="26"/>
      <c r="D147" s="26"/>
      <c r="BH147" s="74"/>
    </row>
    <row r="148" spans="3:60" ht="14.25" customHeight="1" x14ac:dyDescent="0.25">
      <c r="C148" s="26"/>
      <c r="D148" s="26"/>
      <c r="BH148" s="74"/>
    </row>
    <row r="149" spans="3:60" ht="14.25" customHeight="1" x14ac:dyDescent="0.25">
      <c r="C149" s="26"/>
      <c r="D149" s="26"/>
      <c r="BH149" s="74"/>
    </row>
    <row r="150" spans="3:60" ht="14.25" customHeight="1" x14ac:dyDescent="0.25">
      <c r="C150" s="26"/>
      <c r="D150" s="26"/>
      <c r="BH150" s="74"/>
    </row>
    <row r="151" spans="3:60" ht="14.25" customHeight="1" x14ac:dyDescent="0.25">
      <c r="C151" s="26"/>
      <c r="D151" s="26"/>
      <c r="BH151" s="74"/>
    </row>
    <row r="152" spans="3:60" ht="14.25" customHeight="1" x14ac:dyDescent="0.25">
      <c r="C152" s="26"/>
      <c r="D152" s="26"/>
      <c r="BH152" s="74"/>
    </row>
    <row r="153" spans="3:60" ht="14.25" customHeight="1" x14ac:dyDescent="0.25">
      <c r="C153" s="26"/>
      <c r="D153" s="26"/>
      <c r="BH153" s="74"/>
    </row>
    <row r="154" spans="3:60" ht="14.25" customHeight="1" x14ac:dyDescent="0.25">
      <c r="C154" s="26"/>
      <c r="D154" s="26"/>
      <c r="BH154" s="74"/>
    </row>
    <row r="155" spans="3:60" ht="14.25" customHeight="1" x14ac:dyDescent="0.25">
      <c r="C155" s="26"/>
      <c r="D155" s="26"/>
      <c r="BH155" s="74"/>
    </row>
    <row r="156" spans="3:60" ht="14.25" customHeight="1" x14ac:dyDescent="0.25">
      <c r="C156" s="26"/>
      <c r="D156" s="26"/>
      <c r="BH156" s="74"/>
    </row>
    <row r="157" spans="3:60" ht="14.25" customHeight="1" x14ac:dyDescent="0.25">
      <c r="C157" s="26"/>
      <c r="D157" s="26"/>
      <c r="BH157" s="74"/>
    </row>
    <row r="158" spans="3:60" ht="14.25" customHeight="1" x14ac:dyDescent="0.25">
      <c r="C158" s="26"/>
      <c r="D158" s="26"/>
      <c r="BH158" s="74"/>
    </row>
    <row r="159" spans="3:60" ht="14.25" customHeight="1" x14ac:dyDescent="0.25">
      <c r="C159" s="26"/>
      <c r="D159" s="26"/>
      <c r="BH159" s="74"/>
    </row>
    <row r="160" spans="3:60" ht="14.25" customHeight="1" x14ac:dyDescent="0.25">
      <c r="C160" s="26"/>
      <c r="D160" s="26"/>
      <c r="BH160" s="74"/>
    </row>
    <row r="161" spans="3:60" ht="14.25" customHeight="1" x14ac:dyDescent="0.25">
      <c r="C161" s="26"/>
      <c r="D161" s="26"/>
      <c r="BH161" s="74"/>
    </row>
    <row r="162" spans="3:60" ht="14.25" customHeight="1" x14ac:dyDescent="0.25">
      <c r="C162" s="26"/>
      <c r="D162" s="26"/>
      <c r="BH162" s="74"/>
    </row>
    <row r="163" spans="3:60" ht="14.25" customHeight="1" x14ac:dyDescent="0.25">
      <c r="C163" s="26"/>
      <c r="D163" s="26"/>
      <c r="BH163" s="74"/>
    </row>
    <row r="164" spans="3:60" ht="14.25" customHeight="1" x14ac:dyDescent="0.25">
      <c r="C164" s="26"/>
      <c r="D164" s="26"/>
      <c r="BH164" s="74"/>
    </row>
    <row r="165" spans="3:60" ht="14.25" customHeight="1" x14ac:dyDescent="0.25">
      <c r="C165" s="26"/>
      <c r="D165" s="26"/>
      <c r="BH165" s="74"/>
    </row>
    <row r="166" spans="3:60" ht="14.25" customHeight="1" x14ac:dyDescent="0.25">
      <c r="C166" s="26"/>
      <c r="D166" s="26"/>
      <c r="BH166" s="74"/>
    </row>
    <row r="167" spans="3:60" ht="14.25" customHeight="1" x14ac:dyDescent="0.25">
      <c r="C167" s="26"/>
      <c r="D167" s="26"/>
      <c r="BH167" s="74"/>
    </row>
    <row r="168" spans="3:60" ht="14.25" customHeight="1" x14ac:dyDescent="0.25">
      <c r="C168" s="26"/>
      <c r="D168" s="26"/>
      <c r="BH168" s="74"/>
    </row>
    <row r="169" spans="3:60" ht="14.25" customHeight="1" x14ac:dyDescent="0.25">
      <c r="C169" s="26"/>
      <c r="D169" s="26"/>
      <c r="BH169" s="74"/>
    </row>
    <row r="170" spans="3:60" ht="14.25" customHeight="1" x14ac:dyDescent="0.25">
      <c r="C170" s="26"/>
      <c r="D170" s="26"/>
      <c r="BH170" s="74"/>
    </row>
    <row r="171" spans="3:60" ht="14.25" customHeight="1" x14ac:dyDescent="0.25">
      <c r="C171" s="26"/>
      <c r="D171" s="26"/>
      <c r="BH171" s="74"/>
    </row>
    <row r="172" spans="3:60" ht="14.25" customHeight="1" x14ac:dyDescent="0.25">
      <c r="C172" s="26"/>
      <c r="D172" s="26"/>
      <c r="BH172" s="74"/>
    </row>
    <row r="173" spans="3:60" ht="14.25" customHeight="1" x14ac:dyDescent="0.25">
      <c r="C173" s="26"/>
      <c r="D173" s="26"/>
      <c r="BH173" s="74"/>
    </row>
    <row r="174" spans="3:60" ht="14.25" customHeight="1" x14ac:dyDescent="0.25">
      <c r="C174" s="26"/>
      <c r="D174" s="26"/>
      <c r="BH174" s="74"/>
    </row>
    <row r="175" spans="3:60" ht="14.25" customHeight="1" x14ac:dyDescent="0.25">
      <c r="C175" s="26"/>
      <c r="D175" s="26"/>
      <c r="BH175" s="74"/>
    </row>
    <row r="176" spans="3:60" ht="14.25" customHeight="1" x14ac:dyDescent="0.25">
      <c r="C176" s="26"/>
      <c r="D176" s="26"/>
      <c r="BH176" s="74"/>
    </row>
    <row r="177" spans="3:60" ht="14.25" customHeight="1" x14ac:dyDescent="0.25">
      <c r="C177" s="26"/>
      <c r="D177" s="26"/>
      <c r="BH177" s="74"/>
    </row>
    <row r="178" spans="3:60" ht="14.25" customHeight="1" x14ac:dyDescent="0.25">
      <c r="C178" s="26"/>
      <c r="D178" s="26"/>
      <c r="BH178" s="74"/>
    </row>
    <row r="179" spans="3:60" ht="14.25" customHeight="1" x14ac:dyDescent="0.25">
      <c r="C179" s="26"/>
      <c r="D179" s="26"/>
      <c r="BH179" s="74"/>
    </row>
    <row r="180" spans="3:60" ht="14.25" customHeight="1" x14ac:dyDescent="0.25">
      <c r="C180" s="26"/>
      <c r="D180" s="26"/>
      <c r="BH180" s="74"/>
    </row>
    <row r="181" spans="3:60" ht="14.25" customHeight="1" x14ac:dyDescent="0.25">
      <c r="C181" s="26"/>
      <c r="D181" s="26"/>
      <c r="BH181" s="74"/>
    </row>
    <row r="182" spans="3:60" ht="14.25" customHeight="1" x14ac:dyDescent="0.25">
      <c r="C182" s="26"/>
      <c r="D182" s="26"/>
      <c r="BH182" s="74"/>
    </row>
    <row r="183" spans="3:60" ht="14.25" customHeight="1" x14ac:dyDescent="0.25">
      <c r="C183" s="26"/>
      <c r="D183" s="26"/>
      <c r="BH183" s="74"/>
    </row>
    <row r="184" spans="3:60" ht="14.25" customHeight="1" x14ac:dyDescent="0.25">
      <c r="C184" s="26"/>
      <c r="D184" s="26"/>
      <c r="BH184" s="74"/>
    </row>
    <row r="185" spans="3:60" ht="14.25" customHeight="1" x14ac:dyDescent="0.25">
      <c r="C185" s="26"/>
      <c r="D185" s="26"/>
      <c r="BH185" s="74"/>
    </row>
    <row r="186" spans="3:60" ht="14.25" customHeight="1" x14ac:dyDescent="0.25">
      <c r="C186" s="26"/>
      <c r="D186" s="26"/>
      <c r="BH186" s="74"/>
    </row>
    <row r="187" spans="3:60" ht="14.25" customHeight="1" x14ac:dyDescent="0.25">
      <c r="C187" s="26"/>
      <c r="D187" s="26"/>
      <c r="BH187" s="74"/>
    </row>
    <row r="188" spans="3:60" ht="14.25" customHeight="1" x14ac:dyDescent="0.25">
      <c r="C188" s="26"/>
      <c r="D188" s="26"/>
      <c r="BH188" s="74"/>
    </row>
    <row r="189" spans="3:60" ht="14.25" customHeight="1" x14ac:dyDescent="0.25">
      <c r="C189" s="26"/>
      <c r="D189" s="26"/>
      <c r="BH189" s="74"/>
    </row>
    <row r="190" spans="3:60" ht="14.25" customHeight="1" x14ac:dyDescent="0.25">
      <c r="C190" s="26"/>
      <c r="D190" s="26"/>
      <c r="BH190" s="74"/>
    </row>
    <row r="191" spans="3:60" ht="14.25" customHeight="1" x14ac:dyDescent="0.25">
      <c r="C191" s="26"/>
      <c r="D191" s="26"/>
      <c r="BH191" s="74"/>
    </row>
    <row r="192" spans="3:60" ht="14.25" customHeight="1" x14ac:dyDescent="0.25">
      <c r="C192" s="26"/>
      <c r="D192" s="26"/>
      <c r="BH192" s="74"/>
    </row>
    <row r="193" spans="3:60" ht="14.25" customHeight="1" x14ac:dyDescent="0.25">
      <c r="C193" s="26"/>
      <c r="D193" s="26"/>
      <c r="BH193" s="74"/>
    </row>
    <row r="194" spans="3:60" ht="14.25" customHeight="1" x14ac:dyDescent="0.25">
      <c r="C194" s="26"/>
      <c r="D194" s="26"/>
      <c r="BH194" s="74"/>
    </row>
    <row r="195" spans="3:60" ht="14.25" customHeight="1" x14ac:dyDescent="0.25">
      <c r="C195" s="26"/>
      <c r="D195" s="26"/>
      <c r="BH195" s="74"/>
    </row>
    <row r="196" spans="3:60" ht="14.25" customHeight="1" x14ac:dyDescent="0.25">
      <c r="C196" s="26"/>
      <c r="D196" s="26"/>
      <c r="BH196" s="74"/>
    </row>
    <row r="197" spans="3:60" ht="14.25" customHeight="1" x14ac:dyDescent="0.25">
      <c r="C197" s="26"/>
      <c r="D197" s="26"/>
      <c r="BH197" s="74"/>
    </row>
    <row r="198" spans="3:60" ht="14.25" customHeight="1" x14ac:dyDescent="0.25">
      <c r="C198" s="26"/>
      <c r="D198" s="26"/>
      <c r="BH198" s="74"/>
    </row>
    <row r="199" spans="3:60" ht="14.25" customHeight="1" x14ac:dyDescent="0.25">
      <c r="C199" s="26"/>
      <c r="D199" s="26"/>
      <c r="BH199" s="74"/>
    </row>
    <row r="200" spans="3:60" ht="14.25" customHeight="1" x14ac:dyDescent="0.25">
      <c r="C200" s="26"/>
      <c r="D200" s="26"/>
      <c r="BH200" s="74"/>
    </row>
    <row r="201" spans="3:60" ht="14.25" customHeight="1" x14ac:dyDescent="0.25">
      <c r="C201" s="26"/>
      <c r="D201" s="26"/>
      <c r="BH201" s="74"/>
    </row>
    <row r="202" spans="3:60" ht="14.25" customHeight="1" x14ac:dyDescent="0.25">
      <c r="C202" s="26"/>
      <c r="D202" s="26"/>
      <c r="BH202" s="74"/>
    </row>
    <row r="203" spans="3:60" ht="14.25" customHeight="1" x14ac:dyDescent="0.25">
      <c r="C203" s="26"/>
      <c r="D203" s="26"/>
      <c r="BH203" s="74"/>
    </row>
    <row r="204" spans="3:60" ht="14.25" customHeight="1" x14ac:dyDescent="0.25">
      <c r="C204" s="26"/>
      <c r="D204" s="26"/>
      <c r="BH204" s="74"/>
    </row>
    <row r="205" spans="3:60" ht="14.25" customHeight="1" x14ac:dyDescent="0.25">
      <c r="C205" s="26"/>
      <c r="D205" s="26"/>
      <c r="BH205" s="74"/>
    </row>
    <row r="206" spans="3:60" ht="14.25" customHeight="1" x14ac:dyDescent="0.25">
      <c r="C206" s="26"/>
      <c r="D206" s="26"/>
      <c r="BH206" s="74"/>
    </row>
    <row r="207" spans="3:60" ht="14.25" customHeight="1" x14ac:dyDescent="0.25">
      <c r="C207" s="26"/>
      <c r="D207" s="26"/>
      <c r="BH207" s="74"/>
    </row>
    <row r="208" spans="3:60" ht="14.25" customHeight="1" x14ac:dyDescent="0.25">
      <c r="C208" s="26"/>
      <c r="D208" s="26"/>
      <c r="BH208" s="74"/>
    </row>
    <row r="209" spans="3:60" ht="14.25" customHeight="1" x14ac:dyDescent="0.25">
      <c r="C209" s="26"/>
      <c r="D209" s="26"/>
      <c r="BH209" s="74"/>
    </row>
    <row r="210" spans="3:60" ht="14.25" customHeight="1" x14ac:dyDescent="0.25">
      <c r="C210" s="26"/>
      <c r="D210" s="26"/>
      <c r="BH210" s="74"/>
    </row>
    <row r="211" spans="3:60" ht="14.25" customHeight="1" x14ac:dyDescent="0.25">
      <c r="C211" s="26"/>
      <c r="D211" s="26"/>
      <c r="BH211" s="74"/>
    </row>
    <row r="212" spans="3:60" ht="14.25" customHeight="1" x14ac:dyDescent="0.25">
      <c r="C212" s="26"/>
      <c r="D212" s="26"/>
      <c r="BH212" s="74"/>
    </row>
    <row r="213" spans="3:60" ht="14.25" customHeight="1" x14ac:dyDescent="0.25">
      <c r="C213" s="26"/>
      <c r="D213" s="26"/>
      <c r="BH213" s="74"/>
    </row>
    <row r="214" spans="3:60" ht="14.25" customHeight="1" x14ac:dyDescent="0.25">
      <c r="C214" s="26"/>
      <c r="D214" s="26"/>
      <c r="BH214" s="74"/>
    </row>
    <row r="215" spans="3:60" ht="14.25" customHeight="1" x14ac:dyDescent="0.25">
      <c r="C215" s="26"/>
      <c r="D215" s="26"/>
      <c r="BH215" s="74"/>
    </row>
    <row r="216" spans="3:60" ht="14.25" customHeight="1" x14ac:dyDescent="0.25">
      <c r="C216" s="26"/>
      <c r="D216" s="26"/>
      <c r="BH216" s="74"/>
    </row>
    <row r="217" spans="3:60" ht="14.25" customHeight="1" x14ac:dyDescent="0.25">
      <c r="C217" s="26"/>
      <c r="D217" s="26"/>
      <c r="BH217" s="74"/>
    </row>
    <row r="218" spans="3:60" ht="14.25" customHeight="1" x14ac:dyDescent="0.25">
      <c r="C218" s="26"/>
      <c r="D218" s="26"/>
      <c r="BH218" s="74"/>
    </row>
    <row r="219" spans="3:60" ht="14.25" customHeight="1" x14ac:dyDescent="0.25">
      <c r="C219" s="26"/>
      <c r="D219" s="26"/>
      <c r="BH219" s="74"/>
    </row>
    <row r="220" spans="3:60" ht="14.25" customHeight="1" x14ac:dyDescent="0.25">
      <c r="C220" s="26"/>
      <c r="D220" s="26"/>
      <c r="BH220" s="74"/>
    </row>
    <row r="221" spans="3:60" ht="14.25" customHeight="1" x14ac:dyDescent="0.25">
      <c r="C221" s="26"/>
      <c r="D221" s="26"/>
      <c r="BH221" s="74"/>
    </row>
    <row r="222" spans="3:60" ht="14.25" customHeight="1" x14ac:dyDescent="0.25">
      <c r="C222" s="26"/>
      <c r="D222" s="26"/>
      <c r="BH222" s="74"/>
    </row>
    <row r="223" spans="3:60" ht="14.25" customHeight="1" x14ac:dyDescent="0.25">
      <c r="C223" s="26"/>
      <c r="D223" s="26"/>
      <c r="BH223" s="74"/>
    </row>
    <row r="224" spans="3:60" ht="14.25" customHeight="1" x14ac:dyDescent="0.25">
      <c r="C224" s="26"/>
      <c r="D224" s="26"/>
      <c r="BH224" s="74"/>
    </row>
    <row r="225" spans="3:60" ht="14.25" customHeight="1" x14ac:dyDescent="0.25">
      <c r="C225" s="26"/>
      <c r="D225" s="26"/>
      <c r="BH225" s="74"/>
    </row>
    <row r="226" spans="3:60" ht="14.25" customHeight="1" x14ac:dyDescent="0.25">
      <c r="C226" s="26"/>
      <c r="D226" s="26"/>
      <c r="BH226" s="74"/>
    </row>
    <row r="227" spans="3:60" ht="14.25" customHeight="1" x14ac:dyDescent="0.25">
      <c r="C227" s="26"/>
      <c r="D227" s="26"/>
      <c r="BH227" s="74"/>
    </row>
    <row r="228" spans="3:60" ht="14.25" customHeight="1" x14ac:dyDescent="0.25">
      <c r="C228" s="26"/>
      <c r="D228" s="26"/>
      <c r="BH228" s="74"/>
    </row>
    <row r="229" spans="3:60" ht="14.25" customHeight="1" x14ac:dyDescent="0.25">
      <c r="C229" s="26"/>
      <c r="D229" s="26"/>
      <c r="BH229" s="74"/>
    </row>
    <row r="230" spans="3:60" ht="14.25" customHeight="1" x14ac:dyDescent="0.25">
      <c r="C230" s="26"/>
      <c r="D230" s="26"/>
      <c r="BH230" s="74"/>
    </row>
    <row r="231" spans="3:60" ht="14.25" customHeight="1" x14ac:dyDescent="0.25">
      <c r="C231" s="26"/>
      <c r="D231" s="26"/>
      <c r="BH231" s="74"/>
    </row>
    <row r="232" spans="3:60" ht="14.25" customHeight="1" x14ac:dyDescent="0.25">
      <c r="C232" s="26"/>
      <c r="D232" s="26"/>
      <c r="BH232" s="74"/>
    </row>
    <row r="233" spans="3:60" ht="14.25" customHeight="1" x14ac:dyDescent="0.25">
      <c r="C233" s="26"/>
      <c r="D233" s="26"/>
      <c r="BH233" s="74"/>
    </row>
    <row r="234" spans="3:60" ht="14.25" customHeight="1" x14ac:dyDescent="0.25">
      <c r="C234" s="26"/>
      <c r="D234" s="26"/>
      <c r="BH234" s="74"/>
    </row>
    <row r="235" spans="3:60" ht="14.25" customHeight="1" x14ac:dyDescent="0.25">
      <c r="C235" s="26"/>
      <c r="D235" s="26"/>
      <c r="BH235" s="74"/>
    </row>
    <row r="236" spans="3:60" ht="14.25" customHeight="1" x14ac:dyDescent="0.25">
      <c r="C236" s="26"/>
      <c r="D236" s="26"/>
      <c r="BH236" s="74"/>
    </row>
    <row r="237" spans="3:60" ht="14.25" customHeight="1" x14ac:dyDescent="0.25">
      <c r="C237" s="26"/>
      <c r="D237" s="26"/>
      <c r="BH237" s="74"/>
    </row>
    <row r="238" spans="3:60" ht="14.25" customHeight="1" x14ac:dyDescent="0.25">
      <c r="C238" s="26"/>
      <c r="D238" s="26"/>
      <c r="BH238" s="74"/>
    </row>
    <row r="239" spans="3:60" ht="14.25" customHeight="1" x14ac:dyDescent="0.25">
      <c r="C239" s="26"/>
      <c r="D239" s="26"/>
      <c r="BH239" s="74"/>
    </row>
    <row r="240" spans="3:60" ht="14.25" customHeight="1" x14ac:dyDescent="0.25">
      <c r="C240" s="26"/>
      <c r="D240" s="26"/>
      <c r="BH240" s="74"/>
    </row>
    <row r="241" spans="3:60" ht="14.25" customHeight="1" x14ac:dyDescent="0.25">
      <c r="C241" s="26"/>
      <c r="D241" s="26"/>
      <c r="BH241" s="74"/>
    </row>
    <row r="242" spans="3:60" ht="14.25" customHeight="1" x14ac:dyDescent="0.25">
      <c r="C242" s="26"/>
      <c r="D242" s="26"/>
      <c r="BH242" s="74"/>
    </row>
    <row r="243" spans="3:60" ht="14.25" customHeight="1" x14ac:dyDescent="0.25">
      <c r="C243" s="26"/>
      <c r="D243" s="26"/>
      <c r="BH243" s="74"/>
    </row>
    <row r="244" spans="3:60" ht="14.25" customHeight="1" x14ac:dyDescent="0.25">
      <c r="C244" s="26"/>
      <c r="D244" s="26"/>
      <c r="BH244" s="74"/>
    </row>
    <row r="245" spans="3:60" ht="14.25" customHeight="1" x14ac:dyDescent="0.25">
      <c r="C245" s="26"/>
      <c r="D245" s="26"/>
      <c r="BH245" s="74"/>
    </row>
    <row r="246" spans="3:60" ht="14.25" customHeight="1" x14ac:dyDescent="0.25">
      <c r="C246" s="26"/>
      <c r="D246" s="26"/>
      <c r="BH246" s="74"/>
    </row>
    <row r="247" spans="3:60" ht="14.25" customHeight="1" x14ac:dyDescent="0.25">
      <c r="C247" s="26"/>
      <c r="D247" s="26"/>
      <c r="BH247" s="74"/>
    </row>
    <row r="248" spans="3:60" ht="14.25" customHeight="1" x14ac:dyDescent="0.25">
      <c r="C248" s="26"/>
      <c r="D248" s="26"/>
      <c r="BH248" s="74"/>
    </row>
    <row r="249" spans="3:60" ht="14.25" customHeight="1" x14ac:dyDescent="0.25">
      <c r="C249" s="26"/>
      <c r="D249" s="26"/>
      <c r="BH249" s="74"/>
    </row>
    <row r="250" spans="3:60" ht="14.25" customHeight="1" x14ac:dyDescent="0.25">
      <c r="C250" s="26"/>
      <c r="D250" s="26"/>
      <c r="BH250" s="74"/>
    </row>
    <row r="251" spans="3:60" ht="14.25" customHeight="1" x14ac:dyDescent="0.25">
      <c r="C251" s="26"/>
      <c r="D251" s="26"/>
      <c r="BH251" s="74"/>
    </row>
    <row r="252" spans="3:60" ht="14.25" customHeight="1" x14ac:dyDescent="0.25">
      <c r="C252" s="26"/>
      <c r="D252" s="26"/>
      <c r="BH252" s="74"/>
    </row>
    <row r="253" spans="3:60" ht="14.25" customHeight="1" x14ac:dyDescent="0.25">
      <c r="C253" s="26"/>
      <c r="D253" s="26"/>
      <c r="BH253" s="74"/>
    </row>
    <row r="254" spans="3:60" ht="15.75" customHeight="1" x14ac:dyDescent="0.25">
      <c r="BH254" s="74"/>
    </row>
    <row r="255" spans="3:60" ht="15.75" customHeight="1" x14ac:dyDescent="0.25">
      <c r="BH255" s="74"/>
    </row>
    <row r="256" spans="3:60" ht="15.75" customHeight="1" x14ac:dyDescent="0.25">
      <c r="BH256" s="74"/>
    </row>
    <row r="257" spans="60:60" ht="15.75" customHeight="1" x14ac:dyDescent="0.25">
      <c r="BH257" s="74"/>
    </row>
    <row r="258" spans="60:60" ht="15.75" customHeight="1" x14ac:dyDescent="0.25">
      <c r="BH258" s="74"/>
    </row>
    <row r="259" spans="60:60" ht="15.75" customHeight="1" x14ac:dyDescent="0.25">
      <c r="BH259" s="74"/>
    </row>
    <row r="260" spans="60:60" ht="15.75" customHeight="1" x14ac:dyDescent="0.25">
      <c r="BH260" s="74"/>
    </row>
    <row r="261" spans="60:60" ht="15.75" customHeight="1" x14ac:dyDescent="0.25">
      <c r="BH261" s="74"/>
    </row>
    <row r="262" spans="60:60" ht="15.75" customHeight="1" x14ac:dyDescent="0.25">
      <c r="BH262" s="74"/>
    </row>
    <row r="263" spans="60:60" ht="15.75" customHeight="1" x14ac:dyDescent="0.25">
      <c r="BH263" s="74"/>
    </row>
    <row r="264" spans="60:60" ht="15.75" customHeight="1" x14ac:dyDescent="0.25">
      <c r="BH264" s="74"/>
    </row>
    <row r="265" spans="60:60" ht="15.75" customHeight="1" x14ac:dyDescent="0.25">
      <c r="BH265" s="74"/>
    </row>
    <row r="266" spans="60:60" ht="15.75" customHeight="1" x14ac:dyDescent="0.25">
      <c r="BH266" s="74"/>
    </row>
    <row r="267" spans="60:60" ht="15.75" customHeight="1" x14ac:dyDescent="0.25">
      <c r="BH267" s="74"/>
    </row>
    <row r="268" spans="60:60" ht="15.75" customHeight="1" x14ac:dyDescent="0.25">
      <c r="BH268" s="74"/>
    </row>
    <row r="269" spans="60:60" ht="15.75" customHeight="1" x14ac:dyDescent="0.25">
      <c r="BH269" s="74"/>
    </row>
    <row r="270" spans="60:60" ht="15.75" customHeight="1" x14ac:dyDescent="0.25">
      <c r="BH270" s="74"/>
    </row>
    <row r="271" spans="60:60" ht="15.75" customHeight="1" x14ac:dyDescent="0.25">
      <c r="BH271" s="74"/>
    </row>
    <row r="272" spans="60:60" ht="15.75" customHeight="1" x14ac:dyDescent="0.25">
      <c r="BH272" s="74"/>
    </row>
    <row r="273" spans="60:60" ht="15.75" customHeight="1" x14ac:dyDescent="0.25">
      <c r="BH273" s="74"/>
    </row>
    <row r="274" spans="60:60" ht="15.75" customHeight="1" x14ac:dyDescent="0.25">
      <c r="BH274" s="74"/>
    </row>
    <row r="275" spans="60:60" ht="15.75" customHeight="1" x14ac:dyDescent="0.25">
      <c r="BH275" s="74"/>
    </row>
    <row r="276" spans="60:60" ht="15.75" customHeight="1" x14ac:dyDescent="0.25">
      <c r="BH276" s="74"/>
    </row>
    <row r="277" spans="60:60" ht="15.75" customHeight="1" x14ac:dyDescent="0.25">
      <c r="BH277" s="74"/>
    </row>
    <row r="278" spans="60:60" ht="15.75" customHeight="1" x14ac:dyDescent="0.25">
      <c r="BH278" s="74"/>
    </row>
    <row r="279" spans="60:60" ht="15.75" customHeight="1" x14ac:dyDescent="0.25">
      <c r="BH279" s="74"/>
    </row>
    <row r="280" spans="60:60" ht="15.75" customHeight="1" x14ac:dyDescent="0.25">
      <c r="BH280" s="74"/>
    </row>
    <row r="281" spans="60:60" ht="15.75" customHeight="1" x14ac:dyDescent="0.25">
      <c r="BH281" s="74"/>
    </row>
    <row r="282" spans="60:60" ht="15.75" customHeight="1" x14ac:dyDescent="0.25">
      <c r="BH282" s="74"/>
    </row>
    <row r="283" spans="60:60" ht="15.75" customHeight="1" x14ac:dyDescent="0.25">
      <c r="BH283" s="74"/>
    </row>
    <row r="284" spans="60:60" ht="15.75" customHeight="1" x14ac:dyDescent="0.25">
      <c r="BH284" s="74"/>
    </row>
    <row r="285" spans="60:60" ht="15.75" customHeight="1" x14ac:dyDescent="0.25">
      <c r="BH285" s="74"/>
    </row>
    <row r="286" spans="60:60" ht="15.75" customHeight="1" x14ac:dyDescent="0.25">
      <c r="BH286" s="74"/>
    </row>
    <row r="287" spans="60:60" ht="15.75" customHeight="1" x14ac:dyDescent="0.25">
      <c r="BH287" s="74"/>
    </row>
    <row r="288" spans="60:60" ht="15.75" customHeight="1" x14ac:dyDescent="0.25">
      <c r="BH288" s="74"/>
    </row>
    <row r="289" spans="60:60" ht="15.75" customHeight="1" x14ac:dyDescent="0.25">
      <c r="BH289" s="74"/>
    </row>
    <row r="290" spans="60:60" ht="15.75" customHeight="1" x14ac:dyDescent="0.25">
      <c r="BH290" s="74"/>
    </row>
    <row r="291" spans="60:60" ht="15.75" customHeight="1" x14ac:dyDescent="0.25">
      <c r="BH291" s="74"/>
    </row>
    <row r="292" spans="60:60" ht="15.75" customHeight="1" x14ac:dyDescent="0.25">
      <c r="BH292" s="74"/>
    </row>
    <row r="293" spans="60:60" ht="15.75" customHeight="1" x14ac:dyDescent="0.25">
      <c r="BH293" s="74"/>
    </row>
    <row r="294" spans="60:60" ht="15.75" customHeight="1" x14ac:dyDescent="0.25">
      <c r="BH294" s="74"/>
    </row>
    <row r="295" spans="60:60" ht="15.75" customHeight="1" x14ac:dyDescent="0.25">
      <c r="BH295" s="74"/>
    </row>
    <row r="296" spans="60:60" ht="15.75" customHeight="1" x14ac:dyDescent="0.25">
      <c r="BH296" s="74"/>
    </row>
    <row r="297" spans="60:60" ht="15.75" customHeight="1" x14ac:dyDescent="0.25">
      <c r="BH297" s="74"/>
    </row>
    <row r="298" spans="60:60" ht="15.75" customHeight="1" x14ac:dyDescent="0.25">
      <c r="BH298" s="74"/>
    </row>
    <row r="299" spans="60:60" ht="15.75" customHeight="1" x14ac:dyDescent="0.25">
      <c r="BH299" s="74"/>
    </row>
    <row r="300" spans="60:60" ht="15.75" customHeight="1" x14ac:dyDescent="0.25">
      <c r="BH300" s="74"/>
    </row>
    <row r="301" spans="60:60" ht="15.75" customHeight="1" x14ac:dyDescent="0.25">
      <c r="BH301" s="74"/>
    </row>
    <row r="302" spans="60:60" ht="15.75" customHeight="1" x14ac:dyDescent="0.25">
      <c r="BH302" s="74"/>
    </row>
    <row r="303" spans="60:60" ht="15.75" customHeight="1" x14ac:dyDescent="0.25">
      <c r="BH303" s="74"/>
    </row>
    <row r="304" spans="60:60" ht="15.75" customHeight="1" x14ac:dyDescent="0.25">
      <c r="BH304" s="74"/>
    </row>
    <row r="305" spans="60:60" ht="15.75" customHeight="1" x14ac:dyDescent="0.25">
      <c r="BH305" s="74"/>
    </row>
    <row r="306" spans="60:60" ht="15.75" customHeight="1" x14ac:dyDescent="0.25">
      <c r="BH306" s="74"/>
    </row>
    <row r="307" spans="60:60" ht="15.75" customHeight="1" x14ac:dyDescent="0.25">
      <c r="BH307" s="74"/>
    </row>
    <row r="308" spans="60:60" ht="15.75" customHeight="1" x14ac:dyDescent="0.25">
      <c r="BH308" s="74"/>
    </row>
    <row r="309" spans="60:60" ht="15.75" customHeight="1" x14ac:dyDescent="0.25">
      <c r="BH309" s="74"/>
    </row>
    <row r="310" spans="60:60" ht="15.75" customHeight="1" x14ac:dyDescent="0.25">
      <c r="BH310" s="74"/>
    </row>
    <row r="311" spans="60:60" ht="15.75" customHeight="1" x14ac:dyDescent="0.25">
      <c r="BH311" s="74"/>
    </row>
    <row r="312" spans="60:60" ht="15.75" customHeight="1" x14ac:dyDescent="0.25">
      <c r="BH312" s="74"/>
    </row>
    <row r="313" spans="60:60" ht="15.75" customHeight="1" x14ac:dyDescent="0.25">
      <c r="BH313" s="74"/>
    </row>
    <row r="314" spans="60:60" ht="15.75" customHeight="1" x14ac:dyDescent="0.25">
      <c r="BH314" s="74"/>
    </row>
    <row r="315" spans="60:60" ht="15.75" customHeight="1" x14ac:dyDescent="0.25">
      <c r="BH315" s="74"/>
    </row>
    <row r="316" spans="60:60" ht="15.75" customHeight="1" x14ac:dyDescent="0.25">
      <c r="BH316" s="74"/>
    </row>
    <row r="317" spans="60:60" ht="15.75" customHeight="1" x14ac:dyDescent="0.25">
      <c r="BH317" s="74"/>
    </row>
    <row r="318" spans="60:60" ht="15.75" customHeight="1" x14ac:dyDescent="0.25">
      <c r="BH318" s="74"/>
    </row>
    <row r="319" spans="60:60" ht="15.75" customHeight="1" x14ac:dyDescent="0.25">
      <c r="BH319" s="74"/>
    </row>
    <row r="320" spans="60:60" ht="15.75" customHeight="1" x14ac:dyDescent="0.25">
      <c r="BH320" s="74"/>
    </row>
    <row r="321" spans="60:60" ht="15.75" customHeight="1" x14ac:dyDescent="0.25">
      <c r="BH321" s="74"/>
    </row>
    <row r="322" spans="60:60" ht="15.75" customHeight="1" x14ac:dyDescent="0.25">
      <c r="BH322" s="74"/>
    </row>
    <row r="323" spans="60:60" ht="15.75" customHeight="1" x14ac:dyDescent="0.25">
      <c r="BH323" s="74"/>
    </row>
    <row r="324" spans="60:60" ht="15.75" customHeight="1" x14ac:dyDescent="0.25">
      <c r="BH324" s="74"/>
    </row>
    <row r="325" spans="60:60" ht="15.75" customHeight="1" x14ac:dyDescent="0.25">
      <c r="BH325" s="74"/>
    </row>
    <row r="326" spans="60:60" ht="15.75" customHeight="1" x14ac:dyDescent="0.25">
      <c r="BH326" s="74"/>
    </row>
    <row r="327" spans="60:60" ht="15.75" customHeight="1" x14ac:dyDescent="0.25">
      <c r="BH327" s="74"/>
    </row>
    <row r="328" spans="60:60" ht="15.75" customHeight="1" x14ac:dyDescent="0.25">
      <c r="BH328" s="74"/>
    </row>
    <row r="329" spans="60:60" ht="15.75" customHeight="1" x14ac:dyDescent="0.25">
      <c r="BH329" s="74"/>
    </row>
    <row r="330" spans="60:60" ht="15.75" customHeight="1" x14ac:dyDescent="0.25">
      <c r="BH330" s="74"/>
    </row>
    <row r="331" spans="60:60" ht="15.75" customHeight="1" x14ac:dyDescent="0.25">
      <c r="BH331" s="74"/>
    </row>
    <row r="332" spans="60:60" ht="15.75" customHeight="1" x14ac:dyDescent="0.25">
      <c r="BH332" s="74"/>
    </row>
    <row r="333" spans="60:60" ht="15.75" customHeight="1" x14ac:dyDescent="0.25">
      <c r="BH333" s="74"/>
    </row>
    <row r="334" spans="60:60" ht="15.75" customHeight="1" x14ac:dyDescent="0.25">
      <c r="BH334" s="74"/>
    </row>
    <row r="335" spans="60:60" ht="15.75" customHeight="1" x14ac:dyDescent="0.25">
      <c r="BH335" s="74"/>
    </row>
    <row r="336" spans="60:60" ht="15.75" customHeight="1" x14ac:dyDescent="0.25">
      <c r="BH336" s="74"/>
    </row>
    <row r="337" spans="60:60" ht="15.75" customHeight="1" x14ac:dyDescent="0.25">
      <c r="BH337" s="74"/>
    </row>
    <row r="338" spans="60:60" ht="15.75" customHeight="1" x14ac:dyDescent="0.25">
      <c r="BH338" s="74"/>
    </row>
    <row r="339" spans="60:60" ht="15.75" customHeight="1" x14ac:dyDescent="0.25">
      <c r="BH339" s="74"/>
    </row>
    <row r="340" spans="60:60" ht="15.75" customHeight="1" x14ac:dyDescent="0.25">
      <c r="BH340" s="74"/>
    </row>
    <row r="341" spans="60:60" ht="15.75" customHeight="1" x14ac:dyDescent="0.25">
      <c r="BH341" s="74"/>
    </row>
    <row r="342" spans="60:60" ht="15.75" customHeight="1" x14ac:dyDescent="0.25">
      <c r="BH342" s="74"/>
    </row>
    <row r="343" spans="60:60" ht="15.75" customHeight="1" x14ac:dyDescent="0.25">
      <c r="BH343" s="74"/>
    </row>
    <row r="344" spans="60:60" ht="15.75" customHeight="1" x14ac:dyDescent="0.25">
      <c r="BH344" s="74"/>
    </row>
    <row r="345" spans="60:60" ht="15.75" customHeight="1" x14ac:dyDescent="0.25">
      <c r="BH345" s="74"/>
    </row>
    <row r="346" spans="60:60" ht="15.75" customHeight="1" x14ac:dyDescent="0.25">
      <c r="BH346" s="74"/>
    </row>
    <row r="347" spans="60:60" ht="15.75" customHeight="1" x14ac:dyDescent="0.25">
      <c r="BH347" s="74"/>
    </row>
    <row r="348" spans="60:60" ht="15.75" customHeight="1" x14ac:dyDescent="0.25">
      <c r="BH348" s="74"/>
    </row>
    <row r="349" spans="60:60" ht="15.75" customHeight="1" x14ac:dyDescent="0.25">
      <c r="BH349" s="74"/>
    </row>
    <row r="350" spans="60:60" ht="15.75" customHeight="1" x14ac:dyDescent="0.25">
      <c r="BH350" s="74"/>
    </row>
    <row r="351" spans="60:60" ht="15.75" customHeight="1" x14ac:dyDescent="0.25">
      <c r="BH351" s="74"/>
    </row>
    <row r="352" spans="60:60" ht="15.75" customHeight="1" x14ac:dyDescent="0.25">
      <c r="BH352" s="74"/>
    </row>
    <row r="353" spans="60:60" ht="15.75" customHeight="1" x14ac:dyDescent="0.25">
      <c r="BH353" s="74"/>
    </row>
    <row r="354" spans="60:60" ht="15.75" customHeight="1" x14ac:dyDescent="0.25">
      <c r="BH354" s="74"/>
    </row>
    <row r="355" spans="60:60" ht="15.75" customHeight="1" x14ac:dyDescent="0.25">
      <c r="BH355" s="74"/>
    </row>
    <row r="356" spans="60:60" ht="15.75" customHeight="1" x14ac:dyDescent="0.25">
      <c r="BH356" s="74"/>
    </row>
    <row r="357" spans="60:60" ht="15.75" customHeight="1" x14ac:dyDescent="0.25">
      <c r="BH357" s="74"/>
    </row>
    <row r="358" spans="60:60" ht="15.75" customHeight="1" x14ac:dyDescent="0.25">
      <c r="BH358" s="74"/>
    </row>
    <row r="359" spans="60:60" ht="15.75" customHeight="1" x14ac:dyDescent="0.25">
      <c r="BH359" s="74"/>
    </row>
    <row r="360" spans="60:60" ht="15.75" customHeight="1" x14ac:dyDescent="0.25">
      <c r="BH360" s="74"/>
    </row>
    <row r="361" spans="60:60" ht="15.75" customHeight="1" x14ac:dyDescent="0.25">
      <c r="BH361" s="74"/>
    </row>
    <row r="362" spans="60:60" ht="15.75" customHeight="1" x14ac:dyDescent="0.25">
      <c r="BH362" s="74"/>
    </row>
    <row r="363" spans="60:60" ht="15.75" customHeight="1" x14ac:dyDescent="0.25">
      <c r="BH363" s="74"/>
    </row>
    <row r="364" spans="60:60" ht="15.75" customHeight="1" x14ac:dyDescent="0.25">
      <c r="BH364" s="74"/>
    </row>
    <row r="365" spans="60:60" ht="15.75" customHeight="1" x14ac:dyDescent="0.25">
      <c r="BH365" s="74"/>
    </row>
    <row r="366" spans="60:60" ht="15.75" customHeight="1" x14ac:dyDescent="0.25">
      <c r="BH366" s="74"/>
    </row>
    <row r="367" spans="60:60" ht="15.75" customHeight="1" x14ac:dyDescent="0.25">
      <c r="BH367" s="74"/>
    </row>
    <row r="368" spans="60:60" ht="15.75" customHeight="1" x14ac:dyDescent="0.25">
      <c r="BH368" s="74"/>
    </row>
    <row r="369" spans="60:60" ht="15.75" customHeight="1" x14ac:dyDescent="0.25">
      <c r="BH369" s="74"/>
    </row>
    <row r="370" spans="60:60" ht="15.75" customHeight="1" x14ac:dyDescent="0.25">
      <c r="BH370" s="74"/>
    </row>
    <row r="371" spans="60:60" ht="15.75" customHeight="1" x14ac:dyDescent="0.25">
      <c r="BH371" s="74"/>
    </row>
    <row r="372" spans="60:60" ht="15.75" customHeight="1" x14ac:dyDescent="0.25">
      <c r="BH372" s="74"/>
    </row>
    <row r="373" spans="60:60" ht="15.75" customHeight="1" x14ac:dyDescent="0.25">
      <c r="BH373" s="74"/>
    </row>
    <row r="374" spans="60:60" ht="15.75" customHeight="1" x14ac:dyDescent="0.25">
      <c r="BH374" s="74"/>
    </row>
    <row r="375" spans="60:60" ht="15.75" customHeight="1" x14ac:dyDescent="0.25">
      <c r="BH375" s="74"/>
    </row>
    <row r="376" spans="60:60" ht="15.75" customHeight="1" x14ac:dyDescent="0.25">
      <c r="BH376" s="74"/>
    </row>
    <row r="377" spans="60:60" ht="15.75" customHeight="1" x14ac:dyDescent="0.25">
      <c r="BH377" s="74"/>
    </row>
    <row r="378" spans="60:60" ht="15.75" customHeight="1" x14ac:dyDescent="0.25">
      <c r="BH378" s="74"/>
    </row>
    <row r="379" spans="60:60" ht="15.75" customHeight="1" x14ac:dyDescent="0.25">
      <c r="BH379" s="74"/>
    </row>
    <row r="380" spans="60:60" ht="15.75" customHeight="1" x14ac:dyDescent="0.25">
      <c r="BH380" s="74"/>
    </row>
    <row r="381" spans="60:60" ht="15.75" customHeight="1" x14ac:dyDescent="0.25">
      <c r="BH381" s="74"/>
    </row>
    <row r="382" spans="60:60" ht="15.75" customHeight="1" x14ac:dyDescent="0.25">
      <c r="BH382" s="74"/>
    </row>
    <row r="383" spans="60:60" ht="15.75" customHeight="1" x14ac:dyDescent="0.25">
      <c r="BH383" s="74"/>
    </row>
    <row r="384" spans="60:60" ht="15.75" customHeight="1" x14ac:dyDescent="0.25">
      <c r="BH384" s="74"/>
    </row>
    <row r="385" spans="60:60" ht="15.75" customHeight="1" x14ac:dyDescent="0.25">
      <c r="BH385" s="74"/>
    </row>
    <row r="386" spans="60:60" ht="15.75" customHeight="1" x14ac:dyDescent="0.25">
      <c r="BH386" s="74"/>
    </row>
    <row r="387" spans="60:60" ht="15.75" customHeight="1" x14ac:dyDescent="0.25">
      <c r="BH387" s="74"/>
    </row>
    <row r="388" spans="60:60" ht="15.75" customHeight="1" x14ac:dyDescent="0.25">
      <c r="BH388" s="74"/>
    </row>
    <row r="389" spans="60:60" ht="15.75" customHeight="1" x14ac:dyDescent="0.25">
      <c r="BH389" s="74"/>
    </row>
    <row r="390" spans="60:60" ht="15.75" customHeight="1" x14ac:dyDescent="0.25">
      <c r="BH390" s="74"/>
    </row>
    <row r="391" spans="60:60" ht="15.75" customHeight="1" x14ac:dyDescent="0.25">
      <c r="BH391" s="74"/>
    </row>
    <row r="392" spans="60:60" ht="15.75" customHeight="1" x14ac:dyDescent="0.25">
      <c r="BH392" s="74"/>
    </row>
    <row r="393" spans="60:60" ht="15.75" customHeight="1" x14ac:dyDescent="0.25">
      <c r="BH393" s="74"/>
    </row>
    <row r="394" spans="60:60" ht="15.75" customHeight="1" x14ac:dyDescent="0.25">
      <c r="BH394" s="74"/>
    </row>
    <row r="395" spans="60:60" ht="15.75" customHeight="1" x14ac:dyDescent="0.25">
      <c r="BH395" s="74"/>
    </row>
    <row r="396" spans="60:60" ht="15.75" customHeight="1" x14ac:dyDescent="0.25">
      <c r="BH396" s="74"/>
    </row>
    <row r="397" spans="60:60" ht="15.75" customHeight="1" x14ac:dyDescent="0.25">
      <c r="BH397" s="74"/>
    </row>
    <row r="398" spans="60:60" ht="15.75" customHeight="1" x14ac:dyDescent="0.25">
      <c r="BH398" s="74"/>
    </row>
    <row r="399" spans="60:60" ht="15.75" customHeight="1" x14ac:dyDescent="0.25">
      <c r="BH399" s="74"/>
    </row>
    <row r="400" spans="60:60" ht="15.75" customHeight="1" x14ac:dyDescent="0.25">
      <c r="BH400" s="74"/>
    </row>
    <row r="401" spans="60:60" ht="15.75" customHeight="1" x14ac:dyDescent="0.25">
      <c r="BH401" s="74"/>
    </row>
    <row r="402" spans="60:60" ht="15.75" customHeight="1" x14ac:dyDescent="0.25">
      <c r="BH402" s="74"/>
    </row>
    <row r="403" spans="60:60" ht="15.75" customHeight="1" x14ac:dyDescent="0.25">
      <c r="BH403" s="74"/>
    </row>
    <row r="404" spans="60:60" ht="15.75" customHeight="1" x14ac:dyDescent="0.25">
      <c r="BH404" s="74"/>
    </row>
    <row r="405" spans="60:60" ht="15.75" customHeight="1" x14ac:dyDescent="0.25">
      <c r="BH405" s="74"/>
    </row>
    <row r="406" spans="60:60" ht="15.75" customHeight="1" x14ac:dyDescent="0.25">
      <c r="BH406" s="74"/>
    </row>
    <row r="407" spans="60:60" ht="15.75" customHeight="1" x14ac:dyDescent="0.25">
      <c r="BH407" s="74"/>
    </row>
    <row r="408" spans="60:60" ht="15.75" customHeight="1" x14ac:dyDescent="0.25">
      <c r="BH408" s="74"/>
    </row>
    <row r="409" spans="60:60" ht="15.75" customHeight="1" x14ac:dyDescent="0.25">
      <c r="BH409" s="74"/>
    </row>
    <row r="410" spans="60:60" ht="15.75" customHeight="1" x14ac:dyDescent="0.25">
      <c r="BH410" s="74"/>
    </row>
    <row r="411" spans="60:60" ht="15.75" customHeight="1" x14ac:dyDescent="0.25">
      <c r="BH411" s="74"/>
    </row>
    <row r="412" spans="60:60" ht="15.75" customHeight="1" x14ac:dyDescent="0.25">
      <c r="BH412" s="74"/>
    </row>
    <row r="413" spans="60:60" ht="15.75" customHeight="1" x14ac:dyDescent="0.25">
      <c r="BH413" s="74"/>
    </row>
    <row r="414" spans="60:60" ht="15.75" customHeight="1" x14ac:dyDescent="0.25">
      <c r="BH414" s="74"/>
    </row>
    <row r="415" spans="60:60" ht="15.75" customHeight="1" x14ac:dyDescent="0.25">
      <c r="BH415" s="74"/>
    </row>
    <row r="416" spans="60:60" ht="15.75" customHeight="1" x14ac:dyDescent="0.25">
      <c r="BH416" s="74"/>
    </row>
    <row r="417" spans="60:60" ht="15.75" customHeight="1" x14ac:dyDescent="0.25">
      <c r="BH417" s="74"/>
    </row>
    <row r="418" spans="60:60" ht="15.75" customHeight="1" x14ac:dyDescent="0.25">
      <c r="BH418" s="74"/>
    </row>
    <row r="419" spans="60:60" ht="15.75" customHeight="1" x14ac:dyDescent="0.25">
      <c r="BH419" s="74"/>
    </row>
    <row r="420" spans="60:60" ht="15.75" customHeight="1" x14ac:dyDescent="0.25">
      <c r="BH420" s="74"/>
    </row>
    <row r="421" spans="60:60" ht="15.75" customHeight="1" x14ac:dyDescent="0.25">
      <c r="BH421" s="74"/>
    </row>
    <row r="422" spans="60:60" ht="15.75" customHeight="1" x14ac:dyDescent="0.25">
      <c r="BH422" s="74"/>
    </row>
    <row r="423" spans="60:60" ht="15.75" customHeight="1" x14ac:dyDescent="0.25">
      <c r="BH423" s="74"/>
    </row>
    <row r="424" spans="60:60" ht="15.75" customHeight="1" x14ac:dyDescent="0.25">
      <c r="BH424" s="74"/>
    </row>
    <row r="425" spans="60:60" ht="15.75" customHeight="1" x14ac:dyDescent="0.25">
      <c r="BH425" s="74"/>
    </row>
    <row r="426" spans="60:60" ht="15.75" customHeight="1" x14ac:dyDescent="0.25">
      <c r="BH426" s="74"/>
    </row>
    <row r="427" spans="60:60" ht="15.75" customHeight="1" x14ac:dyDescent="0.25">
      <c r="BH427" s="74"/>
    </row>
    <row r="428" spans="60:60" ht="15.75" customHeight="1" x14ac:dyDescent="0.25">
      <c r="BH428" s="74"/>
    </row>
    <row r="429" spans="60:60" ht="15.75" customHeight="1" x14ac:dyDescent="0.25">
      <c r="BH429" s="74"/>
    </row>
    <row r="430" spans="60:60" ht="15.75" customHeight="1" x14ac:dyDescent="0.25">
      <c r="BH430" s="74"/>
    </row>
    <row r="431" spans="60:60" ht="15.75" customHeight="1" x14ac:dyDescent="0.25">
      <c r="BH431" s="74"/>
    </row>
    <row r="432" spans="60:60" ht="15.75" customHeight="1" x14ac:dyDescent="0.25">
      <c r="BH432" s="74"/>
    </row>
    <row r="433" spans="60:60" ht="15.75" customHeight="1" x14ac:dyDescent="0.25">
      <c r="BH433" s="74"/>
    </row>
    <row r="434" spans="60:60" ht="15.75" customHeight="1" x14ac:dyDescent="0.25">
      <c r="BH434" s="74"/>
    </row>
    <row r="435" spans="60:60" ht="15.75" customHeight="1" x14ac:dyDescent="0.25">
      <c r="BH435" s="74"/>
    </row>
    <row r="436" spans="60:60" ht="15.75" customHeight="1" x14ac:dyDescent="0.25">
      <c r="BH436" s="74"/>
    </row>
    <row r="437" spans="60:60" ht="15.75" customHeight="1" x14ac:dyDescent="0.25">
      <c r="BH437" s="74"/>
    </row>
    <row r="438" spans="60:60" ht="15.75" customHeight="1" x14ac:dyDescent="0.25">
      <c r="BH438" s="74"/>
    </row>
    <row r="439" spans="60:60" ht="15.75" customHeight="1" x14ac:dyDescent="0.25">
      <c r="BH439" s="74"/>
    </row>
    <row r="440" spans="60:60" ht="15.75" customHeight="1" x14ac:dyDescent="0.25">
      <c r="BH440" s="74"/>
    </row>
    <row r="441" spans="60:60" ht="15.75" customHeight="1" x14ac:dyDescent="0.25">
      <c r="BH441" s="74"/>
    </row>
    <row r="442" spans="60:60" ht="15.75" customHeight="1" x14ac:dyDescent="0.25">
      <c r="BH442" s="74"/>
    </row>
    <row r="443" spans="60:60" ht="15.75" customHeight="1" x14ac:dyDescent="0.25">
      <c r="BH443" s="74"/>
    </row>
    <row r="444" spans="60:60" ht="15.75" customHeight="1" x14ac:dyDescent="0.25">
      <c r="BH444" s="74"/>
    </row>
    <row r="445" spans="60:60" ht="15.75" customHeight="1" x14ac:dyDescent="0.25">
      <c r="BH445" s="74"/>
    </row>
    <row r="446" spans="60:60" ht="15.75" customHeight="1" x14ac:dyDescent="0.25">
      <c r="BH446" s="74"/>
    </row>
    <row r="447" spans="60:60" ht="15.75" customHeight="1" x14ac:dyDescent="0.25">
      <c r="BH447" s="74"/>
    </row>
    <row r="448" spans="60:60" ht="15.75" customHeight="1" x14ac:dyDescent="0.25">
      <c r="BH448" s="74"/>
    </row>
    <row r="449" spans="60:60" ht="15.75" customHeight="1" x14ac:dyDescent="0.25">
      <c r="BH449" s="74"/>
    </row>
    <row r="450" spans="60:60" ht="15.75" customHeight="1" x14ac:dyDescent="0.25">
      <c r="BH450" s="74"/>
    </row>
    <row r="451" spans="60:60" ht="15.75" customHeight="1" x14ac:dyDescent="0.25">
      <c r="BH451" s="74"/>
    </row>
    <row r="452" spans="60:60" ht="15.75" customHeight="1" x14ac:dyDescent="0.25">
      <c r="BH452" s="74"/>
    </row>
    <row r="453" spans="60:60" ht="15.75" customHeight="1" x14ac:dyDescent="0.25">
      <c r="BH453" s="74"/>
    </row>
    <row r="454" spans="60:60" ht="15.75" customHeight="1" x14ac:dyDescent="0.25">
      <c r="BH454" s="74"/>
    </row>
    <row r="455" spans="60:60" ht="15.75" customHeight="1" x14ac:dyDescent="0.25">
      <c r="BH455" s="74"/>
    </row>
    <row r="456" spans="60:60" ht="15.75" customHeight="1" x14ac:dyDescent="0.25">
      <c r="BH456" s="74"/>
    </row>
    <row r="457" spans="60:60" ht="15.75" customHeight="1" x14ac:dyDescent="0.25">
      <c r="BH457" s="74"/>
    </row>
    <row r="458" spans="60:60" ht="15.75" customHeight="1" x14ac:dyDescent="0.25">
      <c r="BH458" s="74"/>
    </row>
    <row r="459" spans="60:60" ht="15.75" customHeight="1" x14ac:dyDescent="0.25">
      <c r="BH459" s="74"/>
    </row>
    <row r="460" spans="60:60" ht="15.75" customHeight="1" x14ac:dyDescent="0.25">
      <c r="BH460" s="74"/>
    </row>
    <row r="461" spans="60:60" ht="15.75" customHeight="1" x14ac:dyDescent="0.25">
      <c r="BH461" s="74"/>
    </row>
    <row r="462" spans="60:60" ht="15.75" customHeight="1" x14ac:dyDescent="0.25">
      <c r="BH462" s="74"/>
    </row>
    <row r="463" spans="60:60" ht="15.75" customHeight="1" x14ac:dyDescent="0.25">
      <c r="BH463" s="74"/>
    </row>
    <row r="464" spans="60:60" ht="15.75" customHeight="1" x14ac:dyDescent="0.25">
      <c r="BH464" s="74"/>
    </row>
    <row r="465" spans="60:60" ht="15.75" customHeight="1" x14ac:dyDescent="0.25">
      <c r="BH465" s="74"/>
    </row>
    <row r="466" spans="60:60" ht="15.75" customHeight="1" x14ac:dyDescent="0.25">
      <c r="BH466" s="74"/>
    </row>
    <row r="467" spans="60:60" ht="15.75" customHeight="1" x14ac:dyDescent="0.25">
      <c r="BH467" s="74"/>
    </row>
    <row r="468" spans="60:60" ht="15.75" customHeight="1" x14ac:dyDescent="0.25">
      <c r="BH468" s="74"/>
    </row>
    <row r="469" spans="60:60" ht="15.75" customHeight="1" x14ac:dyDescent="0.25">
      <c r="BH469" s="74"/>
    </row>
    <row r="470" spans="60:60" ht="15.75" customHeight="1" x14ac:dyDescent="0.25">
      <c r="BH470" s="74"/>
    </row>
    <row r="471" spans="60:60" ht="15.75" customHeight="1" x14ac:dyDescent="0.25">
      <c r="BH471" s="74"/>
    </row>
    <row r="472" spans="60:60" ht="15.75" customHeight="1" x14ac:dyDescent="0.25">
      <c r="BH472" s="74"/>
    </row>
    <row r="473" spans="60:60" ht="15.75" customHeight="1" x14ac:dyDescent="0.25">
      <c r="BH473" s="74"/>
    </row>
    <row r="474" spans="60:60" ht="15.75" customHeight="1" x14ac:dyDescent="0.25">
      <c r="BH474" s="74"/>
    </row>
    <row r="475" spans="60:60" ht="15.75" customHeight="1" x14ac:dyDescent="0.25">
      <c r="BH475" s="74"/>
    </row>
    <row r="476" spans="60:60" ht="15.75" customHeight="1" x14ac:dyDescent="0.25">
      <c r="BH476" s="74"/>
    </row>
    <row r="477" spans="60:60" ht="15.75" customHeight="1" x14ac:dyDescent="0.25">
      <c r="BH477" s="74"/>
    </row>
    <row r="478" spans="60:60" ht="15.75" customHeight="1" x14ac:dyDescent="0.25">
      <c r="BH478" s="74"/>
    </row>
    <row r="479" spans="60:60" ht="15.75" customHeight="1" x14ac:dyDescent="0.25">
      <c r="BH479" s="74"/>
    </row>
    <row r="480" spans="60:60" ht="15.75" customHeight="1" x14ac:dyDescent="0.25">
      <c r="BH480" s="74"/>
    </row>
    <row r="481" spans="60:60" ht="15.75" customHeight="1" x14ac:dyDescent="0.25">
      <c r="BH481" s="74"/>
    </row>
    <row r="482" spans="60:60" ht="15.75" customHeight="1" x14ac:dyDescent="0.25">
      <c r="BH482" s="74"/>
    </row>
    <row r="483" spans="60:60" ht="15.75" customHeight="1" x14ac:dyDescent="0.25">
      <c r="BH483" s="74"/>
    </row>
    <row r="484" spans="60:60" ht="15.75" customHeight="1" x14ac:dyDescent="0.25">
      <c r="BH484" s="74"/>
    </row>
    <row r="485" spans="60:60" ht="15.75" customHeight="1" x14ac:dyDescent="0.25">
      <c r="BH485" s="74"/>
    </row>
    <row r="486" spans="60:60" ht="15.75" customHeight="1" x14ac:dyDescent="0.25">
      <c r="BH486" s="74"/>
    </row>
    <row r="487" spans="60:60" ht="15.75" customHeight="1" x14ac:dyDescent="0.25">
      <c r="BH487" s="74"/>
    </row>
    <row r="488" spans="60:60" ht="15.75" customHeight="1" x14ac:dyDescent="0.25">
      <c r="BH488" s="74"/>
    </row>
    <row r="489" spans="60:60" ht="15.75" customHeight="1" x14ac:dyDescent="0.25">
      <c r="BH489" s="74"/>
    </row>
    <row r="490" spans="60:60" ht="15.75" customHeight="1" x14ac:dyDescent="0.25">
      <c r="BH490" s="74"/>
    </row>
    <row r="491" spans="60:60" ht="15.75" customHeight="1" x14ac:dyDescent="0.25">
      <c r="BH491" s="74"/>
    </row>
    <row r="492" spans="60:60" ht="15.75" customHeight="1" x14ac:dyDescent="0.25">
      <c r="BH492" s="74"/>
    </row>
    <row r="493" spans="60:60" ht="15.75" customHeight="1" x14ac:dyDescent="0.25">
      <c r="BH493" s="74"/>
    </row>
    <row r="494" spans="60:60" ht="15.75" customHeight="1" x14ac:dyDescent="0.25">
      <c r="BH494" s="74"/>
    </row>
    <row r="495" spans="60:60" ht="15.75" customHeight="1" x14ac:dyDescent="0.25">
      <c r="BH495" s="74"/>
    </row>
    <row r="496" spans="60:60" ht="15.75" customHeight="1" x14ac:dyDescent="0.25">
      <c r="BH496" s="74"/>
    </row>
    <row r="497" spans="60:60" ht="15.75" customHeight="1" x14ac:dyDescent="0.25">
      <c r="BH497" s="74"/>
    </row>
    <row r="498" spans="60:60" ht="15.75" customHeight="1" x14ac:dyDescent="0.25">
      <c r="BH498" s="74"/>
    </row>
    <row r="499" spans="60:60" ht="15.75" customHeight="1" x14ac:dyDescent="0.25">
      <c r="BH499" s="74"/>
    </row>
    <row r="500" spans="60:60" ht="15.75" customHeight="1" x14ac:dyDescent="0.25">
      <c r="BH500" s="74"/>
    </row>
    <row r="501" spans="60:60" ht="15.75" customHeight="1" x14ac:dyDescent="0.25">
      <c r="BH501" s="74"/>
    </row>
    <row r="502" spans="60:60" ht="15.75" customHeight="1" x14ac:dyDescent="0.25">
      <c r="BH502" s="74"/>
    </row>
    <row r="503" spans="60:60" ht="15.75" customHeight="1" x14ac:dyDescent="0.25">
      <c r="BH503" s="74"/>
    </row>
    <row r="504" spans="60:60" ht="15.75" customHeight="1" x14ac:dyDescent="0.25">
      <c r="BH504" s="74"/>
    </row>
    <row r="505" spans="60:60" ht="15.75" customHeight="1" x14ac:dyDescent="0.25">
      <c r="BH505" s="74"/>
    </row>
    <row r="506" spans="60:60" ht="15.75" customHeight="1" x14ac:dyDescent="0.25">
      <c r="BH506" s="74"/>
    </row>
    <row r="507" spans="60:60" ht="15.75" customHeight="1" x14ac:dyDescent="0.25">
      <c r="BH507" s="74"/>
    </row>
    <row r="508" spans="60:60" ht="15.75" customHeight="1" x14ac:dyDescent="0.25">
      <c r="BH508" s="74"/>
    </row>
    <row r="509" spans="60:60" ht="15.75" customHeight="1" x14ac:dyDescent="0.25">
      <c r="BH509" s="74"/>
    </row>
    <row r="510" spans="60:60" ht="15.75" customHeight="1" x14ac:dyDescent="0.25">
      <c r="BH510" s="74"/>
    </row>
    <row r="511" spans="60:60" ht="15.75" customHeight="1" x14ac:dyDescent="0.25">
      <c r="BH511" s="74"/>
    </row>
    <row r="512" spans="60:60" ht="15.75" customHeight="1" x14ac:dyDescent="0.25">
      <c r="BH512" s="74"/>
    </row>
    <row r="513" spans="60:60" ht="15.75" customHeight="1" x14ac:dyDescent="0.25">
      <c r="BH513" s="74"/>
    </row>
    <row r="514" spans="60:60" ht="15.75" customHeight="1" x14ac:dyDescent="0.25">
      <c r="BH514" s="74"/>
    </row>
    <row r="515" spans="60:60" ht="15.75" customHeight="1" x14ac:dyDescent="0.25">
      <c r="BH515" s="74"/>
    </row>
    <row r="516" spans="60:60" ht="15.75" customHeight="1" x14ac:dyDescent="0.25">
      <c r="BH516" s="74"/>
    </row>
    <row r="517" spans="60:60" ht="15.75" customHeight="1" x14ac:dyDescent="0.25">
      <c r="BH517" s="74"/>
    </row>
    <row r="518" spans="60:60" ht="15.75" customHeight="1" x14ac:dyDescent="0.25">
      <c r="BH518" s="74"/>
    </row>
    <row r="519" spans="60:60" ht="15.75" customHeight="1" x14ac:dyDescent="0.25">
      <c r="BH519" s="74"/>
    </row>
    <row r="520" spans="60:60" ht="15.75" customHeight="1" x14ac:dyDescent="0.25">
      <c r="BH520" s="74"/>
    </row>
    <row r="521" spans="60:60" ht="15.75" customHeight="1" x14ac:dyDescent="0.25">
      <c r="BH521" s="74"/>
    </row>
    <row r="522" spans="60:60" ht="15.75" customHeight="1" x14ac:dyDescent="0.25">
      <c r="BH522" s="74"/>
    </row>
    <row r="523" spans="60:60" ht="15.75" customHeight="1" x14ac:dyDescent="0.25">
      <c r="BH523" s="74"/>
    </row>
    <row r="524" spans="60:60" ht="15.75" customHeight="1" x14ac:dyDescent="0.25">
      <c r="BH524" s="74"/>
    </row>
    <row r="525" spans="60:60" ht="15.75" customHeight="1" x14ac:dyDescent="0.25">
      <c r="BH525" s="74"/>
    </row>
    <row r="526" spans="60:60" ht="15.75" customHeight="1" x14ac:dyDescent="0.25">
      <c r="BH526" s="74"/>
    </row>
    <row r="527" spans="60:60" ht="15.75" customHeight="1" x14ac:dyDescent="0.25">
      <c r="BH527" s="74"/>
    </row>
    <row r="528" spans="60:60" ht="15.75" customHeight="1" x14ac:dyDescent="0.25">
      <c r="BH528" s="74"/>
    </row>
    <row r="529" spans="60:60" ht="15.75" customHeight="1" x14ac:dyDescent="0.25">
      <c r="BH529" s="74"/>
    </row>
    <row r="530" spans="60:60" ht="15.75" customHeight="1" x14ac:dyDescent="0.25">
      <c r="BH530" s="74"/>
    </row>
    <row r="531" spans="60:60" ht="15.75" customHeight="1" x14ac:dyDescent="0.25">
      <c r="BH531" s="74"/>
    </row>
    <row r="532" spans="60:60" ht="15.75" customHeight="1" x14ac:dyDescent="0.25">
      <c r="BH532" s="74"/>
    </row>
    <row r="533" spans="60:60" ht="15.75" customHeight="1" x14ac:dyDescent="0.25">
      <c r="BH533" s="74"/>
    </row>
    <row r="534" spans="60:60" ht="15.75" customHeight="1" x14ac:dyDescent="0.25">
      <c r="BH534" s="74"/>
    </row>
    <row r="535" spans="60:60" ht="15.75" customHeight="1" x14ac:dyDescent="0.25">
      <c r="BH535" s="74"/>
    </row>
    <row r="536" spans="60:60" ht="15.75" customHeight="1" x14ac:dyDescent="0.25">
      <c r="BH536" s="74"/>
    </row>
    <row r="537" spans="60:60" ht="15.75" customHeight="1" x14ac:dyDescent="0.25">
      <c r="BH537" s="74"/>
    </row>
    <row r="538" spans="60:60" ht="15.75" customHeight="1" x14ac:dyDescent="0.25">
      <c r="BH538" s="74"/>
    </row>
    <row r="539" spans="60:60" ht="15.75" customHeight="1" x14ac:dyDescent="0.25">
      <c r="BH539" s="74"/>
    </row>
    <row r="540" spans="60:60" ht="15.75" customHeight="1" x14ac:dyDescent="0.25">
      <c r="BH540" s="74"/>
    </row>
    <row r="541" spans="60:60" ht="15.75" customHeight="1" x14ac:dyDescent="0.25">
      <c r="BH541" s="74"/>
    </row>
    <row r="542" spans="60:60" ht="15.75" customHeight="1" x14ac:dyDescent="0.25">
      <c r="BH542" s="74"/>
    </row>
    <row r="543" spans="60:60" ht="15.75" customHeight="1" x14ac:dyDescent="0.25">
      <c r="BH543" s="74"/>
    </row>
    <row r="544" spans="60:60" ht="15.75" customHeight="1" x14ac:dyDescent="0.25">
      <c r="BH544" s="74"/>
    </row>
    <row r="545" spans="60:60" ht="15.75" customHeight="1" x14ac:dyDescent="0.25">
      <c r="BH545" s="74"/>
    </row>
    <row r="546" spans="60:60" ht="15.75" customHeight="1" x14ac:dyDescent="0.25">
      <c r="BH546" s="74"/>
    </row>
    <row r="547" spans="60:60" ht="15.75" customHeight="1" x14ac:dyDescent="0.25">
      <c r="BH547" s="74"/>
    </row>
    <row r="548" spans="60:60" ht="15.75" customHeight="1" x14ac:dyDescent="0.25">
      <c r="BH548" s="74"/>
    </row>
    <row r="549" spans="60:60" ht="15.75" customHeight="1" x14ac:dyDescent="0.25">
      <c r="BH549" s="74"/>
    </row>
    <row r="550" spans="60:60" ht="15.75" customHeight="1" x14ac:dyDescent="0.25">
      <c r="BH550" s="74"/>
    </row>
    <row r="551" spans="60:60" ht="15.75" customHeight="1" x14ac:dyDescent="0.25">
      <c r="BH551" s="74"/>
    </row>
    <row r="552" spans="60:60" ht="15.75" customHeight="1" x14ac:dyDescent="0.25">
      <c r="BH552" s="74"/>
    </row>
    <row r="553" spans="60:60" ht="15.75" customHeight="1" x14ac:dyDescent="0.25">
      <c r="BH553" s="74"/>
    </row>
    <row r="554" spans="60:60" ht="15.75" customHeight="1" x14ac:dyDescent="0.25">
      <c r="BH554" s="74"/>
    </row>
    <row r="555" spans="60:60" ht="15.75" customHeight="1" x14ac:dyDescent="0.25">
      <c r="BH555" s="74"/>
    </row>
    <row r="556" spans="60:60" ht="15.75" customHeight="1" x14ac:dyDescent="0.25">
      <c r="BH556" s="74"/>
    </row>
    <row r="557" spans="60:60" ht="15.75" customHeight="1" x14ac:dyDescent="0.25">
      <c r="BH557" s="74"/>
    </row>
    <row r="558" spans="60:60" ht="15.75" customHeight="1" x14ac:dyDescent="0.25">
      <c r="BH558" s="74"/>
    </row>
    <row r="559" spans="60:60" ht="15.75" customHeight="1" x14ac:dyDescent="0.25">
      <c r="BH559" s="74"/>
    </row>
    <row r="560" spans="60:60" ht="15.75" customHeight="1" x14ac:dyDescent="0.25">
      <c r="BH560" s="74"/>
    </row>
    <row r="561" spans="60:60" ht="15.75" customHeight="1" x14ac:dyDescent="0.25">
      <c r="BH561" s="74"/>
    </row>
    <row r="562" spans="60:60" ht="15.75" customHeight="1" x14ac:dyDescent="0.25">
      <c r="BH562" s="74"/>
    </row>
    <row r="563" spans="60:60" ht="15.75" customHeight="1" x14ac:dyDescent="0.25">
      <c r="BH563" s="74"/>
    </row>
    <row r="564" spans="60:60" ht="15.75" customHeight="1" x14ac:dyDescent="0.25">
      <c r="BH564" s="74"/>
    </row>
    <row r="565" spans="60:60" ht="15.75" customHeight="1" x14ac:dyDescent="0.25">
      <c r="BH565" s="74"/>
    </row>
    <row r="566" spans="60:60" ht="15.75" customHeight="1" x14ac:dyDescent="0.25">
      <c r="BH566" s="74"/>
    </row>
    <row r="567" spans="60:60" ht="15.75" customHeight="1" x14ac:dyDescent="0.25">
      <c r="BH567" s="74"/>
    </row>
    <row r="568" spans="60:60" ht="15.75" customHeight="1" x14ac:dyDescent="0.25">
      <c r="BH568" s="74"/>
    </row>
    <row r="569" spans="60:60" ht="15.75" customHeight="1" x14ac:dyDescent="0.25">
      <c r="BH569" s="74"/>
    </row>
    <row r="570" spans="60:60" ht="15.75" customHeight="1" x14ac:dyDescent="0.25">
      <c r="BH570" s="74"/>
    </row>
    <row r="571" spans="60:60" ht="15.75" customHeight="1" x14ac:dyDescent="0.25">
      <c r="BH571" s="74"/>
    </row>
    <row r="572" spans="60:60" ht="15.75" customHeight="1" x14ac:dyDescent="0.25">
      <c r="BH572" s="74"/>
    </row>
    <row r="573" spans="60:60" ht="15.75" customHeight="1" x14ac:dyDescent="0.25">
      <c r="BH573" s="74"/>
    </row>
    <row r="574" spans="60:60" ht="15.75" customHeight="1" x14ac:dyDescent="0.25">
      <c r="BH574" s="74"/>
    </row>
    <row r="575" spans="60:60" ht="15.75" customHeight="1" x14ac:dyDescent="0.25">
      <c r="BH575" s="74"/>
    </row>
    <row r="576" spans="60:60" ht="15.75" customHeight="1" x14ac:dyDescent="0.25">
      <c r="BH576" s="74"/>
    </row>
    <row r="577" spans="60:60" ht="15.75" customHeight="1" x14ac:dyDescent="0.25">
      <c r="BH577" s="74"/>
    </row>
    <row r="578" spans="60:60" ht="15.75" customHeight="1" x14ac:dyDescent="0.25">
      <c r="BH578" s="74"/>
    </row>
    <row r="579" spans="60:60" ht="15.75" customHeight="1" x14ac:dyDescent="0.25">
      <c r="BH579" s="74"/>
    </row>
    <row r="580" spans="60:60" ht="15.75" customHeight="1" x14ac:dyDescent="0.25">
      <c r="BH580" s="74"/>
    </row>
    <row r="581" spans="60:60" ht="15.75" customHeight="1" x14ac:dyDescent="0.25">
      <c r="BH581" s="74"/>
    </row>
    <row r="582" spans="60:60" ht="15.75" customHeight="1" x14ac:dyDescent="0.25">
      <c r="BH582" s="74"/>
    </row>
    <row r="583" spans="60:60" ht="15.75" customHeight="1" x14ac:dyDescent="0.25">
      <c r="BH583" s="74"/>
    </row>
    <row r="584" spans="60:60" ht="15.75" customHeight="1" x14ac:dyDescent="0.25">
      <c r="BH584" s="74"/>
    </row>
    <row r="585" spans="60:60" ht="15.75" customHeight="1" x14ac:dyDescent="0.25">
      <c r="BH585" s="74"/>
    </row>
    <row r="586" spans="60:60" ht="15.75" customHeight="1" x14ac:dyDescent="0.25">
      <c r="BH586" s="74"/>
    </row>
    <row r="587" spans="60:60" ht="15.75" customHeight="1" x14ac:dyDescent="0.25">
      <c r="BH587" s="74"/>
    </row>
    <row r="588" spans="60:60" ht="15.75" customHeight="1" x14ac:dyDescent="0.25">
      <c r="BH588" s="74"/>
    </row>
    <row r="589" spans="60:60" ht="15.75" customHeight="1" x14ac:dyDescent="0.25">
      <c r="BH589" s="74"/>
    </row>
    <row r="590" spans="60:60" ht="15.75" customHeight="1" x14ac:dyDescent="0.25">
      <c r="BH590" s="74"/>
    </row>
    <row r="591" spans="60:60" ht="15.75" customHeight="1" x14ac:dyDescent="0.25">
      <c r="BH591" s="74"/>
    </row>
    <row r="592" spans="60:60" ht="15.75" customHeight="1" x14ac:dyDescent="0.25">
      <c r="BH592" s="74"/>
    </row>
    <row r="593" spans="60:60" ht="15.75" customHeight="1" x14ac:dyDescent="0.25">
      <c r="BH593" s="74"/>
    </row>
    <row r="594" spans="60:60" ht="15.75" customHeight="1" x14ac:dyDescent="0.25">
      <c r="BH594" s="74"/>
    </row>
    <row r="595" spans="60:60" ht="15.75" customHeight="1" x14ac:dyDescent="0.25">
      <c r="BH595" s="74"/>
    </row>
    <row r="596" spans="60:60" ht="15.75" customHeight="1" x14ac:dyDescent="0.25">
      <c r="BH596" s="74"/>
    </row>
    <row r="597" spans="60:60" ht="15.75" customHeight="1" x14ac:dyDescent="0.25">
      <c r="BH597" s="74"/>
    </row>
    <row r="598" spans="60:60" ht="15.75" customHeight="1" x14ac:dyDescent="0.25">
      <c r="BH598" s="74"/>
    </row>
    <row r="599" spans="60:60" ht="15.75" customHeight="1" x14ac:dyDescent="0.25">
      <c r="BH599" s="74"/>
    </row>
    <row r="600" spans="60:60" ht="15.75" customHeight="1" x14ac:dyDescent="0.25">
      <c r="BH600" s="74"/>
    </row>
    <row r="601" spans="60:60" ht="15.75" customHeight="1" x14ac:dyDescent="0.25">
      <c r="BH601" s="74"/>
    </row>
    <row r="602" spans="60:60" ht="15.75" customHeight="1" x14ac:dyDescent="0.25">
      <c r="BH602" s="74"/>
    </row>
    <row r="603" spans="60:60" ht="15.75" customHeight="1" x14ac:dyDescent="0.25">
      <c r="BH603" s="74"/>
    </row>
    <row r="604" spans="60:60" ht="15.75" customHeight="1" x14ac:dyDescent="0.25">
      <c r="BH604" s="74"/>
    </row>
    <row r="605" spans="60:60" ht="15.75" customHeight="1" x14ac:dyDescent="0.25">
      <c r="BH605" s="74"/>
    </row>
    <row r="606" spans="60:60" ht="15.75" customHeight="1" x14ac:dyDescent="0.25">
      <c r="BH606" s="74"/>
    </row>
    <row r="607" spans="60:60" ht="15.75" customHeight="1" x14ac:dyDescent="0.25">
      <c r="BH607" s="74"/>
    </row>
    <row r="608" spans="60:60" ht="15.75" customHeight="1" x14ac:dyDescent="0.25">
      <c r="BH608" s="74"/>
    </row>
    <row r="609" spans="60:60" ht="15.75" customHeight="1" x14ac:dyDescent="0.25">
      <c r="BH609" s="74"/>
    </row>
    <row r="610" spans="60:60" ht="15.75" customHeight="1" x14ac:dyDescent="0.25">
      <c r="BH610" s="74"/>
    </row>
    <row r="611" spans="60:60" ht="15.75" customHeight="1" x14ac:dyDescent="0.25">
      <c r="BH611" s="74"/>
    </row>
    <row r="612" spans="60:60" ht="15.75" customHeight="1" x14ac:dyDescent="0.25">
      <c r="BH612" s="74"/>
    </row>
    <row r="613" spans="60:60" ht="15.75" customHeight="1" x14ac:dyDescent="0.25">
      <c r="BH613" s="74"/>
    </row>
    <row r="614" spans="60:60" ht="15.75" customHeight="1" x14ac:dyDescent="0.25">
      <c r="BH614" s="74"/>
    </row>
    <row r="615" spans="60:60" ht="15.75" customHeight="1" x14ac:dyDescent="0.25">
      <c r="BH615" s="74"/>
    </row>
    <row r="616" spans="60:60" ht="15.75" customHeight="1" x14ac:dyDescent="0.25">
      <c r="BH616" s="74"/>
    </row>
    <row r="617" spans="60:60" ht="15.75" customHeight="1" x14ac:dyDescent="0.25">
      <c r="BH617" s="74"/>
    </row>
    <row r="618" spans="60:60" ht="15.75" customHeight="1" x14ac:dyDescent="0.25">
      <c r="BH618" s="74"/>
    </row>
    <row r="619" spans="60:60" ht="15.75" customHeight="1" x14ac:dyDescent="0.25">
      <c r="BH619" s="74"/>
    </row>
    <row r="620" spans="60:60" ht="15.75" customHeight="1" x14ac:dyDescent="0.25">
      <c r="BH620" s="74"/>
    </row>
    <row r="621" spans="60:60" ht="15.75" customHeight="1" x14ac:dyDescent="0.25">
      <c r="BH621" s="74"/>
    </row>
    <row r="622" spans="60:60" ht="15.75" customHeight="1" x14ac:dyDescent="0.25">
      <c r="BH622" s="74"/>
    </row>
    <row r="623" spans="60:60" ht="15.75" customHeight="1" x14ac:dyDescent="0.25">
      <c r="BH623" s="74"/>
    </row>
    <row r="624" spans="60:60" ht="15.75" customHeight="1" x14ac:dyDescent="0.25">
      <c r="BH624" s="74"/>
    </row>
    <row r="625" spans="60:60" ht="15.75" customHeight="1" x14ac:dyDescent="0.25">
      <c r="BH625" s="74"/>
    </row>
    <row r="626" spans="60:60" ht="15.75" customHeight="1" x14ac:dyDescent="0.25">
      <c r="BH626" s="74"/>
    </row>
    <row r="627" spans="60:60" ht="15.75" customHeight="1" x14ac:dyDescent="0.25">
      <c r="BH627" s="74"/>
    </row>
    <row r="628" spans="60:60" ht="15.75" customHeight="1" x14ac:dyDescent="0.25">
      <c r="BH628" s="74"/>
    </row>
    <row r="629" spans="60:60" ht="15.75" customHeight="1" x14ac:dyDescent="0.25">
      <c r="BH629" s="74"/>
    </row>
    <row r="630" spans="60:60" ht="15.75" customHeight="1" x14ac:dyDescent="0.25">
      <c r="BH630" s="74"/>
    </row>
    <row r="631" spans="60:60" ht="15.75" customHeight="1" x14ac:dyDescent="0.25">
      <c r="BH631" s="74"/>
    </row>
    <row r="632" spans="60:60" ht="15.75" customHeight="1" x14ac:dyDescent="0.25">
      <c r="BH632" s="74"/>
    </row>
    <row r="633" spans="60:60" ht="15.75" customHeight="1" x14ac:dyDescent="0.25">
      <c r="BH633" s="74"/>
    </row>
    <row r="634" spans="60:60" ht="15.75" customHeight="1" x14ac:dyDescent="0.25">
      <c r="BH634" s="74"/>
    </row>
    <row r="635" spans="60:60" ht="15.75" customHeight="1" x14ac:dyDescent="0.25">
      <c r="BH635" s="74"/>
    </row>
    <row r="636" spans="60:60" ht="15.75" customHeight="1" x14ac:dyDescent="0.25">
      <c r="BH636" s="74"/>
    </row>
    <row r="637" spans="60:60" ht="15.75" customHeight="1" x14ac:dyDescent="0.25">
      <c r="BH637" s="74"/>
    </row>
    <row r="638" spans="60:60" ht="15.75" customHeight="1" x14ac:dyDescent="0.25">
      <c r="BH638" s="74"/>
    </row>
    <row r="639" spans="60:60" ht="15.75" customHeight="1" x14ac:dyDescent="0.25">
      <c r="BH639" s="74"/>
    </row>
    <row r="640" spans="60:60" ht="15.75" customHeight="1" x14ac:dyDescent="0.25">
      <c r="BH640" s="74"/>
    </row>
    <row r="641" spans="60:60" ht="15.75" customHeight="1" x14ac:dyDescent="0.25">
      <c r="BH641" s="74"/>
    </row>
    <row r="642" spans="60:60" ht="15.75" customHeight="1" x14ac:dyDescent="0.25">
      <c r="BH642" s="74"/>
    </row>
    <row r="643" spans="60:60" ht="15.75" customHeight="1" x14ac:dyDescent="0.25">
      <c r="BH643" s="74"/>
    </row>
    <row r="644" spans="60:60" ht="15.75" customHeight="1" x14ac:dyDescent="0.25">
      <c r="BH644" s="74"/>
    </row>
    <row r="645" spans="60:60" ht="15.75" customHeight="1" x14ac:dyDescent="0.25">
      <c r="BH645" s="74"/>
    </row>
    <row r="646" spans="60:60" ht="15.75" customHeight="1" x14ac:dyDescent="0.25">
      <c r="BH646" s="74"/>
    </row>
    <row r="647" spans="60:60" ht="15.75" customHeight="1" x14ac:dyDescent="0.25">
      <c r="BH647" s="74"/>
    </row>
    <row r="648" spans="60:60" ht="15.75" customHeight="1" x14ac:dyDescent="0.25">
      <c r="BH648" s="74"/>
    </row>
    <row r="649" spans="60:60" ht="15.75" customHeight="1" x14ac:dyDescent="0.25">
      <c r="BH649" s="74"/>
    </row>
    <row r="650" spans="60:60" ht="15.75" customHeight="1" x14ac:dyDescent="0.25">
      <c r="BH650" s="74"/>
    </row>
    <row r="651" spans="60:60" ht="15.75" customHeight="1" x14ac:dyDescent="0.25">
      <c r="BH651" s="74"/>
    </row>
    <row r="652" spans="60:60" ht="15.75" customHeight="1" x14ac:dyDescent="0.25">
      <c r="BH652" s="74"/>
    </row>
    <row r="653" spans="60:60" ht="15.75" customHeight="1" x14ac:dyDescent="0.25">
      <c r="BH653" s="74"/>
    </row>
    <row r="654" spans="60:60" ht="15.75" customHeight="1" x14ac:dyDescent="0.25">
      <c r="BH654" s="74"/>
    </row>
    <row r="655" spans="60:60" ht="15.75" customHeight="1" x14ac:dyDescent="0.25">
      <c r="BH655" s="74"/>
    </row>
    <row r="656" spans="60:60" ht="15.75" customHeight="1" x14ac:dyDescent="0.25">
      <c r="BH656" s="74"/>
    </row>
    <row r="657" spans="60:60" ht="15.75" customHeight="1" x14ac:dyDescent="0.25">
      <c r="BH657" s="74"/>
    </row>
    <row r="658" spans="60:60" ht="15.75" customHeight="1" x14ac:dyDescent="0.25">
      <c r="BH658" s="74"/>
    </row>
    <row r="659" spans="60:60" ht="15.75" customHeight="1" x14ac:dyDescent="0.25">
      <c r="BH659" s="74"/>
    </row>
    <row r="660" spans="60:60" ht="15.75" customHeight="1" x14ac:dyDescent="0.25">
      <c r="BH660" s="74"/>
    </row>
    <row r="661" spans="60:60" ht="15.75" customHeight="1" x14ac:dyDescent="0.25">
      <c r="BH661" s="74"/>
    </row>
    <row r="662" spans="60:60" ht="15.75" customHeight="1" x14ac:dyDescent="0.25">
      <c r="BH662" s="74"/>
    </row>
    <row r="663" spans="60:60" ht="15.75" customHeight="1" x14ac:dyDescent="0.25">
      <c r="BH663" s="74"/>
    </row>
    <row r="664" spans="60:60" ht="15.75" customHeight="1" x14ac:dyDescent="0.25">
      <c r="BH664" s="74"/>
    </row>
    <row r="665" spans="60:60" ht="15.75" customHeight="1" x14ac:dyDescent="0.25">
      <c r="BH665" s="74"/>
    </row>
    <row r="666" spans="60:60" ht="15.75" customHeight="1" x14ac:dyDescent="0.25">
      <c r="BH666" s="74"/>
    </row>
    <row r="667" spans="60:60" ht="15.75" customHeight="1" x14ac:dyDescent="0.25">
      <c r="BH667" s="74"/>
    </row>
    <row r="668" spans="60:60" ht="15.75" customHeight="1" x14ac:dyDescent="0.25">
      <c r="BH668" s="74"/>
    </row>
    <row r="669" spans="60:60" ht="15.75" customHeight="1" x14ac:dyDescent="0.25">
      <c r="BH669" s="74"/>
    </row>
    <row r="670" spans="60:60" ht="15.75" customHeight="1" x14ac:dyDescent="0.25">
      <c r="BH670" s="74"/>
    </row>
    <row r="671" spans="60:60" ht="15.75" customHeight="1" x14ac:dyDescent="0.25">
      <c r="BH671" s="74"/>
    </row>
    <row r="672" spans="60:60" ht="15.75" customHeight="1" x14ac:dyDescent="0.25">
      <c r="BH672" s="74"/>
    </row>
    <row r="673" spans="60:60" ht="15.75" customHeight="1" x14ac:dyDescent="0.25">
      <c r="BH673" s="74"/>
    </row>
    <row r="674" spans="60:60" ht="15.75" customHeight="1" x14ac:dyDescent="0.25">
      <c r="BH674" s="74"/>
    </row>
    <row r="675" spans="60:60" ht="15.75" customHeight="1" x14ac:dyDescent="0.25">
      <c r="BH675" s="74"/>
    </row>
    <row r="676" spans="60:60" ht="15.75" customHeight="1" x14ac:dyDescent="0.25">
      <c r="BH676" s="74"/>
    </row>
    <row r="677" spans="60:60" ht="15.75" customHeight="1" x14ac:dyDescent="0.25">
      <c r="BH677" s="74"/>
    </row>
    <row r="678" spans="60:60" ht="15.75" customHeight="1" x14ac:dyDescent="0.25">
      <c r="BH678" s="74"/>
    </row>
    <row r="679" spans="60:60" ht="15.75" customHeight="1" x14ac:dyDescent="0.25">
      <c r="BH679" s="74"/>
    </row>
    <row r="680" spans="60:60" ht="15.75" customHeight="1" x14ac:dyDescent="0.25">
      <c r="BH680" s="74"/>
    </row>
    <row r="681" spans="60:60" ht="15.75" customHeight="1" x14ac:dyDescent="0.25">
      <c r="BH681" s="74"/>
    </row>
    <row r="682" spans="60:60" ht="15.75" customHeight="1" x14ac:dyDescent="0.25">
      <c r="BH682" s="74"/>
    </row>
    <row r="683" spans="60:60" ht="15.75" customHeight="1" x14ac:dyDescent="0.25">
      <c r="BH683" s="74"/>
    </row>
    <row r="684" spans="60:60" ht="15.75" customHeight="1" x14ac:dyDescent="0.25">
      <c r="BH684" s="74"/>
    </row>
    <row r="685" spans="60:60" ht="15.75" customHeight="1" x14ac:dyDescent="0.25">
      <c r="BH685" s="74"/>
    </row>
    <row r="686" spans="60:60" ht="15.75" customHeight="1" x14ac:dyDescent="0.25">
      <c r="BH686" s="74"/>
    </row>
    <row r="687" spans="60:60" ht="15.75" customHeight="1" x14ac:dyDescent="0.25">
      <c r="BH687" s="74"/>
    </row>
    <row r="688" spans="60:60" ht="15.75" customHeight="1" x14ac:dyDescent="0.25">
      <c r="BH688" s="74"/>
    </row>
    <row r="689" spans="60:60" ht="15.75" customHeight="1" x14ac:dyDescent="0.25">
      <c r="BH689" s="74"/>
    </row>
    <row r="690" spans="60:60" ht="15.75" customHeight="1" x14ac:dyDescent="0.25">
      <c r="BH690" s="74"/>
    </row>
    <row r="691" spans="60:60" ht="15.75" customHeight="1" x14ac:dyDescent="0.25">
      <c r="BH691" s="74"/>
    </row>
    <row r="692" spans="60:60" ht="15.75" customHeight="1" x14ac:dyDescent="0.25">
      <c r="BH692" s="74"/>
    </row>
    <row r="693" spans="60:60" ht="15.75" customHeight="1" x14ac:dyDescent="0.25">
      <c r="BH693" s="74"/>
    </row>
    <row r="694" spans="60:60" ht="15.75" customHeight="1" x14ac:dyDescent="0.25">
      <c r="BH694" s="74"/>
    </row>
    <row r="695" spans="60:60" ht="15.75" customHeight="1" x14ac:dyDescent="0.25">
      <c r="BH695" s="74"/>
    </row>
    <row r="696" spans="60:60" ht="15.75" customHeight="1" x14ac:dyDescent="0.25">
      <c r="BH696" s="74"/>
    </row>
    <row r="697" spans="60:60" ht="15.75" customHeight="1" x14ac:dyDescent="0.25">
      <c r="BH697" s="74"/>
    </row>
    <row r="698" spans="60:60" ht="15.75" customHeight="1" x14ac:dyDescent="0.25">
      <c r="BH698" s="74"/>
    </row>
    <row r="699" spans="60:60" ht="15.75" customHeight="1" x14ac:dyDescent="0.25">
      <c r="BH699" s="74"/>
    </row>
    <row r="700" spans="60:60" ht="15.75" customHeight="1" x14ac:dyDescent="0.25">
      <c r="BH700" s="74"/>
    </row>
    <row r="701" spans="60:60" ht="15.75" customHeight="1" x14ac:dyDescent="0.25">
      <c r="BH701" s="74"/>
    </row>
    <row r="702" spans="60:60" ht="15.75" customHeight="1" x14ac:dyDescent="0.25">
      <c r="BH702" s="74"/>
    </row>
    <row r="703" spans="60:60" ht="15.75" customHeight="1" x14ac:dyDescent="0.25">
      <c r="BH703" s="74"/>
    </row>
    <row r="704" spans="60:60" ht="15.75" customHeight="1" x14ac:dyDescent="0.25">
      <c r="BH704" s="74"/>
    </row>
    <row r="705" spans="60:60" ht="15.75" customHeight="1" x14ac:dyDescent="0.25">
      <c r="BH705" s="74"/>
    </row>
    <row r="706" spans="60:60" ht="15.75" customHeight="1" x14ac:dyDescent="0.25">
      <c r="BH706" s="74"/>
    </row>
    <row r="707" spans="60:60" ht="15.75" customHeight="1" x14ac:dyDescent="0.25">
      <c r="BH707" s="74"/>
    </row>
    <row r="708" spans="60:60" ht="15.75" customHeight="1" x14ac:dyDescent="0.25">
      <c r="BH708" s="74"/>
    </row>
    <row r="709" spans="60:60" ht="15.75" customHeight="1" x14ac:dyDescent="0.25">
      <c r="BH709" s="74"/>
    </row>
    <row r="710" spans="60:60" ht="15.75" customHeight="1" x14ac:dyDescent="0.25">
      <c r="BH710" s="74"/>
    </row>
    <row r="711" spans="60:60" ht="15.75" customHeight="1" x14ac:dyDescent="0.25">
      <c r="BH711" s="74"/>
    </row>
    <row r="712" spans="60:60" ht="15.75" customHeight="1" x14ac:dyDescent="0.25">
      <c r="BH712" s="74"/>
    </row>
    <row r="713" spans="60:60" ht="15.75" customHeight="1" x14ac:dyDescent="0.25">
      <c r="BH713" s="74"/>
    </row>
    <row r="714" spans="60:60" ht="15.75" customHeight="1" x14ac:dyDescent="0.25">
      <c r="BH714" s="74"/>
    </row>
    <row r="715" spans="60:60" ht="15.75" customHeight="1" x14ac:dyDescent="0.25">
      <c r="BH715" s="74"/>
    </row>
    <row r="716" spans="60:60" ht="15.75" customHeight="1" x14ac:dyDescent="0.25">
      <c r="BH716" s="74"/>
    </row>
    <row r="717" spans="60:60" ht="15.75" customHeight="1" x14ac:dyDescent="0.25">
      <c r="BH717" s="74"/>
    </row>
    <row r="718" spans="60:60" ht="15.75" customHeight="1" x14ac:dyDescent="0.25">
      <c r="BH718" s="74"/>
    </row>
    <row r="719" spans="60:60" ht="15.75" customHeight="1" x14ac:dyDescent="0.25">
      <c r="BH719" s="74"/>
    </row>
    <row r="720" spans="60:60" ht="15.75" customHeight="1" x14ac:dyDescent="0.25">
      <c r="BH720" s="74"/>
    </row>
    <row r="721" spans="60:60" ht="15.75" customHeight="1" x14ac:dyDescent="0.25">
      <c r="BH721" s="74"/>
    </row>
    <row r="722" spans="60:60" ht="15.75" customHeight="1" x14ac:dyDescent="0.25">
      <c r="BH722" s="74"/>
    </row>
    <row r="723" spans="60:60" ht="15.75" customHeight="1" x14ac:dyDescent="0.25">
      <c r="BH723" s="74"/>
    </row>
    <row r="724" spans="60:60" ht="15.75" customHeight="1" x14ac:dyDescent="0.25">
      <c r="BH724" s="74"/>
    </row>
    <row r="725" spans="60:60" ht="15.75" customHeight="1" x14ac:dyDescent="0.25">
      <c r="BH725" s="74"/>
    </row>
    <row r="726" spans="60:60" ht="15.75" customHeight="1" x14ac:dyDescent="0.25">
      <c r="BH726" s="74"/>
    </row>
    <row r="727" spans="60:60" ht="15.75" customHeight="1" x14ac:dyDescent="0.25">
      <c r="BH727" s="74"/>
    </row>
    <row r="728" spans="60:60" ht="15.75" customHeight="1" x14ac:dyDescent="0.25">
      <c r="BH728" s="74"/>
    </row>
    <row r="729" spans="60:60" ht="15.75" customHeight="1" x14ac:dyDescent="0.25">
      <c r="BH729" s="74"/>
    </row>
    <row r="730" spans="60:60" ht="15.75" customHeight="1" x14ac:dyDescent="0.25">
      <c r="BH730" s="74"/>
    </row>
    <row r="731" spans="60:60" ht="15.75" customHeight="1" x14ac:dyDescent="0.25">
      <c r="BH731" s="74"/>
    </row>
    <row r="732" spans="60:60" ht="15.75" customHeight="1" x14ac:dyDescent="0.25">
      <c r="BH732" s="74"/>
    </row>
    <row r="733" spans="60:60" ht="15.75" customHeight="1" x14ac:dyDescent="0.25">
      <c r="BH733" s="74"/>
    </row>
    <row r="734" spans="60:60" ht="15.75" customHeight="1" x14ac:dyDescent="0.25">
      <c r="BH734" s="74"/>
    </row>
    <row r="735" spans="60:60" ht="15.75" customHeight="1" x14ac:dyDescent="0.25">
      <c r="BH735" s="74"/>
    </row>
    <row r="736" spans="60:60" ht="15.75" customHeight="1" x14ac:dyDescent="0.25">
      <c r="BH736" s="74"/>
    </row>
    <row r="737" spans="60:60" ht="15.75" customHeight="1" x14ac:dyDescent="0.25">
      <c r="BH737" s="74"/>
    </row>
    <row r="738" spans="60:60" ht="15.75" customHeight="1" x14ac:dyDescent="0.25">
      <c r="BH738" s="74"/>
    </row>
    <row r="739" spans="60:60" ht="15.75" customHeight="1" x14ac:dyDescent="0.25">
      <c r="BH739" s="74"/>
    </row>
    <row r="740" spans="60:60" ht="15.75" customHeight="1" x14ac:dyDescent="0.25">
      <c r="BH740" s="74"/>
    </row>
    <row r="741" spans="60:60" ht="15.75" customHeight="1" x14ac:dyDescent="0.25">
      <c r="BH741" s="74"/>
    </row>
    <row r="742" spans="60:60" ht="15.75" customHeight="1" x14ac:dyDescent="0.25">
      <c r="BH742" s="74"/>
    </row>
    <row r="743" spans="60:60" ht="15.75" customHeight="1" x14ac:dyDescent="0.25">
      <c r="BH743" s="74"/>
    </row>
    <row r="744" spans="60:60" ht="15.75" customHeight="1" x14ac:dyDescent="0.25">
      <c r="BH744" s="74"/>
    </row>
    <row r="745" spans="60:60" ht="15.75" customHeight="1" x14ac:dyDescent="0.25">
      <c r="BH745" s="74"/>
    </row>
    <row r="746" spans="60:60" ht="15.75" customHeight="1" x14ac:dyDescent="0.25">
      <c r="BH746" s="74"/>
    </row>
    <row r="747" spans="60:60" ht="15.75" customHeight="1" x14ac:dyDescent="0.25">
      <c r="BH747" s="74"/>
    </row>
    <row r="748" spans="60:60" ht="15.75" customHeight="1" x14ac:dyDescent="0.25">
      <c r="BH748" s="74"/>
    </row>
    <row r="749" spans="60:60" ht="15.75" customHeight="1" x14ac:dyDescent="0.25">
      <c r="BH749" s="74"/>
    </row>
    <row r="750" spans="60:60" ht="15.75" customHeight="1" x14ac:dyDescent="0.25">
      <c r="BH750" s="74"/>
    </row>
    <row r="751" spans="60:60" ht="15.75" customHeight="1" x14ac:dyDescent="0.25">
      <c r="BH751" s="74"/>
    </row>
    <row r="752" spans="60:60" ht="15.75" customHeight="1" x14ac:dyDescent="0.25">
      <c r="BH752" s="74"/>
    </row>
    <row r="753" spans="60:60" ht="15.75" customHeight="1" x14ac:dyDescent="0.25">
      <c r="BH753" s="74"/>
    </row>
    <row r="754" spans="60:60" ht="15.75" customHeight="1" x14ac:dyDescent="0.25">
      <c r="BH754" s="74"/>
    </row>
    <row r="755" spans="60:60" ht="15.75" customHeight="1" x14ac:dyDescent="0.25">
      <c r="BH755" s="74"/>
    </row>
    <row r="756" spans="60:60" ht="15.75" customHeight="1" x14ac:dyDescent="0.25">
      <c r="BH756" s="74"/>
    </row>
    <row r="757" spans="60:60" ht="15.75" customHeight="1" x14ac:dyDescent="0.25">
      <c r="BH757" s="74"/>
    </row>
    <row r="758" spans="60:60" ht="15.75" customHeight="1" x14ac:dyDescent="0.25">
      <c r="BH758" s="74"/>
    </row>
    <row r="759" spans="60:60" ht="15.75" customHeight="1" x14ac:dyDescent="0.25">
      <c r="BH759" s="74"/>
    </row>
    <row r="760" spans="60:60" ht="15.75" customHeight="1" x14ac:dyDescent="0.25">
      <c r="BH760" s="74"/>
    </row>
    <row r="761" spans="60:60" ht="15.75" customHeight="1" x14ac:dyDescent="0.25">
      <c r="BH761" s="74"/>
    </row>
    <row r="762" spans="60:60" ht="15.75" customHeight="1" x14ac:dyDescent="0.25">
      <c r="BH762" s="74"/>
    </row>
    <row r="763" spans="60:60" ht="15.75" customHeight="1" x14ac:dyDescent="0.25">
      <c r="BH763" s="74"/>
    </row>
    <row r="764" spans="60:60" ht="15.75" customHeight="1" x14ac:dyDescent="0.25">
      <c r="BH764" s="74"/>
    </row>
    <row r="765" spans="60:60" ht="15.75" customHeight="1" x14ac:dyDescent="0.25">
      <c r="BH765" s="74"/>
    </row>
    <row r="766" spans="60:60" ht="15.75" customHeight="1" x14ac:dyDescent="0.25">
      <c r="BH766" s="74"/>
    </row>
    <row r="767" spans="60:60" ht="15.75" customHeight="1" x14ac:dyDescent="0.25">
      <c r="BH767" s="74"/>
    </row>
    <row r="768" spans="60:60" ht="15.75" customHeight="1" x14ac:dyDescent="0.25">
      <c r="BH768" s="74"/>
    </row>
    <row r="769" spans="60:60" ht="15.75" customHeight="1" x14ac:dyDescent="0.25">
      <c r="BH769" s="74"/>
    </row>
    <row r="770" spans="60:60" ht="15.75" customHeight="1" x14ac:dyDescent="0.25">
      <c r="BH770" s="74"/>
    </row>
    <row r="771" spans="60:60" ht="15.75" customHeight="1" x14ac:dyDescent="0.25">
      <c r="BH771" s="74"/>
    </row>
    <row r="772" spans="60:60" ht="15.75" customHeight="1" x14ac:dyDescent="0.25">
      <c r="BH772" s="74"/>
    </row>
    <row r="773" spans="60:60" ht="15.75" customHeight="1" x14ac:dyDescent="0.25">
      <c r="BH773" s="74"/>
    </row>
    <row r="774" spans="60:60" ht="15.75" customHeight="1" x14ac:dyDescent="0.25">
      <c r="BH774" s="74"/>
    </row>
    <row r="775" spans="60:60" ht="15.75" customHeight="1" x14ac:dyDescent="0.25">
      <c r="BH775" s="74"/>
    </row>
    <row r="776" spans="60:60" ht="15.75" customHeight="1" x14ac:dyDescent="0.25">
      <c r="BH776" s="74"/>
    </row>
    <row r="777" spans="60:60" ht="15.75" customHeight="1" x14ac:dyDescent="0.25">
      <c r="BH777" s="74"/>
    </row>
    <row r="778" spans="60:60" ht="15.75" customHeight="1" x14ac:dyDescent="0.25">
      <c r="BH778" s="74"/>
    </row>
    <row r="779" spans="60:60" ht="15.75" customHeight="1" x14ac:dyDescent="0.25">
      <c r="BH779" s="74"/>
    </row>
    <row r="780" spans="60:60" ht="15.75" customHeight="1" x14ac:dyDescent="0.25">
      <c r="BH780" s="74"/>
    </row>
    <row r="781" spans="60:60" ht="15.75" customHeight="1" x14ac:dyDescent="0.25">
      <c r="BH781" s="74"/>
    </row>
    <row r="782" spans="60:60" ht="15.75" customHeight="1" x14ac:dyDescent="0.25">
      <c r="BH782" s="74"/>
    </row>
    <row r="783" spans="60:60" ht="15.75" customHeight="1" x14ac:dyDescent="0.25">
      <c r="BH783" s="74"/>
    </row>
    <row r="784" spans="60:60" ht="15.75" customHeight="1" x14ac:dyDescent="0.25">
      <c r="BH784" s="74"/>
    </row>
    <row r="785" spans="60:60" ht="15.75" customHeight="1" x14ac:dyDescent="0.25">
      <c r="BH785" s="74"/>
    </row>
    <row r="786" spans="60:60" ht="15.75" customHeight="1" x14ac:dyDescent="0.25">
      <c r="BH786" s="74"/>
    </row>
    <row r="787" spans="60:60" ht="15.75" customHeight="1" x14ac:dyDescent="0.25">
      <c r="BH787" s="74"/>
    </row>
    <row r="788" spans="60:60" ht="15.75" customHeight="1" x14ac:dyDescent="0.25">
      <c r="BH788" s="74"/>
    </row>
    <row r="789" spans="60:60" ht="15.75" customHeight="1" x14ac:dyDescent="0.25">
      <c r="BH789" s="74"/>
    </row>
    <row r="790" spans="60:60" ht="15.75" customHeight="1" x14ac:dyDescent="0.25">
      <c r="BH790" s="74"/>
    </row>
    <row r="791" spans="60:60" ht="15.75" customHeight="1" x14ac:dyDescent="0.25">
      <c r="BH791" s="74"/>
    </row>
    <row r="792" spans="60:60" ht="15.75" customHeight="1" x14ac:dyDescent="0.25">
      <c r="BH792" s="74"/>
    </row>
    <row r="793" spans="60:60" ht="15.75" customHeight="1" x14ac:dyDescent="0.25">
      <c r="BH793" s="74"/>
    </row>
    <row r="794" spans="60:60" ht="15.75" customHeight="1" x14ac:dyDescent="0.25">
      <c r="BH794" s="74"/>
    </row>
    <row r="795" spans="60:60" ht="15.75" customHeight="1" x14ac:dyDescent="0.25">
      <c r="BH795" s="74"/>
    </row>
    <row r="796" spans="60:60" ht="15.75" customHeight="1" x14ac:dyDescent="0.25">
      <c r="BH796" s="74"/>
    </row>
    <row r="797" spans="60:60" ht="15.75" customHeight="1" x14ac:dyDescent="0.25">
      <c r="BH797" s="74"/>
    </row>
    <row r="798" spans="60:60" ht="15.75" customHeight="1" x14ac:dyDescent="0.25">
      <c r="BH798" s="74"/>
    </row>
    <row r="799" spans="60:60" ht="15.75" customHeight="1" x14ac:dyDescent="0.25">
      <c r="BH799" s="74"/>
    </row>
    <row r="800" spans="60:60" ht="15.75" customHeight="1" x14ac:dyDescent="0.25">
      <c r="BH800" s="74"/>
    </row>
    <row r="801" spans="60:60" ht="15.75" customHeight="1" x14ac:dyDescent="0.25">
      <c r="BH801" s="74"/>
    </row>
    <row r="802" spans="60:60" ht="15.75" customHeight="1" x14ac:dyDescent="0.25">
      <c r="BH802" s="74"/>
    </row>
    <row r="803" spans="60:60" ht="15.75" customHeight="1" x14ac:dyDescent="0.25">
      <c r="BH803" s="74"/>
    </row>
    <row r="804" spans="60:60" ht="15.75" customHeight="1" x14ac:dyDescent="0.25">
      <c r="BH804" s="74"/>
    </row>
    <row r="805" spans="60:60" ht="15.75" customHeight="1" x14ac:dyDescent="0.25">
      <c r="BH805" s="74"/>
    </row>
    <row r="806" spans="60:60" ht="15.75" customHeight="1" x14ac:dyDescent="0.25">
      <c r="BH806" s="74"/>
    </row>
    <row r="807" spans="60:60" ht="15.75" customHeight="1" x14ac:dyDescent="0.25">
      <c r="BH807" s="74"/>
    </row>
    <row r="808" spans="60:60" ht="15.75" customHeight="1" x14ac:dyDescent="0.25">
      <c r="BH808" s="74"/>
    </row>
    <row r="809" spans="60:60" ht="15.75" customHeight="1" x14ac:dyDescent="0.25">
      <c r="BH809" s="74"/>
    </row>
    <row r="810" spans="60:60" ht="15.75" customHeight="1" x14ac:dyDescent="0.25">
      <c r="BH810" s="74"/>
    </row>
    <row r="811" spans="60:60" ht="15.75" customHeight="1" x14ac:dyDescent="0.25">
      <c r="BH811" s="74"/>
    </row>
    <row r="812" spans="60:60" ht="15.75" customHeight="1" x14ac:dyDescent="0.25">
      <c r="BH812" s="74"/>
    </row>
    <row r="813" spans="60:60" ht="15.75" customHeight="1" x14ac:dyDescent="0.25">
      <c r="BH813" s="74"/>
    </row>
    <row r="814" spans="60:60" ht="15.75" customHeight="1" x14ac:dyDescent="0.25">
      <c r="BH814" s="74"/>
    </row>
    <row r="815" spans="60:60" ht="15.75" customHeight="1" x14ac:dyDescent="0.25">
      <c r="BH815" s="74"/>
    </row>
    <row r="816" spans="60:60" ht="15.75" customHeight="1" x14ac:dyDescent="0.25">
      <c r="BH816" s="74"/>
    </row>
    <row r="817" spans="60:60" ht="15.75" customHeight="1" x14ac:dyDescent="0.25">
      <c r="BH817" s="74"/>
    </row>
    <row r="818" spans="60:60" ht="15.75" customHeight="1" x14ac:dyDescent="0.25">
      <c r="BH818" s="74"/>
    </row>
    <row r="819" spans="60:60" ht="15.75" customHeight="1" x14ac:dyDescent="0.25">
      <c r="BH819" s="74"/>
    </row>
    <row r="820" spans="60:60" ht="15.75" customHeight="1" x14ac:dyDescent="0.25">
      <c r="BH820" s="74"/>
    </row>
    <row r="821" spans="60:60" ht="15.75" customHeight="1" x14ac:dyDescent="0.25">
      <c r="BH821" s="74"/>
    </row>
    <row r="822" spans="60:60" ht="15.75" customHeight="1" x14ac:dyDescent="0.25">
      <c r="BH822" s="74"/>
    </row>
    <row r="823" spans="60:60" ht="15.75" customHeight="1" x14ac:dyDescent="0.25">
      <c r="BH823" s="74"/>
    </row>
    <row r="824" spans="60:60" ht="15.75" customHeight="1" x14ac:dyDescent="0.25">
      <c r="BH824" s="74"/>
    </row>
    <row r="825" spans="60:60" ht="15.75" customHeight="1" x14ac:dyDescent="0.25">
      <c r="BH825" s="74"/>
    </row>
    <row r="826" spans="60:60" ht="15.75" customHeight="1" x14ac:dyDescent="0.25">
      <c r="BH826" s="74"/>
    </row>
    <row r="827" spans="60:60" ht="15.75" customHeight="1" x14ac:dyDescent="0.25">
      <c r="BH827" s="74"/>
    </row>
    <row r="828" spans="60:60" ht="15.75" customHeight="1" x14ac:dyDescent="0.25">
      <c r="BH828" s="74"/>
    </row>
    <row r="829" spans="60:60" ht="15.75" customHeight="1" x14ac:dyDescent="0.25">
      <c r="BH829" s="74"/>
    </row>
    <row r="830" spans="60:60" ht="15.75" customHeight="1" x14ac:dyDescent="0.25">
      <c r="BH830" s="74"/>
    </row>
    <row r="831" spans="60:60" ht="15.75" customHeight="1" x14ac:dyDescent="0.25">
      <c r="BH831" s="74"/>
    </row>
    <row r="832" spans="60:60" ht="15.75" customHeight="1" x14ac:dyDescent="0.25">
      <c r="BH832" s="74"/>
    </row>
    <row r="833" spans="60:60" ht="15.75" customHeight="1" x14ac:dyDescent="0.25">
      <c r="BH833" s="74"/>
    </row>
    <row r="834" spans="60:60" ht="15.75" customHeight="1" x14ac:dyDescent="0.25">
      <c r="BH834" s="74"/>
    </row>
    <row r="835" spans="60:60" ht="15.75" customHeight="1" x14ac:dyDescent="0.25">
      <c r="BH835" s="74"/>
    </row>
    <row r="836" spans="60:60" ht="15.75" customHeight="1" x14ac:dyDescent="0.25">
      <c r="BH836" s="74"/>
    </row>
    <row r="837" spans="60:60" ht="15.75" customHeight="1" x14ac:dyDescent="0.25">
      <c r="BH837" s="74"/>
    </row>
    <row r="838" spans="60:60" ht="15.75" customHeight="1" x14ac:dyDescent="0.25">
      <c r="BH838" s="74"/>
    </row>
    <row r="839" spans="60:60" ht="15.75" customHeight="1" x14ac:dyDescent="0.25">
      <c r="BH839" s="74"/>
    </row>
    <row r="840" spans="60:60" ht="15.75" customHeight="1" x14ac:dyDescent="0.25">
      <c r="BH840" s="74"/>
    </row>
    <row r="841" spans="60:60" ht="15.75" customHeight="1" x14ac:dyDescent="0.25">
      <c r="BH841" s="74"/>
    </row>
    <row r="842" spans="60:60" ht="15.75" customHeight="1" x14ac:dyDescent="0.25">
      <c r="BH842" s="74"/>
    </row>
    <row r="843" spans="60:60" ht="15.75" customHeight="1" x14ac:dyDescent="0.25">
      <c r="BH843" s="74"/>
    </row>
    <row r="844" spans="60:60" ht="15.75" customHeight="1" x14ac:dyDescent="0.25">
      <c r="BH844" s="74"/>
    </row>
    <row r="845" spans="60:60" ht="15.75" customHeight="1" x14ac:dyDescent="0.25">
      <c r="BH845" s="74"/>
    </row>
    <row r="846" spans="60:60" ht="15.75" customHeight="1" x14ac:dyDescent="0.25">
      <c r="BH846" s="74"/>
    </row>
    <row r="847" spans="60:60" ht="15.75" customHeight="1" x14ac:dyDescent="0.25">
      <c r="BH847" s="74"/>
    </row>
    <row r="848" spans="60:60" ht="15.75" customHeight="1" x14ac:dyDescent="0.25">
      <c r="BH848" s="74"/>
    </row>
    <row r="849" spans="60:60" ht="15.75" customHeight="1" x14ac:dyDescent="0.25">
      <c r="BH849" s="74"/>
    </row>
    <row r="850" spans="60:60" ht="15.75" customHeight="1" x14ac:dyDescent="0.25">
      <c r="BH850" s="74"/>
    </row>
    <row r="851" spans="60:60" ht="15.75" customHeight="1" x14ac:dyDescent="0.25">
      <c r="BH851" s="74"/>
    </row>
    <row r="852" spans="60:60" ht="15.75" customHeight="1" x14ac:dyDescent="0.25">
      <c r="BH852" s="74"/>
    </row>
    <row r="853" spans="60:60" ht="15.75" customHeight="1" x14ac:dyDescent="0.25">
      <c r="BH853" s="74"/>
    </row>
    <row r="854" spans="60:60" ht="15.75" customHeight="1" x14ac:dyDescent="0.25">
      <c r="BH854" s="74"/>
    </row>
    <row r="855" spans="60:60" ht="15.75" customHeight="1" x14ac:dyDescent="0.25">
      <c r="BH855" s="74"/>
    </row>
    <row r="856" spans="60:60" ht="15.75" customHeight="1" x14ac:dyDescent="0.25">
      <c r="BH856" s="74"/>
    </row>
    <row r="857" spans="60:60" ht="15.75" customHeight="1" x14ac:dyDescent="0.25">
      <c r="BH857" s="74"/>
    </row>
    <row r="858" spans="60:60" ht="15.75" customHeight="1" x14ac:dyDescent="0.25">
      <c r="BH858" s="74"/>
    </row>
    <row r="859" spans="60:60" ht="15.75" customHeight="1" x14ac:dyDescent="0.25">
      <c r="BH859" s="74"/>
    </row>
    <row r="860" spans="60:60" ht="15.75" customHeight="1" x14ac:dyDescent="0.25">
      <c r="BH860" s="74"/>
    </row>
    <row r="861" spans="60:60" ht="15.75" customHeight="1" x14ac:dyDescent="0.25">
      <c r="BH861" s="74"/>
    </row>
    <row r="862" spans="60:60" ht="15.75" customHeight="1" x14ac:dyDescent="0.25">
      <c r="BH862" s="74"/>
    </row>
    <row r="863" spans="60:60" ht="15.75" customHeight="1" x14ac:dyDescent="0.25">
      <c r="BH863" s="74"/>
    </row>
    <row r="864" spans="60:60" ht="15.75" customHeight="1" x14ac:dyDescent="0.25">
      <c r="BH864" s="74"/>
    </row>
    <row r="865" spans="60:60" ht="15.75" customHeight="1" x14ac:dyDescent="0.25">
      <c r="BH865" s="74"/>
    </row>
    <row r="866" spans="60:60" ht="15.75" customHeight="1" x14ac:dyDescent="0.25">
      <c r="BH866" s="74"/>
    </row>
    <row r="867" spans="60:60" ht="15.75" customHeight="1" x14ac:dyDescent="0.25">
      <c r="BH867" s="74"/>
    </row>
    <row r="868" spans="60:60" ht="15.75" customHeight="1" x14ac:dyDescent="0.25">
      <c r="BH868" s="74"/>
    </row>
    <row r="869" spans="60:60" ht="15.75" customHeight="1" x14ac:dyDescent="0.25">
      <c r="BH869" s="74"/>
    </row>
    <row r="870" spans="60:60" ht="15.75" customHeight="1" x14ac:dyDescent="0.25">
      <c r="BH870" s="74"/>
    </row>
    <row r="871" spans="60:60" ht="15.75" customHeight="1" x14ac:dyDescent="0.25">
      <c r="BH871" s="74"/>
    </row>
    <row r="872" spans="60:60" ht="15.75" customHeight="1" x14ac:dyDescent="0.25">
      <c r="BH872" s="74"/>
    </row>
    <row r="873" spans="60:60" ht="15.75" customHeight="1" x14ac:dyDescent="0.25">
      <c r="BH873" s="74"/>
    </row>
    <row r="874" spans="60:60" ht="15.75" customHeight="1" x14ac:dyDescent="0.25">
      <c r="BH874" s="74"/>
    </row>
    <row r="875" spans="60:60" ht="15.75" customHeight="1" x14ac:dyDescent="0.25">
      <c r="BH875" s="74"/>
    </row>
    <row r="876" spans="60:60" ht="15.75" customHeight="1" x14ac:dyDescent="0.25">
      <c r="BH876" s="74"/>
    </row>
    <row r="877" spans="60:60" ht="15.75" customHeight="1" x14ac:dyDescent="0.25">
      <c r="BH877" s="74"/>
    </row>
    <row r="878" spans="60:60" ht="15.75" customHeight="1" x14ac:dyDescent="0.25">
      <c r="BH878" s="74"/>
    </row>
    <row r="879" spans="60:60" ht="15.75" customHeight="1" x14ac:dyDescent="0.25">
      <c r="BH879" s="74"/>
    </row>
    <row r="880" spans="60:60" ht="15.75" customHeight="1" x14ac:dyDescent="0.25">
      <c r="BH880" s="74"/>
    </row>
    <row r="881" spans="60:60" ht="15.75" customHeight="1" x14ac:dyDescent="0.25">
      <c r="BH881" s="74"/>
    </row>
    <row r="882" spans="60:60" ht="15.75" customHeight="1" x14ac:dyDescent="0.25">
      <c r="BH882" s="74"/>
    </row>
    <row r="883" spans="60:60" ht="15.75" customHeight="1" x14ac:dyDescent="0.25">
      <c r="BH883" s="74"/>
    </row>
    <row r="884" spans="60:60" ht="15.75" customHeight="1" x14ac:dyDescent="0.25">
      <c r="BH884" s="74"/>
    </row>
    <row r="885" spans="60:60" ht="15.75" customHeight="1" x14ac:dyDescent="0.25">
      <c r="BH885" s="74"/>
    </row>
    <row r="886" spans="60:60" ht="15.75" customHeight="1" x14ac:dyDescent="0.25">
      <c r="BH886" s="74"/>
    </row>
    <row r="887" spans="60:60" ht="15.75" customHeight="1" x14ac:dyDescent="0.25">
      <c r="BH887" s="74"/>
    </row>
    <row r="888" spans="60:60" ht="15.75" customHeight="1" x14ac:dyDescent="0.25">
      <c r="BH888" s="74"/>
    </row>
    <row r="889" spans="60:60" ht="15.75" customHeight="1" x14ac:dyDescent="0.25">
      <c r="BH889" s="74"/>
    </row>
    <row r="890" spans="60:60" ht="15.75" customHeight="1" x14ac:dyDescent="0.25">
      <c r="BH890" s="74"/>
    </row>
    <row r="891" spans="60:60" ht="15.75" customHeight="1" x14ac:dyDescent="0.25">
      <c r="BH891" s="74"/>
    </row>
    <row r="892" spans="60:60" ht="15.75" customHeight="1" x14ac:dyDescent="0.25">
      <c r="BH892" s="74"/>
    </row>
    <row r="893" spans="60:60" ht="15.75" customHeight="1" x14ac:dyDescent="0.25">
      <c r="BH893" s="74"/>
    </row>
    <row r="894" spans="60:60" ht="15.75" customHeight="1" x14ac:dyDescent="0.25">
      <c r="BH894" s="74"/>
    </row>
    <row r="895" spans="60:60" ht="15.75" customHeight="1" x14ac:dyDescent="0.25">
      <c r="BH895" s="74"/>
    </row>
    <row r="896" spans="60:60" ht="15.75" customHeight="1" x14ac:dyDescent="0.25">
      <c r="BH896" s="74"/>
    </row>
    <row r="897" spans="60:60" ht="15.75" customHeight="1" x14ac:dyDescent="0.25">
      <c r="BH897" s="74"/>
    </row>
    <row r="898" spans="60:60" ht="15.75" customHeight="1" x14ac:dyDescent="0.25">
      <c r="BH898" s="74"/>
    </row>
    <row r="899" spans="60:60" ht="15.75" customHeight="1" x14ac:dyDescent="0.25">
      <c r="BH899" s="74"/>
    </row>
    <row r="900" spans="60:60" ht="15.75" customHeight="1" x14ac:dyDescent="0.25">
      <c r="BH900" s="74"/>
    </row>
    <row r="901" spans="60:60" ht="15.75" customHeight="1" x14ac:dyDescent="0.25">
      <c r="BH901" s="74"/>
    </row>
    <row r="902" spans="60:60" ht="15.75" customHeight="1" x14ac:dyDescent="0.25">
      <c r="BH902" s="74"/>
    </row>
    <row r="903" spans="60:60" ht="15.75" customHeight="1" x14ac:dyDescent="0.25">
      <c r="BH903" s="74"/>
    </row>
    <row r="904" spans="60:60" ht="15.75" customHeight="1" x14ac:dyDescent="0.25">
      <c r="BH904" s="74"/>
    </row>
    <row r="905" spans="60:60" ht="15.75" customHeight="1" x14ac:dyDescent="0.25">
      <c r="BH905" s="74"/>
    </row>
    <row r="906" spans="60:60" ht="15.75" customHeight="1" x14ac:dyDescent="0.25">
      <c r="BH906" s="74"/>
    </row>
    <row r="907" spans="60:60" ht="15.75" customHeight="1" x14ac:dyDescent="0.25">
      <c r="BH907" s="74"/>
    </row>
    <row r="908" spans="60:60" ht="15.75" customHeight="1" x14ac:dyDescent="0.25">
      <c r="BH908" s="74"/>
    </row>
    <row r="909" spans="60:60" ht="15.75" customHeight="1" x14ac:dyDescent="0.25">
      <c r="BH909" s="74"/>
    </row>
    <row r="910" spans="60:60" ht="15.75" customHeight="1" x14ac:dyDescent="0.25">
      <c r="BH910" s="74"/>
    </row>
    <row r="911" spans="60:60" ht="15.75" customHeight="1" x14ac:dyDescent="0.25">
      <c r="BH911" s="74"/>
    </row>
    <row r="912" spans="60:60" ht="15.75" customHeight="1" x14ac:dyDescent="0.25">
      <c r="BH912" s="74"/>
    </row>
    <row r="913" spans="60:60" ht="15.75" customHeight="1" x14ac:dyDescent="0.25">
      <c r="BH913" s="74"/>
    </row>
    <row r="914" spans="60:60" ht="15.75" customHeight="1" x14ac:dyDescent="0.25">
      <c r="BH914" s="74"/>
    </row>
    <row r="915" spans="60:60" ht="15.75" customHeight="1" x14ac:dyDescent="0.25">
      <c r="BH915" s="74"/>
    </row>
    <row r="916" spans="60:60" ht="15.75" customHeight="1" x14ac:dyDescent="0.25">
      <c r="BH916" s="74"/>
    </row>
    <row r="917" spans="60:60" ht="15.75" customHeight="1" x14ac:dyDescent="0.25">
      <c r="BH917" s="74"/>
    </row>
    <row r="918" spans="60:60" ht="15.75" customHeight="1" x14ac:dyDescent="0.25">
      <c r="BH918" s="74"/>
    </row>
    <row r="919" spans="60:60" ht="15.75" customHeight="1" x14ac:dyDescent="0.25">
      <c r="BH919" s="74"/>
    </row>
    <row r="920" spans="60:60" ht="15.75" customHeight="1" x14ac:dyDescent="0.25">
      <c r="BH920" s="74"/>
    </row>
    <row r="921" spans="60:60" ht="15.75" customHeight="1" x14ac:dyDescent="0.25">
      <c r="BH921" s="74"/>
    </row>
    <row r="922" spans="60:60" ht="15.75" customHeight="1" x14ac:dyDescent="0.25">
      <c r="BH922" s="74"/>
    </row>
    <row r="923" spans="60:60" ht="15.75" customHeight="1" x14ac:dyDescent="0.25">
      <c r="BH923" s="74"/>
    </row>
    <row r="924" spans="60:60" ht="15.75" customHeight="1" x14ac:dyDescent="0.25">
      <c r="BH924" s="74"/>
    </row>
    <row r="925" spans="60:60" ht="15.75" customHeight="1" x14ac:dyDescent="0.25">
      <c r="BH925" s="74"/>
    </row>
    <row r="926" spans="60:60" ht="15.75" customHeight="1" x14ac:dyDescent="0.25">
      <c r="BH926" s="74"/>
    </row>
    <row r="927" spans="60:60" ht="15.75" customHeight="1" x14ac:dyDescent="0.25">
      <c r="BH927" s="74"/>
    </row>
    <row r="928" spans="60:60" ht="15.75" customHeight="1" x14ac:dyDescent="0.25">
      <c r="BH928" s="74"/>
    </row>
    <row r="929" spans="60:60" ht="15.75" customHeight="1" x14ac:dyDescent="0.25">
      <c r="BH929" s="74"/>
    </row>
    <row r="930" spans="60:60" ht="15.75" customHeight="1" x14ac:dyDescent="0.25">
      <c r="BH930" s="74"/>
    </row>
    <row r="931" spans="60:60" ht="15.75" customHeight="1" x14ac:dyDescent="0.25">
      <c r="BH931" s="74"/>
    </row>
    <row r="932" spans="60:60" ht="15.75" customHeight="1" x14ac:dyDescent="0.25">
      <c r="BH932" s="74"/>
    </row>
    <row r="933" spans="60:60" ht="15.75" customHeight="1" x14ac:dyDescent="0.25">
      <c r="BH933" s="74"/>
    </row>
    <row r="934" spans="60:60" ht="15.75" customHeight="1" x14ac:dyDescent="0.25">
      <c r="BH934" s="74"/>
    </row>
    <row r="935" spans="60:60" ht="15.75" customHeight="1" x14ac:dyDescent="0.25">
      <c r="BH935" s="74"/>
    </row>
    <row r="936" spans="60:60" ht="15.75" customHeight="1" x14ac:dyDescent="0.25">
      <c r="BH936" s="74"/>
    </row>
    <row r="937" spans="60:60" ht="15.75" customHeight="1" x14ac:dyDescent="0.25">
      <c r="BH937" s="74"/>
    </row>
    <row r="938" spans="60:60" ht="15.75" customHeight="1" x14ac:dyDescent="0.25">
      <c r="BH938" s="74"/>
    </row>
    <row r="939" spans="60:60" ht="15.75" customHeight="1" x14ac:dyDescent="0.25">
      <c r="BH939" s="74"/>
    </row>
    <row r="940" spans="60:60" ht="15.75" customHeight="1" x14ac:dyDescent="0.25">
      <c r="BH940" s="74"/>
    </row>
    <row r="941" spans="60:60" ht="15.75" customHeight="1" x14ac:dyDescent="0.25">
      <c r="BH941" s="74"/>
    </row>
    <row r="942" spans="60:60" ht="15.75" customHeight="1" x14ac:dyDescent="0.25">
      <c r="BH942" s="74"/>
    </row>
    <row r="943" spans="60:60" ht="15.75" customHeight="1" x14ac:dyDescent="0.25">
      <c r="BH943" s="74"/>
    </row>
    <row r="944" spans="60:60" ht="15.75" customHeight="1" x14ac:dyDescent="0.25">
      <c r="BH944" s="74"/>
    </row>
    <row r="945" spans="60:60" ht="15.75" customHeight="1" x14ac:dyDescent="0.25">
      <c r="BH945" s="74"/>
    </row>
    <row r="946" spans="60:60" ht="15.75" customHeight="1" x14ac:dyDescent="0.25">
      <c r="BH946" s="74"/>
    </row>
    <row r="947" spans="60:60" ht="15.75" customHeight="1" x14ac:dyDescent="0.25">
      <c r="BH947" s="74"/>
    </row>
    <row r="948" spans="60:60" ht="15.75" customHeight="1" x14ac:dyDescent="0.25">
      <c r="BH948" s="74"/>
    </row>
    <row r="949" spans="60:60" ht="15.75" customHeight="1" x14ac:dyDescent="0.25">
      <c r="BH949" s="74"/>
    </row>
    <row r="950" spans="60:60" ht="15.75" customHeight="1" x14ac:dyDescent="0.25">
      <c r="BH950" s="74"/>
    </row>
    <row r="951" spans="60:60" ht="15.75" customHeight="1" x14ac:dyDescent="0.25">
      <c r="BH951" s="74"/>
    </row>
    <row r="952" spans="60:60" ht="15.75" customHeight="1" x14ac:dyDescent="0.25">
      <c r="BH952" s="74"/>
    </row>
    <row r="953" spans="60:60" ht="15.75" customHeight="1" x14ac:dyDescent="0.25">
      <c r="BH953" s="74"/>
    </row>
    <row r="954" spans="60:60" ht="15.75" customHeight="1" x14ac:dyDescent="0.25">
      <c r="BH954" s="74"/>
    </row>
    <row r="955" spans="60:60" ht="15.75" customHeight="1" x14ac:dyDescent="0.25">
      <c r="BH955" s="74"/>
    </row>
    <row r="956" spans="60:60" ht="15.75" customHeight="1" x14ac:dyDescent="0.25">
      <c r="BH956" s="74"/>
    </row>
    <row r="957" spans="60:60" ht="15.75" customHeight="1" x14ac:dyDescent="0.25">
      <c r="BH957" s="74"/>
    </row>
    <row r="958" spans="60:60" ht="15.75" customHeight="1" x14ac:dyDescent="0.25">
      <c r="BH958" s="74"/>
    </row>
    <row r="959" spans="60:60" ht="15.75" customHeight="1" x14ac:dyDescent="0.25">
      <c r="BH959" s="74"/>
    </row>
    <row r="960" spans="60:60" ht="15.75" customHeight="1" x14ac:dyDescent="0.25">
      <c r="BH960" s="74"/>
    </row>
    <row r="961" spans="60:60" ht="15.75" customHeight="1" x14ac:dyDescent="0.25">
      <c r="BH961" s="74"/>
    </row>
    <row r="962" spans="60:60" ht="15.75" customHeight="1" x14ac:dyDescent="0.25">
      <c r="BH962" s="74"/>
    </row>
    <row r="963" spans="60:60" ht="15.75" customHeight="1" x14ac:dyDescent="0.25">
      <c r="BH963" s="74"/>
    </row>
    <row r="964" spans="60:60" ht="15.75" customHeight="1" x14ac:dyDescent="0.25">
      <c r="BH964" s="74"/>
    </row>
    <row r="965" spans="60:60" ht="15.75" customHeight="1" x14ac:dyDescent="0.25">
      <c r="BH965" s="74"/>
    </row>
    <row r="966" spans="60:60" ht="15.75" customHeight="1" x14ac:dyDescent="0.25">
      <c r="BH966" s="74"/>
    </row>
    <row r="967" spans="60:60" ht="15.75" customHeight="1" x14ac:dyDescent="0.25">
      <c r="BH967" s="74"/>
    </row>
    <row r="968" spans="60:60" ht="15.75" customHeight="1" x14ac:dyDescent="0.25">
      <c r="BH968" s="74"/>
    </row>
    <row r="969" spans="60:60" ht="15.75" customHeight="1" x14ac:dyDescent="0.25">
      <c r="BH969" s="74"/>
    </row>
    <row r="970" spans="60:60" ht="15.75" customHeight="1" x14ac:dyDescent="0.25">
      <c r="BH970" s="74"/>
    </row>
    <row r="971" spans="60:60" ht="15.75" customHeight="1" x14ac:dyDescent="0.25">
      <c r="BH971" s="74"/>
    </row>
    <row r="972" spans="60:60" ht="15.75" customHeight="1" x14ac:dyDescent="0.25">
      <c r="BH972" s="74"/>
    </row>
    <row r="973" spans="60:60" ht="15.75" customHeight="1" x14ac:dyDescent="0.25">
      <c r="BH973" s="74"/>
    </row>
    <row r="974" spans="60:60" ht="15.75" customHeight="1" x14ac:dyDescent="0.25">
      <c r="BH974" s="74"/>
    </row>
    <row r="975" spans="60:60" ht="15.75" customHeight="1" x14ac:dyDescent="0.25">
      <c r="BH975" s="74"/>
    </row>
    <row r="976" spans="60:60" ht="15.75" customHeight="1" x14ac:dyDescent="0.25">
      <c r="BH976" s="74"/>
    </row>
    <row r="977" spans="60:60" ht="15.75" customHeight="1" x14ac:dyDescent="0.25">
      <c r="BH977" s="74"/>
    </row>
    <row r="978" spans="60:60" ht="15.75" customHeight="1" x14ac:dyDescent="0.25">
      <c r="BH978" s="74"/>
    </row>
    <row r="979" spans="60:60" ht="15.75" customHeight="1" x14ac:dyDescent="0.25">
      <c r="BH979" s="74"/>
    </row>
    <row r="980" spans="60:60" ht="15.75" customHeight="1" x14ac:dyDescent="0.25">
      <c r="BH980" s="74"/>
    </row>
    <row r="981" spans="60:60" ht="15.75" customHeight="1" x14ac:dyDescent="0.25">
      <c r="BH981" s="74"/>
    </row>
    <row r="982" spans="60:60" ht="15.75" customHeight="1" x14ac:dyDescent="0.25">
      <c r="BH982" s="74"/>
    </row>
    <row r="983" spans="60:60" ht="15.75" customHeight="1" x14ac:dyDescent="0.25">
      <c r="BH983" s="74"/>
    </row>
    <row r="984" spans="60:60" ht="15.75" customHeight="1" x14ac:dyDescent="0.25">
      <c r="BH984" s="74"/>
    </row>
    <row r="985" spans="60:60" ht="15.75" customHeight="1" x14ac:dyDescent="0.25">
      <c r="BH985" s="74"/>
    </row>
    <row r="986" spans="60:60" ht="15.75" customHeight="1" x14ac:dyDescent="0.25">
      <c r="BH986" s="74"/>
    </row>
    <row r="987" spans="60:60" ht="15.75" customHeight="1" x14ac:dyDescent="0.25">
      <c r="BH987" s="74"/>
    </row>
    <row r="988" spans="60:60" ht="15.75" customHeight="1" x14ac:dyDescent="0.25">
      <c r="BH988" s="74"/>
    </row>
    <row r="989" spans="60:60" ht="15.75" customHeight="1" x14ac:dyDescent="0.25">
      <c r="BH989" s="74"/>
    </row>
    <row r="990" spans="60:60" ht="15.75" customHeight="1" x14ac:dyDescent="0.25">
      <c r="BH990" s="74"/>
    </row>
    <row r="991" spans="60:60" ht="15.75" customHeight="1" x14ac:dyDescent="0.25">
      <c r="BH991" s="74"/>
    </row>
    <row r="992" spans="60:60" ht="15.75" customHeight="1" x14ac:dyDescent="0.25">
      <c r="BH992" s="74"/>
    </row>
    <row r="993" spans="60:60" ht="15.75" customHeight="1" x14ac:dyDescent="0.25">
      <c r="BH993" s="74"/>
    </row>
    <row r="994" spans="60:60" ht="15.75" customHeight="1" x14ac:dyDescent="0.25">
      <c r="BH994" s="74"/>
    </row>
    <row r="995" spans="60:60" ht="15.75" customHeight="1" x14ac:dyDescent="0.25">
      <c r="BH995" s="74"/>
    </row>
    <row r="996" spans="60:60" ht="15.75" customHeight="1" x14ac:dyDescent="0.25">
      <c r="BH996" s="74"/>
    </row>
    <row r="997" spans="60:60" ht="15.75" customHeight="1" x14ac:dyDescent="0.25">
      <c r="BH997" s="74"/>
    </row>
    <row r="998" spans="60:60" ht="15.75" customHeight="1" x14ac:dyDescent="0.25">
      <c r="BH998" s="74"/>
    </row>
    <row r="999" spans="60:60" ht="15.75" customHeight="1" x14ac:dyDescent="0.25">
      <c r="BH999" s="74"/>
    </row>
    <row r="1000" spans="60:60" ht="15.75" customHeight="1" x14ac:dyDescent="0.25">
      <c r="BH1000" s="74"/>
    </row>
  </sheetData>
  <mergeCells count="90">
    <mergeCell ref="AF63:AM63"/>
    <mergeCell ref="AF64:AM64"/>
    <mergeCell ref="AP64:AS64"/>
    <mergeCell ref="AM65:AP65"/>
    <mergeCell ref="AH67:AQ67"/>
    <mergeCell ref="AY25:BB25"/>
    <mergeCell ref="AJ27:AQ27"/>
    <mergeCell ref="AQ41:AT41"/>
    <mergeCell ref="V43:AC43"/>
    <mergeCell ref="V44:AC44"/>
    <mergeCell ref="AF44:AI44"/>
    <mergeCell ref="AJ40:AQ40"/>
    <mergeCell ref="AT40:AW40"/>
    <mergeCell ref="AQ33:AT33"/>
    <mergeCell ref="AL35:AS35"/>
    <mergeCell ref="AL36:AS36"/>
    <mergeCell ref="AV36:AY36"/>
    <mergeCell ref="AS37:AV37"/>
    <mergeCell ref="AJ28:AQ28"/>
    <mergeCell ref="AT28:AW28"/>
    <mergeCell ref="AQ29:AT29"/>
    <mergeCell ref="AY21:BB21"/>
    <mergeCell ref="AR23:AY23"/>
    <mergeCell ref="AR24:AY24"/>
    <mergeCell ref="BB24:BE24"/>
    <mergeCell ref="AR20:AY20"/>
    <mergeCell ref="I9:J9"/>
    <mergeCell ref="C11:C13"/>
    <mergeCell ref="AB11:AI11"/>
    <mergeCell ref="AB12:AI12"/>
    <mergeCell ref="BB20:BE20"/>
    <mergeCell ref="C15:C17"/>
    <mergeCell ref="AT15:BA15"/>
    <mergeCell ref="AT16:BA16"/>
    <mergeCell ref="BD16:BG16"/>
    <mergeCell ref="BA17:BD17"/>
    <mergeCell ref="AR19:AY19"/>
    <mergeCell ref="AL12:AO12"/>
    <mergeCell ref="G9:H9"/>
    <mergeCell ref="BJ5:BM5"/>
    <mergeCell ref="E5:I5"/>
    <mergeCell ref="J5:M5"/>
    <mergeCell ref="N5:Q5"/>
    <mergeCell ref="R5:U5"/>
    <mergeCell ref="V5:Y5"/>
    <mergeCell ref="Z5:AC5"/>
    <mergeCell ref="AD5:AG5"/>
    <mergeCell ref="AP5:AS5"/>
    <mergeCell ref="AT5:AW5"/>
    <mergeCell ref="AX5:BA5"/>
    <mergeCell ref="BB5:BE5"/>
    <mergeCell ref="BF5:BI5"/>
    <mergeCell ref="V59:AC59"/>
    <mergeCell ref="V60:AC60"/>
    <mergeCell ref="AC61:AF61"/>
    <mergeCell ref="AH5:AK5"/>
    <mergeCell ref="AL5:AO5"/>
    <mergeCell ref="AI13:AL13"/>
    <mergeCell ref="AC45:AF45"/>
    <mergeCell ref="T47:AA47"/>
    <mergeCell ref="T48:AA48"/>
    <mergeCell ref="AF60:AI60"/>
    <mergeCell ref="N55:U55"/>
    <mergeCell ref="N56:U56"/>
    <mergeCell ref="X56:AA56"/>
    <mergeCell ref="U57:X57"/>
    <mergeCell ref="AC57:AF57"/>
    <mergeCell ref="AJ39:AQ39"/>
    <mergeCell ref="C59:C61"/>
    <mergeCell ref="C63:C65"/>
    <mergeCell ref="C67:C69"/>
    <mergeCell ref="C19:C21"/>
    <mergeCell ref="C23:C25"/>
    <mergeCell ref="C27:C29"/>
    <mergeCell ref="C31:C33"/>
    <mergeCell ref="C35:C37"/>
    <mergeCell ref="C39:C41"/>
    <mergeCell ref="C43:C45"/>
    <mergeCell ref="C47:C49"/>
    <mergeCell ref="C51:C53"/>
    <mergeCell ref="N52:U52"/>
    <mergeCell ref="X52:AA52"/>
    <mergeCell ref="U53:X53"/>
    <mergeCell ref="AC53:AF53"/>
    <mergeCell ref="C55:C57"/>
    <mergeCell ref="AJ31:AQ31"/>
    <mergeCell ref="AJ32:AQ32"/>
    <mergeCell ref="AT32:AW32"/>
    <mergeCell ref="AD48:AG48"/>
    <mergeCell ref="AA49:AD49"/>
  </mergeCells>
  <printOptions horizontalCentered="1"/>
  <pageMargins left="3.937007874015748E-2" right="3.937007874015748E-2" top="0.74803149606299213" bottom="0.74803149606299213" header="0" footer="0"/>
  <pageSetup paperSize="8" fitToWidth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C1:BN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14.42578125" defaultRowHeight="15" customHeight="1" x14ac:dyDescent="0.25"/>
  <cols>
    <col min="1" max="1" width="2.7109375" customWidth="1"/>
    <col min="2" max="2" width="6.28515625" customWidth="1"/>
    <col min="3" max="3" width="44.140625" customWidth="1"/>
    <col min="4" max="4" width="10.42578125" customWidth="1"/>
    <col min="5" max="5" width="34.42578125" hidden="1" customWidth="1"/>
    <col min="6" max="13" width="30.7109375" hidden="1" customWidth="1"/>
    <col min="14" max="14" width="30.7109375" customWidth="1"/>
    <col min="15" max="15" width="35.42578125" customWidth="1"/>
    <col min="16" max="66" width="30.7109375" customWidth="1"/>
  </cols>
  <sheetData>
    <row r="1" spans="3:66" ht="14.25" customHeight="1" x14ac:dyDescent="0.25">
      <c r="C1" s="26"/>
      <c r="D1" s="26"/>
    </row>
    <row r="2" spans="3:66" ht="14.25" customHeight="1" x14ac:dyDescent="0.25">
      <c r="C2" s="26"/>
      <c r="D2" s="26"/>
    </row>
    <row r="3" spans="3:66" ht="49.5" customHeight="1" x14ac:dyDescent="0.25">
      <c r="C3" s="261"/>
      <c r="D3" s="239"/>
      <c r="E3" s="776" t="s">
        <v>53</v>
      </c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651"/>
      <c r="W3" s="668">
        <v>2025</v>
      </c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  <c r="AM3" s="568"/>
      <c r="AN3" s="568"/>
      <c r="AO3" s="568"/>
      <c r="AP3" s="568"/>
      <c r="AQ3" s="568"/>
      <c r="AR3" s="568"/>
      <c r="AS3" s="568"/>
      <c r="AT3" s="568"/>
      <c r="AU3" s="568"/>
      <c r="AV3" s="568"/>
      <c r="AW3" s="568"/>
      <c r="AX3" s="568"/>
      <c r="AY3" s="568"/>
      <c r="AZ3" s="568"/>
      <c r="BA3" s="568"/>
      <c r="BB3" s="568"/>
      <c r="BC3" s="568"/>
      <c r="BD3" s="568"/>
      <c r="BE3" s="568"/>
      <c r="BF3" s="568"/>
      <c r="BG3" s="568"/>
      <c r="BH3" s="568"/>
      <c r="BI3" s="568"/>
      <c r="BJ3" s="568"/>
      <c r="BK3" s="568"/>
      <c r="BL3" s="568"/>
      <c r="BM3" s="568"/>
      <c r="BN3" s="569"/>
    </row>
    <row r="4" spans="3:66" ht="9.75" customHeight="1" x14ac:dyDescent="0.25">
      <c r="C4" s="253"/>
      <c r="D4" s="26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262"/>
      <c r="AA4" s="13"/>
      <c r="AB4" s="13"/>
      <c r="AC4" s="13"/>
      <c r="AD4" s="13"/>
    </row>
    <row r="5" spans="3:66" ht="57.75" customHeight="1" x14ac:dyDescent="0.25">
      <c r="C5" s="263" t="s">
        <v>28</v>
      </c>
      <c r="D5" s="32"/>
      <c r="E5" s="575" t="s">
        <v>27</v>
      </c>
      <c r="F5" s="568"/>
      <c r="G5" s="568"/>
      <c r="H5" s="569"/>
      <c r="I5" s="575" t="s">
        <v>54</v>
      </c>
      <c r="J5" s="568"/>
      <c r="K5" s="568"/>
      <c r="L5" s="568"/>
      <c r="M5" s="569"/>
      <c r="N5" s="575" t="s">
        <v>60</v>
      </c>
      <c r="O5" s="568"/>
      <c r="P5" s="568"/>
      <c r="Q5" s="569"/>
      <c r="R5" s="576" t="s">
        <v>55</v>
      </c>
      <c r="S5" s="568"/>
      <c r="T5" s="568"/>
      <c r="U5" s="568"/>
      <c r="V5" s="569"/>
      <c r="W5" s="575" t="s">
        <v>56</v>
      </c>
      <c r="X5" s="568"/>
      <c r="Y5" s="568"/>
      <c r="Z5" s="569"/>
      <c r="AA5" s="577" t="s">
        <v>57</v>
      </c>
      <c r="AB5" s="568"/>
      <c r="AC5" s="568"/>
      <c r="AD5" s="569"/>
      <c r="AE5" s="575" t="s">
        <v>58</v>
      </c>
      <c r="AF5" s="568"/>
      <c r="AG5" s="568"/>
      <c r="AH5" s="569"/>
      <c r="AI5" s="575" t="s">
        <v>1</v>
      </c>
      <c r="AJ5" s="568"/>
      <c r="AK5" s="568"/>
      <c r="AL5" s="569"/>
      <c r="AM5" s="575" t="s">
        <v>19</v>
      </c>
      <c r="AN5" s="568"/>
      <c r="AO5" s="568"/>
      <c r="AP5" s="569"/>
      <c r="AQ5" s="575" t="s">
        <v>25</v>
      </c>
      <c r="AR5" s="568"/>
      <c r="AS5" s="568"/>
      <c r="AT5" s="569"/>
      <c r="AU5" s="575" t="s">
        <v>26</v>
      </c>
      <c r="AV5" s="568"/>
      <c r="AW5" s="568"/>
      <c r="AX5" s="569"/>
      <c r="AY5" s="575" t="s">
        <v>27</v>
      </c>
      <c r="AZ5" s="568"/>
      <c r="BA5" s="568"/>
      <c r="BB5" s="569"/>
      <c r="BC5" s="575" t="s">
        <v>54</v>
      </c>
      <c r="BD5" s="568"/>
      <c r="BE5" s="568"/>
      <c r="BF5" s="569"/>
      <c r="BG5" s="575" t="s">
        <v>60</v>
      </c>
      <c r="BH5" s="568"/>
      <c r="BI5" s="568"/>
      <c r="BJ5" s="569"/>
      <c r="BK5" s="575" t="s">
        <v>55</v>
      </c>
      <c r="BL5" s="568"/>
      <c r="BM5" s="568"/>
      <c r="BN5" s="569"/>
    </row>
    <row r="6" spans="3:66" ht="9.75" customHeight="1" x14ac:dyDescent="0.25">
      <c r="C6" s="32"/>
      <c r="D6" s="27"/>
      <c r="Q6" s="21"/>
      <c r="AA6" s="13"/>
      <c r="AB6" s="13"/>
      <c r="AC6" s="13"/>
      <c r="AD6" s="13"/>
    </row>
    <row r="7" spans="3:66" ht="42" customHeight="1" x14ac:dyDescent="0.25">
      <c r="C7" s="32"/>
      <c r="D7" s="27"/>
      <c r="E7" s="12" t="s">
        <v>31</v>
      </c>
      <c r="F7" s="12" t="s">
        <v>32</v>
      </c>
      <c r="G7" s="12" t="s">
        <v>29</v>
      </c>
      <c r="H7" s="12" t="s">
        <v>30</v>
      </c>
      <c r="I7" s="12" t="s">
        <v>31</v>
      </c>
      <c r="J7" s="12" t="s">
        <v>32</v>
      </c>
      <c r="K7" s="12" t="s">
        <v>29</v>
      </c>
      <c r="L7" s="12" t="s">
        <v>30</v>
      </c>
      <c r="M7" s="12" t="s">
        <v>51</v>
      </c>
      <c r="N7" s="12" t="s">
        <v>31</v>
      </c>
      <c r="O7" s="12" t="s">
        <v>32</v>
      </c>
      <c r="P7" s="12" t="s">
        <v>29</v>
      </c>
      <c r="Q7" s="264" t="s">
        <v>30</v>
      </c>
      <c r="R7" s="31" t="s">
        <v>31</v>
      </c>
      <c r="S7" s="12" t="s">
        <v>32</v>
      </c>
      <c r="T7" s="12" t="s">
        <v>29</v>
      </c>
      <c r="U7" s="12" t="s">
        <v>30</v>
      </c>
      <c r="V7" s="12" t="s">
        <v>51</v>
      </c>
      <c r="W7" s="12" t="s">
        <v>61</v>
      </c>
      <c r="X7" s="12" t="s">
        <v>62</v>
      </c>
      <c r="Y7" s="12" t="s">
        <v>63</v>
      </c>
      <c r="Z7" s="12" t="s">
        <v>64</v>
      </c>
      <c r="AA7" s="12" t="s">
        <v>65</v>
      </c>
      <c r="AB7" s="12" t="s">
        <v>66</v>
      </c>
      <c r="AC7" s="12" t="s">
        <v>67</v>
      </c>
      <c r="AD7" s="12" t="s">
        <v>68</v>
      </c>
      <c r="AE7" s="4" t="s">
        <v>31</v>
      </c>
      <c r="AF7" s="12" t="s">
        <v>32</v>
      </c>
      <c r="AG7" s="12" t="s">
        <v>29</v>
      </c>
      <c r="AH7" s="12" t="s">
        <v>30</v>
      </c>
      <c r="AI7" s="12" t="s">
        <v>31</v>
      </c>
      <c r="AJ7" s="12" t="s">
        <v>32</v>
      </c>
      <c r="AK7" s="12" t="s">
        <v>29</v>
      </c>
      <c r="AL7" s="12" t="s">
        <v>30</v>
      </c>
      <c r="AM7" s="12" t="s">
        <v>31</v>
      </c>
      <c r="AN7" s="12" t="s">
        <v>32</v>
      </c>
      <c r="AO7" s="12" t="s">
        <v>29</v>
      </c>
      <c r="AP7" s="12" t="s">
        <v>30</v>
      </c>
      <c r="AQ7" s="12" t="s">
        <v>31</v>
      </c>
      <c r="AR7" s="12" t="s">
        <v>32</v>
      </c>
      <c r="AS7" s="12" t="s">
        <v>29</v>
      </c>
      <c r="AT7" s="12" t="s">
        <v>30</v>
      </c>
      <c r="AU7" s="12" t="s">
        <v>31</v>
      </c>
      <c r="AV7" s="12" t="s">
        <v>32</v>
      </c>
      <c r="AW7" s="12" t="s">
        <v>29</v>
      </c>
      <c r="AX7" s="12" t="s">
        <v>30</v>
      </c>
      <c r="AY7" s="12" t="s">
        <v>31</v>
      </c>
      <c r="AZ7" s="12" t="s">
        <v>32</v>
      </c>
      <c r="BA7" s="12" t="s">
        <v>29</v>
      </c>
      <c r="BB7" s="12" t="s">
        <v>30</v>
      </c>
      <c r="BC7" s="12" t="s">
        <v>31</v>
      </c>
      <c r="BD7" s="12" t="s">
        <v>32</v>
      </c>
      <c r="BE7" s="12" t="s">
        <v>29</v>
      </c>
      <c r="BF7" s="12" t="s">
        <v>30</v>
      </c>
      <c r="BG7" s="12" t="s">
        <v>31</v>
      </c>
      <c r="BH7" s="12" t="s">
        <v>32</v>
      </c>
      <c r="BI7" s="12" t="s">
        <v>29</v>
      </c>
      <c r="BJ7" s="12" t="s">
        <v>30</v>
      </c>
      <c r="BK7" s="12" t="s">
        <v>31</v>
      </c>
      <c r="BL7" s="12" t="s">
        <v>32</v>
      </c>
      <c r="BM7" s="12" t="s">
        <v>29</v>
      </c>
      <c r="BN7" s="12" t="s">
        <v>30</v>
      </c>
    </row>
    <row r="8" spans="3:66" ht="42" customHeight="1" x14ac:dyDescent="0.25">
      <c r="C8" s="26"/>
      <c r="D8" s="27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1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</row>
    <row r="9" spans="3:66" ht="42" customHeight="1" x14ac:dyDescent="0.25">
      <c r="C9" s="778" t="s">
        <v>362</v>
      </c>
      <c r="D9" s="27"/>
      <c r="E9" s="33"/>
      <c r="F9" s="33"/>
      <c r="G9" s="33"/>
      <c r="H9" s="33"/>
      <c r="I9" s="33"/>
      <c r="J9" s="33"/>
      <c r="K9" s="33"/>
      <c r="L9" s="33"/>
      <c r="M9" s="33"/>
      <c r="N9" s="46" t="s">
        <v>86</v>
      </c>
      <c r="O9" s="46" t="s">
        <v>243</v>
      </c>
      <c r="P9" s="46" t="s">
        <v>86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1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</row>
    <row r="10" spans="3:66" ht="117" customHeight="1" x14ac:dyDescent="0.25">
      <c r="C10" s="663"/>
      <c r="D10" s="27"/>
      <c r="E10" s="33"/>
      <c r="F10" s="33"/>
      <c r="G10" s="33"/>
      <c r="H10" s="33"/>
      <c r="I10" s="33"/>
      <c r="J10" s="33"/>
      <c r="K10" s="33"/>
      <c r="L10" s="33"/>
      <c r="M10" s="33"/>
      <c r="N10" s="265" t="s">
        <v>363</v>
      </c>
      <c r="O10" s="266" t="s">
        <v>364</v>
      </c>
      <c r="P10" s="266" t="s">
        <v>365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1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</row>
    <row r="11" spans="3:66" ht="42" customHeight="1" x14ac:dyDescent="0.25">
      <c r="C11" s="32"/>
      <c r="D11" s="27"/>
      <c r="E11" s="33"/>
      <c r="F11" s="33"/>
      <c r="G11" s="33"/>
      <c r="I11" s="33"/>
      <c r="J11" s="33"/>
      <c r="K11" s="33"/>
      <c r="L11" s="33"/>
      <c r="M11" s="33"/>
      <c r="N11" s="33"/>
      <c r="O11" s="33"/>
      <c r="P11" s="33"/>
      <c r="Q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1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</row>
    <row r="12" spans="3:66" ht="42" customHeight="1" x14ac:dyDescent="0.25">
      <c r="C12" s="782" t="s">
        <v>69</v>
      </c>
      <c r="D12" s="27"/>
      <c r="E12" s="33"/>
      <c r="F12" s="33"/>
      <c r="G12" s="33"/>
      <c r="I12" s="33"/>
      <c r="J12" s="33"/>
      <c r="K12" s="33"/>
      <c r="L12" s="33"/>
      <c r="N12" s="46" t="s">
        <v>81</v>
      </c>
      <c r="P12" s="33"/>
      <c r="Q12" s="46" t="s">
        <v>81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1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</row>
    <row r="13" spans="3:66" ht="165" customHeight="1" x14ac:dyDescent="0.25">
      <c r="C13" s="663"/>
      <c r="D13" s="26"/>
      <c r="E13" s="35"/>
      <c r="F13" s="35"/>
      <c r="G13" s="35"/>
      <c r="H13" s="35"/>
      <c r="I13" s="35"/>
      <c r="J13" s="35"/>
      <c r="K13" s="35"/>
      <c r="L13" s="35"/>
      <c r="N13" s="266" t="s">
        <v>366</v>
      </c>
      <c r="P13" s="42"/>
      <c r="Q13" s="266" t="s">
        <v>367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</row>
    <row r="14" spans="3:66" ht="30.75" customHeight="1" x14ac:dyDescent="0.25">
      <c r="C14" s="253"/>
      <c r="D14" s="26"/>
    </row>
    <row r="15" spans="3:66" ht="49.5" customHeight="1" x14ac:dyDescent="0.25">
      <c r="C15" s="783" t="s">
        <v>76</v>
      </c>
      <c r="D15" s="26"/>
      <c r="AE15" s="784" t="s">
        <v>368</v>
      </c>
      <c r="AF15" s="597"/>
    </row>
    <row r="16" spans="3:66" ht="49.5" customHeight="1" x14ac:dyDescent="0.25">
      <c r="C16" s="626"/>
      <c r="D16" s="26"/>
      <c r="AE16" s="598"/>
      <c r="AF16" s="599"/>
    </row>
    <row r="17" spans="3:52" ht="49.5" customHeight="1" x14ac:dyDescent="0.25">
      <c r="C17" s="626"/>
      <c r="D17" s="26"/>
      <c r="AE17" s="598"/>
      <c r="AF17" s="599"/>
    </row>
    <row r="18" spans="3:52" ht="49.5" customHeight="1" x14ac:dyDescent="0.25">
      <c r="C18" s="663"/>
      <c r="D18" s="26"/>
      <c r="AE18" s="594"/>
      <c r="AF18" s="600"/>
    </row>
    <row r="19" spans="3:52" ht="42.75" customHeight="1" x14ac:dyDescent="0.25">
      <c r="C19" s="26"/>
      <c r="D19" s="26"/>
      <c r="E19" s="40"/>
      <c r="F19" s="40"/>
      <c r="G19" s="40"/>
      <c r="H19" s="40"/>
      <c r="I19" s="40"/>
    </row>
    <row r="20" spans="3:52" ht="45" customHeight="1" x14ac:dyDescent="0.25">
      <c r="C20" s="761" t="s">
        <v>80</v>
      </c>
      <c r="D20" s="26"/>
      <c r="E20" s="41"/>
      <c r="F20" s="38"/>
      <c r="G20" s="38"/>
      <c r="H20" s="38"/>
      <c r="I20" s="38"/>
      <c r="J20" s="596" t="s">
        <v>369</v>
      </c>
      <c r="K20" s="597"/>
      <c r="N20" s="611" t="s">
        <v>35</v>
      </c>
      <c r="O20" s="573"/>
      <c r="P20" s="578" t="s">
        <v>37</v>
      </c>
      <c r="Q20" s="589"/>
      <c r="R20" s="777" t="s">
        <v>370</v>
      </c>
      <c r="S20" s="587"/>
      <c r="T20" s="587"/>
      <c r="U20" s="597"/>
      <c r="V20" s="267"/>
    </row>
    <row r="21" spans="3:52" ht="180" customHeight="1" x14ac:dyDescent="0.25">
      <c r="C21" s="626"/>
      <c r="D21" s="26"/>
      <c r="E21" s="39"/>
      <c r="F21" s="42"/>
      <c r="G21" s="42"/>
      <c r="H21" s="42"/>
      <c r="I21" s="42"/>
      <c r="J21" s="598"/>
      <c r="K21" s="599"/>
      <c r="L21" s="601" t="s">
        <v>371</v>
      </c>
      <c r="M21" s="602"/>
      <c r="N21" s="586" t="s">
        <v>372</v>
      </c>
      <c r="O21" s="573"/>
      <c r="P21" s="583" t="s">
        <v>373</v>
      </c>
      <c r="Q21" s="589"/>
      <c r="R21" s="598"/>
      <c r="S21" s="610"/>
      <c r="T21" s="610"/>
      <c r="U21" s="599"/>
      <c r="V21" s="267"/>
    </row>
    <row r="22" spans="3:52" ht="88.5" customHeight="1" x14ac:dyDescent="0.25">
      <c r="C22" s="663"/>
      <c r="D22" s="26"/>
      <c r="E22" s="39"/>
      <c r="F22" s="39"/>
      <c r="G22" s="39"/>
      <c r="H22" s="39"/>
      <c r="I22" s="39"/>
      <c r="J22" s="598"/>
      <c r="K22" s="599"/>
      <c r="L22" s="39"/>
      <c r="M22" s="268" t="s">
        <v>374</v>
      </c>
      <c r="O22" s="268" t="s">
        <v>375</v>
      </c>
      <c r="Q22" s="268" t="s">
        <v>376</v>
      </c>
      <c r="R22" s="598"/>
      <c r="S22" s="610"/>
      <c r="T22" s="610"/>
      <c r="U22" s="599"/>
      <c r="V22" s="267"/>
    </row>
    <row r="23" spans="3:52" ht="33" customHeight="1" x14ac:dyDescent="0.25">
      <c r="C23" s="269"/>
      <c r="D23" s="26"/>
      <c r="J23" s="598"/>
      <c r="K23" s="599"/>
      <c r="R23" s="598"/>
      <c r="S23" s="610"/>
      <c r="T23" s="610"/>
      <c r="U23" s="599"/>
      <c r="V23" s="267"/>
    </row>
    <row r="24" spans="3:52" ht="48.75" customHeight="1" x14ac:dyDescent="0.25">
      <c r="C24" s="778" t="s">
        <v>85</v>
      </c>
      <c r="D24" s="26"/>
      <c r="J24" s="598"/>
      <c r="K24" s="599"/>
      <c r="N24" s="611" t="s">
        <v>81</v>
      </c>
      <c r="O24" s="573"/>
      <c r="P24" s="611" t="s">
        <v>81</v>
      </c>
      <c r="Q24" s="573"/>
      <c r="R24" s="598"/>
      <c r="S24" s="610"/>
      <c r="T24" s="610"/>
      <c r="U24" s="599"/>
      <c r="V24" s="607" t="s">
        <v>377</v>
      </c>
      <c r="W24" s="609" t="s">
        <v>82</v>
      </c>
      <c r="X24" s="574"/>
      <c r="Y24" s="574"/>
      <c r="Z24" s="574"/>
      <c r="AA24" s="573"/>
      <c r="AB24" s="604" t="s">
        <v>83</v>
      </c>
      <c r="AC24" s="585"/>
      <c r="AD24" s="585"/>
      <c r="AE24" s="571"/>
      <c r="AF24" s="611" t="s">
        <v>83</v>
      </c>
      <c r="AG24" s="574"/>
      <c r="AH24" s="574"/>
      <c r="AI24" s="573"/>
      <c r="AJ24" s="578" t="s">
        <v>84</v>
      </c>
      <c r="AK24" s="582"/>
      <c r="AL24" s="572"/>
      <c r="AM24" s="578" t="s">
        <v>38</v>
      </c>
      <c r="AN24" s="582"/>
      <c r="AO24" s="572"/>
      <c r="AP24" s="578" t="s">
        <v>38</v>
      </c>
      <c r="AQ24" s="582"/>
      <c r="AR24" s="589"/>
      <c r="AS24" s="38"/>
      <c r="AT24" s="38"/>
      <c r="AU24" s="38"/>
      <c r="AV24" s="38"/>
      <c r="AW24" s="38"/>
      <c r="AX24" s="38"/>
      <c r="AY24" s="38"/>
      <c r="AZ24" s="38"/>
    </row>
    <row r="25" spans="3:52" ht="182.25" customHeight="1" x14ac:dyDescent="0.25">
      <c r="C25" s="626"/>
      <c r="D25" s="26"/>
      <c r="J25" s="598"/>
      <c r="K25" s="599"/>
      <c r="L25" s="601" t="s">
        <v>378</v>
      </c>
      <c r="M25" s="603"/>
      <c r="N25" s="612" t="s">
        <v>379</v>
      </c>
      <c r="O25" s="573"/>
      <c r="P25" s="583" t="s">
        <v>380</v>
      </c>
      <c r="Q25" s="589"/>
      <c r="R25" s="598"/>
      <c r="S25" s="610"/>
      <c r="T25" s="610"/>
      <c r="U25" s="599"/>
      <c r="V25" s="709"/>
      <c r="W25" s="612" t="s">
        <v>381</v>
      </c>
      <c r="X25" s="574"/>
      <c r="Y25" s="574"/>
      <c r="Z25" s="574"/>
      <c r="AA25" s="573"/>
      <c r="AB25" s="584" t="s">
        <v>382</v>
      </c>
      <c r="AC25" s="585"/>
      <c r="AD25" s="585"/>
      <c r="AE25" s="571"/>
      <c r="AF25" s="586" t="s">
        <v>383</v>
      </c>
      <c r="AG25" s="574"/>
      <c r="AH25" s="574"/>
      <c r="AI25" s="573"/>
      <c r="AJ25" s="584" t="s">
        <v>384</v>
      </c>
      <c r="AK25" s="585"/>
      <c r="AL25" s="571"/>
      <c r="AM25" s="586" t="s">
        <v>385</v>
      </c>
      <c r="AN25" s="574"/>
      <c r="AO25" s="580"/>
      <c r="AP25" s="586" t="s">
        <v>386</v>
      </c>
      <c r="AQ25" s="574"/>
      <c r="AR25" s="573"/>
      <c r="AS25" s="38"/>
      <c r="AT25" s="38"/>
      <c r="AU25" s="38"/>
      <c r="AV25" s="38"/>
      <c r="AW25" s="38"/>
      <c r="AX25" s="38"/>
      <c r="AY25" s="38"/>
      <c r="AZ25" s="38"/>
    </row>
    <row r="26" spans="3:52" ht="182.25" customHeight="1" x14ac:dyDescent="0.25">
      <c r="C26" s="663"/>
      <c r="D26" s="26"/>
      <c r="J26" s="594"/>
      <c r="K26" s="600"/>
      <c r="L26" s="5"/>
      <c r="M26" s="268" t="s">
        <v>374</v>
      </c>
      <c r="O26" s="268" t="s">
        <v>375</v>
      </c>
      <c r="Q26" s="268" t="s">
        <v>376</v>
      </c>
      <c r="R26" s="594"/>
      <c r="S26" s="588"/>
      <c r="T26" s="588"/>
      <c r="U26" s="600"/>
      <c r="V26" s="608"/>
      <c r="W26" s="39"/>
      <c r="X26" s="39"/>
      <c r="Y26" s="39"/>
      <c r="Z26" s="39"/>
      <c r="AA26" s="268" t="s">
        <v>387</v>
      </c>
      <c r="AB26" s="39"/>
      <c r="AC26" s="39"/>
      <c r="AD26" s="39"/>
      <c r="AE26" s="268"/>
      <c r="AF26" s="39"/>
      <c r="AG26" s="39"/>
      <c r="AH26" s="270"/>
      <c r="AI26" s="268"/>
      <c r="AJ26" s="39"/>
      <c r="AK26" s="39"/>
      <c r="AL26" s="268"/>
      <c r="AM26" s="39"/>
      <c r="AN26" s="270"/>
      <c r="AO26" s="268"/>
      <c r="AP26" s="39"/>
      <c r="AQ26" s="39"/>
      <c r="AR26" s="268"/>
    </row>
    <row r="27" spans="3:52" ht="33.75" customHeight="1" x14ac:dyDescent="0.25">
      <c r="C27" s="269"/>
      <c r="D27" s="26"/>
      <c r="E27" s="18"/>
      <c r="F27" s="18"/>
      <c r="G27" s="18"/>
      <c r="H27" s="18"/>
      <c r="I27" s="16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3:52" ht="38.25" customHeight="1" x14ac:dyDescent="0.25">
      <c r="C28" s="778" t="s">
        <v>87</v>
      </c>
      <c r="D28" s="26"/>
      <c r="E28" s="46" t="s">
        <v>86</v>
      </c>
      <c r="F28" s="47" t="s">
        <v>86</v>
      </c>
      <c r="G28" s="47"/>
      <c r="H28" s="605" t="s">
        <v>88</v>
      </c>
      <c r="I28" s="585"/>
      <c r="J28" s="606"/>
      <c r="K28" s="607" t="s">
        <v>388</v>
      </c>
      <c r="L28" s="609" t="s">
        <v>82</v>
      </c>
      <c r="M28" s="574"/>
      <c r="N28" s="574"/>
      <c r="O28" s="574"/>
      <c r="P28" s="573"/>
      <c r="Q28" s="604" t="s">
        <v>83</v>
      </c>
      <c r="R28" s="585"/>
      <c r="S28" s="585"/>
      <c r="T28" s="571"/>
      <c r="U28" s="611" t="s">
        <v>83</v>
      </c>
      <c r="V28" s="574"/>
      <c r="W28" s="574"/>
      <c r="X28" s="573"/>
      <c r="Y28" s="578" t="s">
        <v>84</v>
      </c>
      <c r="Z28" s="582"/>
      <c r="AA28" s="572"/>
      <c r="AB28" s="578" t="s">
        <v>38</v>
      </c>
      <c r="AC28" s="582"/>
      <c r="AD28" s="572"/>
      <c r="AE28" s="578" t="s">
        <v>38</v>
      </c>
      <c r="AF28" s="582"/>
      <c r="AG28" s="589"/>
      <c r="AI28" s="271"/>
    </row>
    <row r="29" spans="3:52" ht="156.75" customHeight="1" x14ac:dyDescent="0.25">
      <c r="C29" s="626"/>
      <c r="D29" s="26"/>
      <c r="E29" s="48" t="s">
        <v>40</v>
      </c>
      <c r="F29" s="601" t="s">
        <v>41</v>
      </c>
      <c r="G29" s="613"/>
      <c r="H29" s="614" t="s">
        <v>42</v>
      </c>
      <c r="I29" s="615"/>
      <c r="J29" s="603"/>
      <c r="K29" s="709"/>
      <c r="L29" s="612" t="s">
        <v>389</v>
      </c>
      <c r="M29" s="574"/>
      <c r="N29" s="574"/>
      <c r="O29" s="574"/>
      <c r="P29" s="573"/>
      <c r="Q29" s="584" t="s">
        <v>390</v>
      </c>
      <c r="R29" s="585"/>
      <c r="S29" s="585"/>
      <c r="T29" s="571"/>
      <c r="U29" s="586" t="s">
        <v>391</v>
      </c>
      <c r="V29" s="574"/>
      <c r="W29" s="574"/>
      <c r="X29" s="573"/>
      <c r="Y29" s="584" t="s">
        <v>392</v>
      </c>
      <c r="Z29" s="585"/>
      <c r="AA29" s="571"/>
      <c r="AB29" s="586" t="s">
        <v>393</v>
      </c>
      <c r="AC29" s="574"/>
      <c r="AD29" s="580"/>
      <c r="AE29" s="586" t="s">
        <v>394</v>
      </c>
      <c r="AF29" s="574"/>
      <c r="AG29" s="573"/>
      <c r="AI29" s="42"/>
    </row>
    <row r="30" spans="3:52" ht="156.75" customHeight="1" x14ac:dyDescent="0.25">
      <c r="C30" s="663"/>
      <c r="D30" s="26"/>
      <c r="F30" s="42"/>
      <c r="G30" s="39"/>
      <c r="H30" s="39"/>
      <c r="I30" s="39"/>
      <c r="J30" s="39"/>
      <c r="K30" s="608"/>
      <c r="L30" s="39"/>
      <c r="M30" s="39"/>
      <c r="N30" s="39"/>
      <c r="O30" s="39"/>
      <c r="P30" s="268" t="s">
        <v>395</v>
      </c>
      <c r="Q30" s="39"/>
      <c r="R30" s="39"/>
      <c r="S30" s="39"/>
      <c r="T30" s="268" t="s">
        <v>396</v>
      </c>
      <c r="U30" s="39"/>
      <c r="V30" s="39"/>
      <c r="W30" s="272" t="s">
        <v>397</v>
      </c>
      <c r="X30" s="268" t="s">
        <v>398</v>
      </c>
      <c r="Y30" s="39"/>
      <c r="Z30" s="39"/>
      <c r="AA30" s="268" t="s">
        <v>387</v>
      </c>
      <c r="AB30" s="39"/>
      <c r="AC30" s="272" t="s">
        <v>399</v>
      </c>
      <c r="AD30" s="268" t="s">
        <v>400</v>
      </c>
      <c r="AE30" s="39"/>
      <c r="AF30" s="39"/>
      <c r="AG30" s="268" t="s">
        <v>401</v>
      </c>
      <c r="AH30" s="39"/>
      <c r="AI30" s="42"/>
    </row>
    <row r="31" spans="3:52" ht="32.25" customHeight="1" x14ac:dyDescent="0.25">
      <c r="C31" s="269"/>
      <c r="D31" s="2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3:52" ht="18" hidden="1" customHeight="1" x14ac:dyDescent="0.25">
      <c r="C32" s="761" t="s">
        <v>89</v>
      </c>
      <c r="D32" s="26"/>
      <c r="E32" s="18"/>
      <c r="F32" s="18"/>
      <c r="G32" s="18"/>
      <c r="H32" s="18"/>
      <c r="I32" s="18"/>
      <c r="J32" s="18"/>
      <c r="K32" s="779" t="s">
        <v>402</v>
      </c>
      <c r="L32" s="590"/>
      <c r="M32" s="590"/>
      <c r="N32" s="590"/>
      <c r="O32" s="590"/>
      <c r="P32" s="721"/>
      <c r="Q32" s="79"/>
      <c r="R32" s="18"/>
      <c r="S32" s="18"/>
      <c r="T32" s="18"/>
      <c r="U32" s="18"/>
      <c r="V32" s="18"/>
    </row>
    <row r="33" spans="3:43" ht="37.5" customHeight="1" x14ac:dyDescent="0.25">
      <c r="C33" s="626"/>
      <c r="D33" s="26"/>
      <c r="E33" s="18"/>
      <c r="F33" s="18"/>
      <c r="G33" s="18"/>
      <c r="H33" s="18"/>
      <c r="I33" s="18"/>
      <c r="J33" s="18"/>
      <c r="M33" s="780" t="s">
        <v>86</v>
      </c>
      <c r="N33" s="617"/>
      <c r="O33" s="618"/>
      <c r="P33" s="578" t="s">
        <v>36</v>
      </c>
      <c r="Q33" s="572"/>
      <c r="R33" s="611" t="s">
        <v>36</v>
      </c>
      <c r="S33" s="574"/>
      <c r="T33" s="651"/>
      <c r="U33" s="609" t="s">
        <v>82</v>
      </c>
      <c r="V33" s="574"/>
      <c r="W33" s="574"/>
      <c r="X33" s="574"/>
      <c r="Y33" s="574"/>
      <c r="Z33" s="580"/>
      <c r="AA33" s="604" t="s">
        <v>83</v>
      </c>
      <c r="AB33" s="585"/>
      <c r="AC33" s="585"/>
      <c r="AD33" s="571"/>
      <c r="AE33" s="611" t="s">
        <v>83</v>
      </c>
      <c r="AF33" s="574"/>
      <c r="AG33" s="574"/>
      <c r="AH33" s="573"/>
      <c r="AI33" s="578" t="s">
        <v>84</v>
      </c>
      <c r="AJ33" s="582"/>
      <c r="AK33" s="572"/>
      <c r="AL33" s="578" t="s">
        <v>38</v>
      </c>
      <c r="AM33" s="582"/>
      <c r="AN33" s="572"/>
      <c r="AO33" s="578" t="s">
        <v>38</v>
      </c>
      <c r="AP33" s="582"/>
      <c r="AQ33" s="589"/>
    </row>
    <row r="34" spans="3:43" ht="154.5" customHeight="1" x14ac:dyDescent="0.25">
      <c r="C34" s="626"/>
      <c r="D34" s="242"/>
      <c r="E34" s="18"/>
      <c r="F34" s="18"/>
      <c r="G34" s="18"/>
      <c r="H34" s="18"/>
      <c r="I34" s="18"/>
      <c r="J34" s="18"/>
      <c r="M34" s="612" t="s">
        <v>90</v>
      </c>
      <c r="N34" s="574"/>
      <c r="O34" s="573"/>
      <c r="P34" s="616" t="s">
        <v>403</v>
      </c>
      <c r="Q34" s="788"/>
      <c r="R34" s="586" t="s">
        <v>91</v>
      </c>
      <c r="S34" s="574"/>
      <c r="T34" s="651"/>
      <c r="U34" s="612" t="s">
        <v>404</v>
      </c>
      <c r="V34" s="574"/>
      <c r="W34" s="574"/>
      <c r="X34" s="574"/>
      <c r="Y34" s="574"/>
      <c r="Z34" s="580"/>
      <c r="AA34" s="584" t="s">
        <v>405</v>
      </c>
      <c r="AB34" s="585"/>
      <c r="AC34" s="585"/>
      <c r="AD34" s="571"/>
      <c r="AE34" s="586" t="s">
        <v>406</v>
      </c>
      <c r="AF34" s="574"/>
      <c r="AG34" s="574"/>
      <c r="AH34" s="573"/>
      <c r="AI34" s="584" t="s">
        <v>407</v>
      </c>
      <c r="AJ34" s="585"/>
      <c r="AK34" s="571"/>
      <c r="AL34" s="586" t="s">
        <v>408</v>
      </c>
      <c r="AM34" s="574"/>
      <c r="AN34" s="580"/>
      <c r="AO34" s="586" t="s">
        <v>409</v>
      </c>
      <c r="AP34" s="574"/>
      <c r="AQ34" s="573"/>
    </row>
    <row r="35" spans="3:43" ht="154.5" customHeight="1" x14ac:dyDescent="0.25">
      <c r="C35" s="627"/>
      <c r="D35" s="242"/>
      <c r="E35" s="18"/>
      <c r="F35" s="18"/>
      <c r="G35" s="18"/>
      <c r="H35" s="18"/>
      <c r="I35" s="18"/>
      <c r="J35" s="18"/>
      <c r="M35" s="42"/>
      <c r="O35" s="268" t="s">
        <v>375</v>
      </c>
      <c r="Q35" s="268" t="s">
        <v>376</v>
      </c>
      <c r="T35" s="268" t="s">
        <v>396</v>
      </c>
      <c r="U35" s="39"/>
      <c r="V35" s="39"/>
      <c r="W35" s="39"/>
      <c r="Y35" s="272" t="s">
        <v>397</v>
      </c>
      <c r="Z35" s="268" t="s">
        <v>410</v>
      </c>
      <c r="AA35" s="39"/>
      <c r="AB35" s="39"/>
      <c r="AC35" s="272" t="s">
        <v>399</v>
      </c>
      <c r="AD35" s="268" t="s">
        <v>400</v>
      </c>
      <c r="AE35" s="39"/>
      <c r="AF35" s="39"/>
      <c r="AG35" s="270"/>
      <c r="AH35" s="268"/>
      <c r="AI35" s="39"/>
      <c r="AJ35" s="39"/>
      <c r="AK35" s="268"/>
      <c r="AL35" s="39"/>
      <c r="AM35" s="272"/>
      <c r="AN35" s="268"/>
      <c r="AO35" s="39"/>
      <c r="AP35" s="39"/>
      <c r="AQ35" s="268"/>
    </row>
    <row r="36" spans="3:43" ht="33.75" customHeight="1" x14ac:dyDescent="0.25">
      <c r="C36" s="273"/>
      <c r="D36" s="242"/>
      <c r="E36" s="274"/>
      <c r="F36" s="274"/>
      <c r="G36" s="274"/>
      <c r="H36" s="274"/>
      <c r="I36" s="274"/>
      <c r="J36" s="274"/>
      <c r="K36" s="275"/>
      <c r="L36" s="276"/>
      <c r="M36" s="276"/>
      <c r="N36" s="276"/>
      <c r="O36" s="276"/>
      <c r="P36" s="276"/>
      <c r="Q36" s="274"/>
      <c r="R36" s="18"/>
      <c r="S36" s="18"/>
      <c r="T36" s="18"/>
      <c r="U36" s="18"/>
      <c r="V36" s="18"/>
    </row>
    <row r="37" spans="3:43" ht="15.75" customHeight="1" x14ac:dyDescent="0.25">
      <c r="C37" s="261"/>
      <c r="D37" s="239"/>
      <c r="E37" s="781" t="s">
        <v>92</v>
      </c>
      <c r="F37" s="649"/>
      <c r="G37" s="649"/>
      <c r="H37" s="649"/>
      <c r="I37" s="649"/>
      <c r="J37" s="649"/>
      <c r="K37" s="649"/>
      <c r="L37" s="649"/>
      <c r="M37" s="649"/>
      <c r="N37" s="649"/>
      <c r="O37" s="649"/>
      <c r="P37" s="649"/>
      <c r="Q37" s="775"/>
      <c r="R37" s="18"/>
      <c r="S37" s="18"/>
      <c r="T37" s="18"/>
      <c r="U37" s="18"/>
      <c r="V37" s="18"/>
    </row>
    <row r="38" spans="3:43" ht="32.25" customHeight="1" x14ac:dyDescent="0.25">
      <c r="C38" s="253"/>
      <c r="D38" s="26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8"/>
      <c r="R38" s="18"/>
      <c r="S38" s="18"/>
      <c r="T38" s="18"/>
      <c r="U38" s="18"/>
      <c r="V38" s="18"/>
    </row>
    <row r="39" spans="3:43" ht="59.25" customHeight="1" x14ac:dyDescent="0.25">
      <c r="C39" s="253"/>
      <c r="D39" s="253"/>
      <c r="E39" s="575" t="s">
        <v>27</v>
      </c>
      <c r="F39" s="568"/>
      <c r="G39" s="568"/>
      <c r="H39" s="569"/>
      <c r="I39" s="575" t="s">
        <v>54</v>
      </c>
      <c r="J39" s="568"/>
      <c r="K39" s="568"/>
      <c r="L39" s="569"/>
      <c r="M39" s="279"/>
      <c r="N39" s="575" t="s">
        <v>60</v>
      </c>
      <c r="O39" s="568"/>
      <c r="P39" s="568"/>
      <c r="Q39" s="569"/>
      <c r="R39" s="18"/>
      <c r="S39" s="18"/>
      <c r="T39" s="18"/>
      <c r="U39" s="18"/>
      <c r="V39" s="18"/>
    </row>
    <row r="40" spans="3:43" ht="41.25" customHeight="1" x14ac:dyDescent="0.25">
      <c r="C40" s="253"/>
      <c r="D40" s="26"/>
      <c r="E40" s="12" t="s">
        <v>31</v>
      </c>
      <c r="F40" s="12" t="s">
        <v>32</v>
      </c>
      <c r="G40" s="12" t="s">
        <v>29</v>
      </c>
      <c r="H40" s="12" t="s">
        <v>30</v>
      </c>
      <c r="I40" s="12" t="s">
        <v>31</v>
      </c>
      <c r="J40" s="12" t="s">
        <v>32</v>
      </c>
      <c r="K40" s="12" t="s">
        <v>29</v>
      </c>
      <c r="L40" s="12" t="s">
        <v>30</v>
      </c>
      <c r="M40" s="12"/>
      <c r="N40" s="12" t="s">
        <v>31</v>
      </c>
      <c r="O40" s="12" t="s">
        <v>32</v>
      </c>
      <c r="P40" s="12" t="s">
        <v>29</v>
      </c>
      <c r="Q40" s="264" t="s">
        <v>30</v>
      </c>
      <c r="R40" s="18"/>
      <c r="S40" s="18"/>
      <c r="T40" s="18"/>
      <c r="U40" s="18"/>
      <c r="V40" s="18"/>
    </row>
    <row r="41" spans="3:43" ht="32.25" customHeight="1" x14ac:dyDescent="0.25">
      <c r="C41" s="253"/>
      <c r="D41" s="26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80"/>
      <c r="R41" s="18"/>
      <c r="S41" s="18"/>
      <c r="T41" s="18"/>
      <c r="U41" s="18"/>
      <c r="V41" s="18"/>
    </row>
    <row r="42" spans="3:43" ht="39.75" customHeight="1" x14ac:dyDescent="0.25">
      <c r="C42" s="785" t="s">
        <v>351</v>
      </c>
      <c r="D42" s="281"/>
      <c r="E42" s="282"/>
      <c r="F42" s="282"/>
      <c r="G42" s="282"/>
      <c r="H42" s="70"/>
      <c r="I42" s="70"/>
      <c r="J42" s="283"/>
      <c r="K42" s="44"/>
      <c r="L42" s="282"/>
      <c r="M42" s="282"/>
      <c r="N42" s="70"/>
      <c r="O42" s="70"/>
      <c r="P42" s="70"/>
      <c r="Q42" s="284"/>
      <c r="S42" s="18"/>
      <c r="T42" s="18"/>
      <c r="U42" s="18"/>
      <c r="V42" s="18"/>
    </row>
    <row r="43" spans="3:43" ht="79.5" customHeight="1" x14ac:dyDescent="0.25">
      <c r="C43" s="786"/>
      <c r="D43" s="285"/>
      <c r="E43" s="286"/>
      <c r="F43" s="286"/>
      <c r="G43" s="286"/>
      <c r="H43" s="10"/>
      <c r="I43" s="10"/>
      <c r="J43" s="287"/>
      <c r="K43" s="45" t="s">
        <v>165</v>
      </c>
      <c r="L43" s="286"/>
      <c r="M43" s="286"/>
      <c r="N43" s="10"/>
      <c r="O43" s="10"/>
      <c r="P43" s="10"/>
      <c r="Q43" s="288"/>
      <c r="S43" s="18"/>
      <c r="T43" s="18"/>
      <c r="U43" s="18"/>
      <c r="V43" s="18"/>
    </row>
    <row r="44" spans="3:43" ht="39.75" customHeight="1" x14ac:dyDescent="0.25">
      <c r="C44" s="289"/>
      <c r="D44" s="4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79"/>
      <c r="R44" s="18"/>
      <c r="S44" s="18"/>
      <c r="T44" s="18"/>
      <c r="U44" s="18"/>
      <c r="V44" s="18"/>
    </row>
    <row r="45" spans="3:43" ht="39.75" customHeight="1" x14ac:dyDescent="0.25">
      <c r="C45" s="787" t="s">
        <v>352</v>
      </c>
      <c r="D45" s="290"/>
      <c r="E45" s="282"/>
      <c r="F45" s="282"/>
      <c r="G45" s="282"/>
      <c r="H45" s="44"/>
      <c r="I45" s="283"/>
      <c r="J45" s="282"/>
      <c r="K45" s="282"/>
      <c r="L45" s="282"/>
      <c r="M45" s="282"/>
      <c r="N45" s="282"/>
      <c r="O45" s="282"/>
      <c r="P45" s="282"/>
      <c r="Q45" s="291"/>
      <c r="R45" s="18"/>
      <c r="S45" s="18"/>
      <c r="T45" s="18"/>
      <c r="U45" s="18"/>
      <c r="V45" s="18"/>
    </row>
    <row r="46" spans="3:43" ht="79.5" customHeight="1" x14ac:dyDescent="0.25">
      <c r="C46" s="786"/>
      <c r="D46" s="292"/>
      <c r="E46" s="286"/>
      <c r="F46" s="286"/>
      <c r="G46" s="286"/>
      <c r="H46" s="45" t="s">
        <v>165</v>
      </c>
      <c r="I46" s="293"/>
      <c r="J46" s="286"/>
      <c r="K46" s="286"/>
      <c r="L46" s="286"/>
      <c r="M46" s="286"/>
      <c r="N46" s="286"/>
      <c r="O46" s="286"/>
      <c r="P46" s="286"/>
      <c r="Q46" s="294"/>
      <c r="R46" s="18"/>
      <c r="S46" s="18"/>
      <c r="T46" s="18"/>
      <c r="U46" s="18"/>
      <c r="V46" s="18"/>
    </row>
    <row r="47" spans="3:43" ht="39.75" customHeight="1" x14ac:dyDescent="0.25">
      <c r="C47" s="289"/>
      <c r="D47" s="40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79"/>
      <c r="R47" s="18"/>
      <c r="S47" s="18"/>
      <c r="T47" s="18"/>
      <c r="U47" s="18"/>
      <c r="V47" s="18"/>
    </row>
    <row r="48" spans="3:43" ht="39.75" customHeight="1" x14ac:dyDescent="0.25">
      <c r="C48" s="785" t="s">
        <v>354</v>
      </c>
      <c r="D48" s="281"/>
      <c r="E48" s="282"/>
      <c r="F48" s="282"/>
      <c r="G48" s="282"/>
      <c r="H48" s="44"/>
      <c r="I48" s="282"/>
      <c r="J48" s="282"/>
      <c r="K48" s="282"/>
      <c r="L48" s="282"/>
      <c r="M48" s="282"/>
      <c r="N48" s="282"/>
      <c r="O48" s="282"/>
      <c r="P48" s="282"/>
      <c r="Q48" s="291"/>
      <c r="R48" s="18"/>
      <c r="S48" s="18"/>
      <c r="T48" s="18"/>
      <c r="U48" s="18"/>
      <c r="V48" s="18"/>
    </row>
    <row r="49" spans="3:22" ht="79.5" customHeight="1" x14ac:dyDescent="0.25">
      <c r="C49" s="786"/>
      <c r="D49" s="285"/>
      <c r="E49" s="286"/>
      <c r="F49" s="286"/>
      <c r="G49" s="286"/>
      <c r="H49" s="45" t="s">
        <v>165</v>
      </c>
      <c r="I49" s="286"/>
      <c r="J49" s="286"/>
      <c r="K49" s="286"/>
      <c r="L49" s="286"/>
      <c r="M49" s="286"/>
      <c r="N49" s="286"/>
      <c r="O49" s="286"/>
      <c r="P49" s="286"/>
      <c r="Q49" s="294"/>
      <c r="R49" s="18"/>
      <c r="S49" s="18"/>
      <c r="T49" s="18"/>
      <c r="U49" s="18"/>
      <c r="V49" s="18"/>
    </row>
    <row r="50" spans="3:22" ht="39.75" customHeight="1" x14ac:dyDescent="0.25">
      <c r="C50" s="289"/>
      <c r="D50" s="40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79"/>
      <c r="R50" s="18"/>
      <c r="S50" s="18"/>
      <c r="T50" s="18"/>
      <c r="U50" s="18"/>
      <c r="V50" s="18"/>
    </row>
    <row r="51" spans="3:22" ht="39.75" customHeight="1" x14ac:dyDescent="0.25">
      <c r="C51" s="787" t="s">
        <v>355</v>
      </c>
      <c r="D51" s="290"/>
      <c r="E51" s="282"/>
      <c r="F51" s="282"/>
      <c r="G51" s="44"/>
      <c r="H51" s="282"/>
      <c r="I51" s="282"/>
      <c r="J51" s="282"/>
      <c r="K51" s="282"/>
      <c r="L51" s="282"/>
      <c r="M51" s="282"/>
      <c r="N51" s="282"/>
      <c r="O51" s="282"/>
      <c r="P51" s="282"/>
      <c r="Q51" s="291"/>
      <c r="R51" s="18"/>
      <c r="S51" s="18"/>
      <c r="T51" s="18"/>
      <c r="U51" s="18"/>
      <c r="V51" s="18"/>
    </row>
    <row r="52" spans="3:22" ht="79.5" customHeight="1" x14ac:dyDescent="0.25">
      <c r="C52" s="786"/>
      <c r="D52" s="292"/>
      <c r="E52" s="286"/>
      <c r="F52" s="286"/>
      <c r="G52" s="45" t="s">
        <v>165</v>
      </c>
      <c r="H52" s="286"/>
      <c r="I52" s="286"/>
      <c r="J52" s="286"/>
      <c r="K52" s="286"/>
      <c r="L52" s="286"/>
      <c r="M52" s="286"/>
      <c r="N52" s="286"/>
      <c r="O52" s="286"/>
      <c r="P52" s="286"/>
      <c r="Q52" s="294"/>
      <c r="R52" s="18"/>
      <c r="S52" s="18"/>
      <c r="T52" s="18"/>
      <c r="U52" s="18"/>
      <c r="V52" s="18"/>
    </row>
    <row r="53" spans="3:22" ht="39.75" customHeight="1" x14ac:dyDescent="0.25">
      <c r="C53" s="289"/>
      <c r="D53" s="40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79"/>
      <c r="R53" s="18"/>
      <c r="S53" s="18"/>
      <c r="T53" s="18"/>
      <c r="U53" s="18"/>
      <c r="V53" s="18"/>
    </row>
    <row r="54" spans="3:22" ht="39.75" customHeight="1" x14ac:dyDescent="0.25">
      <c r="C54" s="785" t="s">
        <v>356</v>
      </c>
      <c r="D54" s="281"/>
      <c r="E54" s="282"/>
      <c r="F54" s="282"/>
      <c r="G54" s="44"/>
      <c r="H54" s="282"/>
      <c r="I54" s="282"/>
      <c r="J54" s="282"/>
      <c r="K54" s="282"/>
      <c r="L54" s="282"/>
      <c r="M54" s="282"/>
      <c r="N54" s="282"/>
      <c r="O54" s="282"/>
      <c r="P54" s="282"/>
      <c r="Q54" s="291"/>
      <c r="R54" s="18"/>
      <c r="S54" s="18"/>
      <c r="T54" s="18"/>
      <c r="U54" s="18"/>
      <c r="V54" s="18"/>
    </row>
    <row r="55" spans="3:22" ht="79.5" customHeight="1" x14ac:dyDescent="0.25">
      <c r="C55" s="786"/>
      <c r="D55" s="285"/>
      <c r="E55" s="10"/>
      <c r="F55" s="10"/>
      <c r="G55" s="45" t="s">
        <v>165</v>
      </c>
      <c r="H55" s="10"/>
      <c r="I55" s="10"/>
      <c r="J55" s="10"/>
      <c r="K55" s="10"/>
      <c r="L55" s="10"/>
      <c r="M55" s="10"/>
      <c r="N55" s="10"/>
      <c r="O55" s="10"/>
      <c r="P55" s="10"/>
      <c r="Q55" s="288"/>
    </row>
    <row r="56" spans="3:22" ht="39.75" customHeight="1" x14ac:dyDescent="0.25">
      <c r="C56" s="289"/>
      <c r="D56" s="40"/>
      <c r="Q56" s="21"/>
    </row>
    <row r="57" spans="3:22" ht="39.75" customHeight="1" x14ac:dyDescent="0.25">
      <c r="C57" s="787" t="s">
        <v>89</v>
      </c>
      <c r="D57" s="290"/>
      <c r="E57" s="70"/>
      <c r="F57" s="70"/>
      <c r="G57" s="70"/>
      <c r="H57" s="70"/>
      <c r="I57" s="70"/>
      <c r="J57" s="70"/>
      <c r="K57" s="44" t="s">
        <v>411</v>
      </c>
      <c r="L57" s="70"/>
      <c r="M57" s="70"/>
      <c r="N57" s="70"/>
      <c r="O57" s="70"/>
      <c r="P57" s="70"/>
      <c r="Q57" s="284"/>
    </row>
    <row r="58" spans="3:22" ht="79.5" customHeight="1" x14ac:dyDescent="0.25">
      <c r="C58" s="627"/>
      <c r="D58" s="295"/>
      <c r="E58" s="24"/>
      <c r="F58" s="24"/>
      <c r="G58" s="24"/>
      <c r="H58" s="24"/>
      <c r="I58" s="24"/>
      <c r="J58" s="24"/>
      <c r="K58" s="296" t="s">
        <v>165</v>
      </c>
      <c r="L58" s="24"/>
      <c r="M58" s="24"/>
      <c r="N58" s="24"/>
      <c r="O58" s="24"/>
      <c r="P58" s="24"/>
      <c r="Q58" s="25"/>
    </row>
    <row r="59" spans="3:22" ht="39.75" customHeight="1" x14ac:dyDescent="0.25">
      <c r="C59" s="26"/>
      <c r="D59" s="26"/>
    </row>
    <row r="60" spans="3:22" ht="39.75" customHeight="1" x14ac:dyDescent="0.25">
      <c r="C60" s="26"/>
      <c r="D60" s="26"/>
    </row>
    <row r="61" spans="3:22" ht="14.25" customHeight="1" x14ac:dyDescent="0.25">
      <c r="C61" s="26"/>
      <c r="D61" s="26"/>
    </row>
    <row r="62" spans="3:22" ht="14.25" customHeight="1" x14ac:dyDescent="0.25">
      <c r="C62" s="26"/>
      <c r="D62" s="26"/>
    </row>
    <row r="63" spans="3:22" ht="14.25" customHeight="1" x14ac:dyDescent="0.25">
      <c r="C63" s="26"/>
      <c r="D63" s="26"/>
    </row>
    <row r="64" spans="3:22" ht="14.25" customHeight="1" x14ac:dyDescent="0.25">
      <c r="C64" s="26"/>
      <c r="D64" s="26"/>
    </row>
    <row r="65" spans="3:4" ht="14.25" customHeight="1" x14ac:dyDescent="0.25">
      <c r="C65" s="26"/>
      <c r="D65" s="26"/>
    </row>
    <row r="66" spans="3:4" ht="14.25" customHeight="1" x14ac:dyDescent="0.25">
      <c r="C66" s="26"/>
      <c r="D66" s="26"/>
    </row>
    <row r="67" spans="3:4" ht="14.25" customHeight="1" x14ac:dyDescent="0.25">
      <c r="C67" s="26"/>
      <c r="D67" s="26"/>
    </row>
    <row r="68" spans="3:4" ht="14.25" customHeight="1" x14ac:dyDescent="0.25">
      <c r="C68" s="26"/>
      <c r="D68" s="26"/>
    </row>
    <row r="69" spans="3:4" ht="14.25" customHeight="1" x14ac:dyDescent="0.25">
      <c r="C69" s="26"/>
      <c r="D69" s="26"/>
    </row>
    <row r="70" spans="3:4" ht="14.25" customHeight="1" x14ac:dyDescent="0.25">
      <c r="C70" s="26"/>
      <c r="D70" s="26"/>
    </row>
    <row r="71" spans="3:4" ht="14.25" customHeight="1" x14ac:dyDescent="0.25">
      <c r="C71" s="26"/>
      <c r="D71" s="26"/>
    </row>
    <row r="72" spans="3:4" ht="14.25" customHeight="1" x14ac:dyDescent="0.25">
      <c r="C72" s="26"/>
      <c r="D72" s="26"/>
    </row>
    <row r="73" spans="3:4" ht="14.25" customHeight="1" x14ac:dyDescent="0.25">
      <c r="C73" s="26"/>
      <c r="D73" s="26"/>
    </row>
    <row r="74" spans="3:4" ht="14.25" customHeight="1" x14ac:dyDescent="0.25">
      <c r="C74" s="26"/>
      <c r="D74" s="26"/>
    </row>
    <row r="75" spans="3:4" ht="14.25" customHeight="1" x14ac:dyDescent="0.25">
      <c r="C75" s="26"/>
      <c r="D75" s="26"/>
    </row>
    <row r="76" spans="3:4" ht="14.25" customHeight="1" x14ac:dyDescent="0.25">
      <c r="C76" s="26"/>
      <c r="D76" s="26"/>
    </row>
    <row r="77" spans="3:4" ht="14.25" customHeight="1" x14ac:dyDescent="0.25">
      <c r="C77" s="26"/>
      <c r="D77" s="26"/>
    </row>
    <row r="78" spans="3:4" ht="14.25" customHeight="1" x14ac:dyDescent="0.25">
      <c r="C78" s="26"/>
      <c r="D78" s="26"/>
    </row>
    <row r="79" spans="3:4" ht="14.25" customHeight="1" x14ac:dyDescent="0.25">
      <c r="C79" s="26"/>
      <c r="D79" s="26"/>
    </row>
    <row r="80" spans="3:4" ht="14.25" customHeight="1" x14ac:dyDescent="0.25">
      <c r="C80" s="26"/>
      <c r="D80" s="26"/>
    </row>
    <row r="81" spans="3:4" ht="14.25" customHeight="1" x14ac:dyDescent="0.25">
      <c r="C81" s="26"/>
      <c r="D81" s="26"/>
    </row>
    <row r="82" spans="3:4" ht="14.25" customHeight="1" x14ac:dyDescent="0.25">
      <c r="C82" s="26"/>
      <c r="D82" s="26"/>
    </row>
    <row r="83" spans="3:4" ht="14.25" customHeight="1" x14ac:dyDescent="0.25">
      <c r="C83" s="26"/>
      <c r="D83" s="26"/>
    </row>
    <row r="84" spans="3:4" ht="14.25" customHeight="1" x14ac:dyDescent="0.25">
      <c r="C84" s="26"/>
      <c r="D84" s="26"/>
    </row>
    <row r="85" spans="3:4" ht="14.25" customHeight="1" x14ac:dyDescent="0.25">
      <c r="C85" s="26"/>
      <c r="D85" s="26"/>
    </row>
    <row r="86" spans="3:4" ht="14.25" customHeight="1" x14ac:dyDescent="0.25">
      <c r="C86" s="26"/>
      <c r="D86" s="26"/>
    </row>
    <row r="87" spans="3:4" ht="14.25" customHeight="1" x14ac:dyDescent="0.25">
      <c r="C87" s="26"/>
      <c r="D87" s="26"/>
    </row>
    <row r="88" spans="3:4" ht="14.25" customHeight="1" x14ac:dyDescent="0.25">
      <c r="C88" s="26"/>
      <c r="D88" s="26"/>
    </row>
    <row r="89" spans="3:4" ht="14.25" customHeight="1" x14ac:dyDescent="0.25">
      <c r="C89" s="26"/>
      <c r="D89" s="26"/>
    </row>
    <row r="90" spans="3:4" ht="14.25" customHeight="1" x14ac:dyDescent="0.25">
      <c r="C90" s="26"/>
      <c r="D90" s="26"/>
    </row>
    <row r="91" spans="3:4" ht="14.25" customHeight="1" x14ac:dyDescent="0.25">
      <c r="C91" s="26"/>
      <c r="D91" s="26"/>
    </row>
    <row r="92" spans="3:4" ht="14.25" customHeight="1" x14ac:dyDescent="0.25">
      <c r="C92" s="26"/>
      <c r="D92" s="26"/>
    </row>
    <row r="93" spans="3:4" ht="14.25" customHeight="1" x14ac:dyDescent="0.25">
      <c r="C93" s="26"/>
      <c r="D93" s="26"/>
    </row>
    <row r="94" spans="3:4" ht="14.25" customHeight="1" x14ac:dyDescent="0.25">
      <c r="C94" s="26"/>
      <c r="D94" s="26"/>
    </row>
    <row r="95" spans="3:4" ht="14.25" customHeight="1" x14ac:dyDescent="0.25">
      <c r="C95" s="26"/>
      <c r="D95" s="26"/>
    </row>
    <row r="96" spans="3:4" ht="14.25" customHeight="1" x14ac:dyDescent="0.25">
      <c r="C96" s="26"/>
      <c r="D96" s="26"/>
    </row>
    <row r="97" spans="3:4" ht="14.25" customHeight="1" x14ac:dyDescent="0.25">
      <c r="C97" s="26"/>
      <c r="D97" s="26"/>
    </row>
    <row r="98" spans="3:4" ht="14.25" customHeight="1" x14ac:dyDescent="0.25">
      <c r="C98" s="26"/>
      <c r="D98" s="26"/>
    </row>
    <row r="99" spans="3:4" ht="14.25" customHeight="1" x14ac:dyDescent="0.25">
      <c r="C99" s="26"/>
      <c r="D99" s="26"/>
    </row>
    <row r="100" spans="3:4" ht="14.25" customHeight="1" x14ac:dyDescent="0.25">
      <c r="C100" s="26"/>
      <c r="D100" s="26"/>
    </row>
    <row r="101" spans="3:4" ht="14.25" customHeight="1" x14ac:dyDescent="0.25">
      <c r="C101" s="26"/>
      <c r="D101" s="26"/>
    </row>
    <row r="102" spans="3:4" ht="14.25" customHeight="1" x14ac:dyDescent="0.25">
      <c r="C102" s="26"/>
      <c r="D102" s="26"/>
    </row>
    <row r="103" spans="3:4" ht="14.25" customHeight="1" x14ac:dyDescent="0.25">
      <c r="C103" s="26"/>
      <c r="D103" s="26"/>
    </row>
    <row r="104" spans="3:4" ht="14.25" customHeight="1" x14ac:dyDescent="0.25">
      <c r="C104" s="26"/>
      <c r="D104" s="26"/>
    </row>
    <row r="105" spans="3:4" ht="14.25" customHeight="1" x14ac:dyDescent="0.25">
      <c r="C105" s="26"/>
      <c r="D105" s="26"/>
    </row>
    <row r="106" spans="3:4" ht="14.25" customHeight="1" x14ac:dyDescent="0.25">
      <c r="C106" s="26"/>
      <c r="D106" s="26"/>
    </row>
    <row r="107" spans="3:4" ht="14.25" customHeight="1" x14ac:dyDescent="0.25">
      <c r="C107" s="26"/>
      <c r="D107" s="26"/>
    </row>
    <row r="108" spans="3:4" ht="14.25" customHeight="1" x14ac:dyDescent="0.25">
      <c r="C108" s="26"/>
      <c r="D108" s="26"/>
    </row>
    <row r="109" spans="3:4" ht="14.25" customHeight="1" x14ac:dyDescent="0.25">
      <c r="C109" s="26"/>
      <c r="D109" s="26"/>
    </row>
    <row r="110" spans="3:4" ht="14.25" customHeight="1" x14ac:dyDescent="0.25">
      <c r="C110" s="26"/>
      <c r="D110" s="26"/>
    </row>
    <row r="111" spans="3:4" ht="14.25" customHeight="1" x14ac:dyDescent="0.25">
      <c r="C111" s="26"/>
      <c r="D111" s="26"/>
    </row>
    <row r="112" spans="3:4" ht="14.25" customHeight="1" x14ac:dyDescent="0.25">
      <c r="C112" s="26"/>
      <c r="D112" s="26"/>
    </row>
    <row r="113" spans="3:4" ht="14.25" customHeight="1" x14ac:dyDescent="0.25">
      <c r="C113" s="26"/>
      <c r="D113" s="26"/>
    </row>
    <row r="114" spans="3:4" ht="14.25" customHeight="1" x14ac:dyDescent="0.25">
      <c r="C114" s="26"/>
      <c r="D114" s="26"/>
    </row>
    <row r="115" spans="3:4" ht="14.25" customHeight="1" x14ac:dyDescent="0.25">
      <c r="C115" s="26"/>
      <c r="D115" s="26"/>
    </row>
    <row r="116" spans="3:4" ht="14.25" customHeight="1" x14ac:dyDescent="0.25">
      <c r="C116" s="26"/>
      <c r="D116" s="26"/>
    </row>
    <row r="117" spans="3:4" ht="14.25" customHeight="1" x14ac:dyDescent="0.25">
      <c r="C117" s="26"/>
      <c r="D117" s="26"/>
    </row>
    <row r="118" spans="3:4" ht="14.25" customHeight="1" x14ac:dyDescent="0.25">
      <c r="C118" s="26"/>
      <c r="D118" s="26"/>
    </row>
    <row r="119" spans="3:4" ht="14.25" customHeight="1" x14ac:dyDescent="0.25">
      <c r="C119" s="26"/>
      <c r="D119" s="26"/>
    </row>
    <row r="120" spans="3:4" ht="14.25" customHeight="1" x14ac:dyDescent="0.25">
      <c r="C120" s="26"/>
      <c r="D120" s="26"/>
    </row>
    <row r="121" spans="3:4" ht="14.25" customHeight="1" x14ac:dyDescent="0.25">
      <c r="C121" s="26"/>
      <c r="D121" s="26"/>
    </row>
    <row r="122" spans="3:4" ht="14.25" customHeight="1" x14ac:dyDescent="0.25">
      <c r="C122" s="26"/>
      <c r="D122" s="26"/>
    </row>
    <row r="123" spans="3:4" ht="14.25" customHeight="1" x14ac:dyDescent="0.25">
      <c r="C123" s="26"/>
      <c r="D123" s="26"/>
    </row>
    <row r="124" spans="3:4" ht="14.25" customHeight="1" x14ac:dyDescent="0.25">
      <c r="C124" s="26"/>
      <c r="D124" s="26"/>
    </row>
    <row r="125" spans="3:4" ht="14.25" customHeight="1" x14ac:dyDescent="0.25">
      <c r="C125" s="26"/>
      <c r="D125" s="26"/>
    </row>
    <row r="126" spans="3:4" ht="14.25" customHeight="1" x14ac:dyDescent="0.25">
      <c r="C126" s="26"/>
      <c r="D126" s="26"/>
    </row>
    <row r="127" spans="3:4" ht="14.25" customHeight="1" x14ac:dyDescent="0.25">
      <c r="C127" s="26"/>
      <c r="D127" s="26"/>
    </row>
    <row r="128" spans="3:4" ht="14.25" customHeight="1" x14ac:dyDescent="0.25">
      <c r="C128" s="26"/>
      <c r="D128" s="26"/>
    </row>
    <row r="129" spans="3:4" ht="14.25" customHeight="1" x14ac:dyDescent="0.25">
      <c r="C129" s="26"/>
      <c r="D129" s="26"/>
    </row>
    <row r="130" spans="3:4" ht="14.25" customHeight="1" x14ac:dyDescent="0.25">
      <c r="C130" s="26"/>
      <c r="D130" s="26"/>
    </row>
    <row r="131" spans="3:4" ht="14.25" customHeight="1" x14ac:dyDescent="0.25">
      <c r="C131" s="26"/>
      <c r="D131" s="26"/>
    </row>
    <row r="132" spans="3:4" ht="14.25" customHeight="1" x14ac:dyDescent="0.25">
      <c r="C132" s="26"/>
      <c r="D132" s="26"/>
    </row>
    <row r="133" spans="3:4" ht="14.25" customHeight="1" x14ac:dyDescent="0.25">
      <c r="C133" s="26"/>
      <c r="D133" s="26"/>
    </row>
    <row r="134" spans="3:4" ht="14.25" customHeight="1" x14ac:dyDescent="0.25">
      <c r="C134" s="26"/>
      <c r="D134" s="26"/>
    </row>
    <row r="135" spans="3:4" ht="14.25" customHeight="1" x14ac:dyDescent="0.25">
      <c r="C135" s="26"/>
      <c r="D135" s="26"/>
    </row>
    <row r="136" spans="3:4" ht="14.25" customHeight="1" x14ac:dyDescent="0.25">
      <c r="C136" s="26"/>
      <c r="D136" s="26"/>
    </row>
    <row r="137" spans="3:4" ht="14.25" customHeight="1" x14ac:dyDescent="0.25">
      <c r="C137" s="26"/>
      <c r="D137" s="26"/>
    </row>
    <row r="138" spans="3:4" ht="14.25" customHeight="1" x14ac:dyDescent="0.25">
      <c r="C138" s="26"/>
      <c r="D138" s="26"/>
    </row>
    <row r="139" spans="3:4" ht="14.25" customHeight="1" x14ac:dyDescent="0.25">
      <c r="C139" s="26"/>
      <c r="D139" s="26"/>
    </row>
    <row r="140" spans="3:4" ht="14.25" customHeight="1" x14ac:dyDescent="0.25">
      <c r="C140" s="26"/>
      <c r="D140" s="26"/>
    </row>
    <row r="141" spans="3:4" ht="14.25" customHeight="1" x14ac:dyDescent="0.25">
      <c r="C141" s="26"/>
      <c r="D141" s="26"/>
    </row>
    <row r="142" spans="3:4" ht="14.25" customHeight="1" x14ac:dyDescent="0.25">
      <c r="C142" s="26"/>
      <c r="D142" s="26"/>
    </row>
    <row r="143" spans="3:4" ht="14.25" customHeight="1" x14ac:dyDescent="0.25">
      <c r="C143" s="26"/>
      <c r="D143" s="26"/>
    </row>
    <row r="144" spans="3:4" ht="14.25" customHeight="1" x14ac:dyDescent="0.25">
      <c r="C144" s="26"/>
      <c r="D144" s="26"/>
    </row>
    <row r="145" spans="3:4" ht="14.25" customHeight="1" x14ac:dyDescent="0.25">
      <c r="C145" s="26"/>
      <c r="D145" s="26"/>
    </row>
    <row r="146" spans="3:4" ht="14.25" customHeight="1" x14ac:dyDescent="0.25">
      <c r="C146" s="26"/>
      <c r="D146" s="26"/>
    </row>
    <row r="147" spans="3:4" ht="14.25" customHeight="1" x14ac:dyDescent="0.25">
      <c r="C147" s="26"/>
      <c r="D147" s="26"/>
    </row>
    <row r="148" spans="3:4" ht="14.25" customHeight="1" x14ac:dyDescent="0.25">
      <c r="C148" s="26"/>
      <c r="D148" s="26"/>
    </row>
    <row r="149" spans="3:4" ht="14.25" customHeight="1" x14ac:dyDescent="0.25">
      <c r="C149" s="26"/>
      <c r="D149" s="26"/>
    </row>
    <row r="150" spans="3:4" ht="14.25" customHeight="1" x14ac:dyDescent="0.25">
      <c r="C150" s="26"/>
      <c r="D150" s="26"/>
    </row>
    <row r="151" spans="3:4" ht="14.25" customHeight="1" x14ac:dyDescent="0.25">
      <c r="C151" s="26"/>
      <c r="D151" s="26"/>
    </row>
    <row r="152" spans="3:4" ht="14.25" customHeight="1" x14ac:dyDescent="0.25">
      <c r="C152" s="26"/>
      <c r="D152" s="26"/>
    </row>
    <row r="153" spans="3:4" ht="14.25" customHeight="1" x14ac:dyDescent="0.25">
      <c r="C153" s="26"/>
      <c r="D153" s="26"/>
    </row>
    <row r="154" spans="3:4" ht="14.25" customHeight="1" x14ac:dyDescent="0.25">
      <c r="C154" s="26"/>
      <c r="D154" s="26"/>
    </row>
    <row r="155" spans="3:4" ht="14.25" customHeight="1" x14ac:dyDescent="0.25">
      <c r="C155" s="26"/>
      <c r="D155" s="26"/>
    </row>
    <row r="156" spans="3:4" ht="14.25" customHeight="1" x14ac:dyDescent="0.25">
      <c r="C156" s="26"/>
      <c r="D156" s="26"/>
    </row>
    <row r="157" spans="3:4" ht="14.25" customHeight="1" x14ac:dyDescent="0.25">
      <c r="C157" s="26"/>
      <c r="D157" s="26"/>
    </row>
    <row r="158" spans="3:4" ht="14.25" customHeight="1" x14ac:dyDescent="0.25">
      <c r="C158" s="26"/>
      <c r="D158" s="26"/>
    </row>
    <row r="159" spans="3:4" ht="14.25" customHeight="1" x14ac:dyDescent="0.25">
      <c r="C159" s="26"/>
      <c r="D159" s="26"/>
    </row>
    <row r="160" spans="3:4" ht="14.25" customHeight="1" x14ac:dyDescent="0.25">
      <c r="C160" s="26"/>
      <c r="D160" s="26"/>
    </row>
    <row r="161" spans="3:4" ht="14.25" customHeight="1" x14ac:dyDescent="0.25">
      <c r="C161" s="26"/>
      <c r="D161" s="26"/>
    </row>
    <row r="162" spans="3:4" ht="14.25" customHeight="1" x14ac:dyDescent="0.25">
      <c r="C162" s="26"/>
      <c r="D162" s="26"/>
    </row>
    <row r="163" spans="3:4" ht="14.25" customHeight="1" x14ac:dyDescent="0.25">
      <c r="C163" s="26"/>
      <c r="D163" s="26"/>
    </row>
    <row r="164" spans="3:4" ht="14.25" customHeight="1" x14ac:dyDescent="0.25">
      <c r="C164" s="26"/>
      <c r="D164" s="26"/>
    </row>
    <row r="165" spans="3:4" ht="14.25" customHeight="1" x14ac:dyDescent="0.25">
      <c r="C165" s="26"/>
      <c r="D165" s="26"/>
    </row>
    <row r="166" spans="3:4" ht="14.25" customHeight="1" x14ac:dyDescent="0.25">
      <c r="C166" s="26"/>
      <c r="D166" s="26"/>
    </row>
    <row r="167" spans="3:4" ht="14.25" customHeight="1" x14ac:dyDescent="0.25">
      <c r="C167" s="26"/>
      <c r="D167" s="26"/>
    </row>
    <row r="168" spans="3:4" ht="14.25" customHeight="1" x14ac:dyDescent="0.25">
      <c r="C168" s="26"/>
      <c r="D168" s="26"/>
    </row>
    <row r="169" spans="3:4" ht="14.25" customHeight="1" x14ac:dyDescent="0.25">
      <c r="C169" s="26"/>
      <c r="D169" s="26"/>
    </row>
    <row r="170" spans="3:4" ht="14.25" customHeight="1" x14ac:dyDescent="0.25">
      <c r="C170" s="26"/>
      <c r="D170" s="26"/>
    </row>
    <row r="171" spans="3:4" ht="14.25" customHeight="1" x14ac:dyDescent="0.25">
      <c r="C171" s="26"/>
      <c r="D171" s="26"/>
    </row>
    <row r="172" spans="3:4" ht="14.25" customHeight="1" x14ac:dyDescent="0.25">
      <c r="C172" s="26"/>
      <c r="D172" s="26"/>
    </row>
    <row r="173" spans="3:4" ht="14.25" customHeight="1" x14ac:dyDescent="0.25">
      <c r="C173" s="26"/>
      <c r="D173" s="26"/>
    </row>
    <row r="174" spans="3:4" ht="14.25" customHeight="1" x14ac:dyDescent="0.25">
      <c r="C174" s="26"/>
      <c r="D174" s="26"/>
    </row>
    <row r="175" spans="3:4" ht="14.25" customHeight="1" x14ac:dyDescent="0.25">
      <c r="C175" s="26"/>
      <c r="D175" s="26"/>
    </row>
    <row r="176" spans="3:4" ht="14.25" customHeight="1" x14ac:dyDescent="0.25">
      <c r="C176" s="26"/>
      <c r="D176" s="26"/>
    </row>
    <row r="177" spans="3:4" ht="14.25" customHeight="1" x14ac:dyDescent="0.25">
      <c r="C177" s="26"/>
      <c r="D177" s="26"/>
    </row>
    <row r="178" spans="3:4" ht="14.25" customHeight="1" x14ac:dyDescent="0.25">
      <c r="C178" s="26"/>
      <c r="D178" s="26"/>
    </row>
    <row r="179" spans="3:4" ht="14.25" customHeight="1" x14ac:dyDescent="0.25">
      <c r="C179" s="26"/>
      <c r="D179" s="26"/>
    </row>
    <row r="180" spans="3:4" ht="14.25" customHeight="1" x14ac:dyDescent="0.25">
      <c r="C180" s="26"/>
      <c r="D180" s="26"/>
    </row>
    <row r="181" spans="3:4" ht="14.25" customHeight="1" x14ac:dyDescent="0.25">
      <c r="C181" s="26"/>
      <c r="D181" s="26"/>
    </row>
    <row r="182" spans="3:4" ht="14.25" customHeight="1" x14ac:dyDescent="0.25">
      <c r="C182" s="26"/>
      <c r="D182" s="26"/>
    </row>
    <row r="183" spans="3:4" ht="14.25" customHeight="1" x14ac:dyDescent="0.25">
      <c r="C183" s="26"/>
      <c r="D183" s="26"/>
    </row>
    <row r="184" spans="3:4" ht="14.25" customHeight="1" x14ac:dyDescent="0.25">
      <c r="C184" s="26"/>
      <c r="D184" s="26"/>
    </row>
    <row r="185" spans="3:4" ht="14.25" customHeight="1" x14ac:dyDescent="0.25">
      <c r="C185" s="26"/>
      <c r="D185" s="26"/>
    </row>
    <row r="186" spans="3:4" ht="14.25" customHeight="1" x14ac:dyDescent="0.25">
      <c r="C186" s="26"/>
      <c r="D186" s="26"/>
    </row>
    <row r="187" spans="3:4" ht="14.25" customHeight="1" x14ac:dyDescent="0.25">
      <c r="C187" s="26"/>
      <c r="D187" s="26"/>
    </row>
    <row r="188" spans="3:4" ht="14.25" customHeight="1" x14ac:dyDescent="0.25">
      <c r="C188" s="26"/>
      <c r="D188" s="26"/>
    </row>
    <row r="189" spans="3:4" ht="14.25" customHeight="1" x14ac:dyDescent="0.25">
      <c r="C189" s="26"/>
      <c r="D189" s="26"/>
    </row>
    <row r="190" spans="3:4" ht="14.25" customHeight="1" x14ac:dyDescent="0.25">
      <c r="C190" s="26"/>
      <c r="D190" s="26"/>
    </row>
    <row r="191" spans="3:4" ht="14.25" customHeight="1" x14ac:dyDescent="0.25">
      <c r="C191" s="26"/>
      <c r="D191" s="26"/>
    </row>
    <row r="192" spans="3:4" ht="14.25" customHeight="1" x14ac:dyDescent="0.25">
      <c r="C192" s="26"/>
      <c r="D192" s="26"/>
    </row>
    <row r="193" spans="3:4" ht="14.25" customHeight="1" x14ac:dyDescent="0.25">
      <c r="C193" s="26"/>
      <c r="D193" s="26"/>
    </row>
    <row r="194" spans="3:4" ht="14.25" customHeight="1" x14ac:dyDescent="0.25">
      <c r="C194" s="26"/>
      <c r="D194" s="26"/>
    </row>
    <row r="195" spans="3:4" ht="14.25" customHeight="1" x14ac:dyDescent="0.25">
      <c r="C195" s="26"/>
      <c r="D195" s="26"/>
    </row>
    <row r="196" spans="3:4" ht="14.25" customHeight="1" x14ac:dyDescent="0.25">
      <c r="C196" s="26"/>
      <c r="D196" s="26"/>
    </row>
    <row r="197" spans="3:4" ht="14.25" customHeight="1" x14ac:dyDescent="0.25">
      <c r="C197" s="26"/>
      <c r="D197" s="26"/>
    </row>
    <row r="198" spans="3:4" ht="14.25" customHeight="1" x14ac:dyDescent="0.25">
      <c r="C198" s="26"/>
      <c r="D198" s="26"/>
    </row>
    <row r="199" spans="3:4" ht="14.25" customHeight="1" x14ac:dyDescent="0.25">
      <c r="C199" s="26"/>
      <c r="D199" s="26"/>
    </row>
    <row r="200" spans="3:4" ht="14.25" customHeight="1" x14ac:dyDescent="0.25">
      <c r="C200" s="26"/>
      <c r="D200" s="26"/>
    </row>
    <row r="201" spans="3:4" ht="14.25" customHeight="1" x14ac:dyDescent="0.25">
      <c r="C201" s="26"/>
      <c r="D201" s="26"/>
    </row>
    <row r="202" spans="3:4" ht="14.25" customHeight="1" x14ac:dyDescent="0.25">
      <c r="C202" s="26"/>
      <c r="D202" s="26"/>
    </row>
    <row r="203" spans="3:4" ht="14.25" customHeight="1" x14ac:dyDescent="0.25">
      <c r="C203" s="26"/>
      <c r="D203" s="26"/>
    </row>
    <row r="204" spans="3:4" ht="14.25" customHeight="1" x14ac:dyDescent="0.25">
      <c r="C204" s="26"/>
      <c r="D204" s="26"/>
    </row>
    <row r="205" spans="3:4" ht="14.25" customHeight="1" x14ac:dyDescent="0.25">
      <c r="C205" s="26"/>
      <c r="D205" s="26"/>
    </row>
    <row r="206" spans="3:4" ht="14.25" customHeight="1" x14ac:dyDescent="0.25">
      <c r="C206" s="26"/>
      <c r="D206" s="26"/>
    </row>
    <row r="207" spans="3:4" ht="14.25" customHeight="1" x14ac:dyDescent="0.25">
      <c r="C207" s="26"/>
      <c r="D207" s="26"/>
    </row>
    <row r="208" spans="3:4" ht="14.25" customHeight="1" x14ac:dyDescent="0.25">
      <c r="C208" s="26"/>
      <c r="D208" s="26"/>
    </row>
    <row r="209" spans="3:4" ht="14.25" customHeight="1" x14ac:dyDescent="0.25">
      <c r="C209" s="26"/>
      <c r="D209" s="26"/>
    </row>
    <row r="210" spans="3:4" ht="14.25" customHeight="1" x14ac:dyDescent="0.25">
      <c r="C210" s="26"/>
      <c r="D210" s="26"/>
    </row>
    <row r="211" spans="3:4" ht="14.25" customHeight="1" x14ac:dyDescent="0.25">
      <c r="C211" s="26"/>
      <c r="D211" s="26"/>
    </row>
    <row r="212" spans="3:4" ht="14.25" customHeight="1" x14ac:dyDescent="0.25">
      <c r="C212" s="26"/>
      <c r="D212" s="26"/>
    </row>
    <row r="213" spans="3:4" ht="14.25" customHeight="1" x14ac:dyDescent="0.25">
      <c r="C213" s="26"/>
      <c r="D213" s="26"/>
    </row>
    <row r="214" spans="3:4" ht="14.25" customHeight="1" x14ac:dyDescent="0.25">
      <c r="C214" s="26"/>
      <c r="D214" s="26"/>
    </row>
    <row r="215" spans="3:4" ht="14.25" customHeight="1" x14ac:dyDescent="0.25">
      <c r="C215" s="26"/>
      <c r="D215" s="26"/>
    </row>
    <row r="216" spans="3:4" ht="14.25" customHeight="1" x14ac:dyDescent="0.25">
      <c r="C216" s="26"/>
      <c r="D216" s="26"/>
    </row>
    <row r="217" spans="3:4" ht="14.25" customHeight="1" x14ac:dyDescent="0.25">
      <c r="C217" s="26"/>
      <c r="D217" s="26"/>
    </row>
    <row r="218" spans="3:4" ht="14.25" customHeight="1" x14ac:dyDescent="0.25">
      <c r="C218" s="26"/>
      <c r="D218" s="26"/>
    </row>
    <row r="219" spans="3:4" ht="14.25" customHeight="1" x14ac:dyDescent="0.25">
      <c r="C219" s="26"/>
      <c r="D219" s="26"/>
    </row>
    <row r="220" spans="3:4" ht="14.25" customHeight="1" x14ac:dyDescent="0.25">
      <c r="C220" s="26"/>
      <c r="D220" s="26"/>
    </row>
    <row r="221" spans="3:4" ht="14.25" customHeight="1" x14ac:dyDescent="0.25">
      <c r="C221" s="26"/>
      <c r="D221" s="26"/>
    </row>
    <row r="222" spans="3:4" ht="14.25" customHeight="1" x14ac:dyDescent="0.25">
      <c r="C222" s="26"/>
      <c r="D222" s="26"/>
    </row>
    <row r="223" spans="3:4" ht="14.25" customHeight="1" x14ac:dyDescent="0.25">
      <c r="C223" s="26"/>
      <c r="D223" s="26"/>
    </row>
    <row r="224" spans="3:4" ht="14.25" customHeight="1" x14ac:dyDescent="0.25">
      <c r="C224" s="26"/>
      <c r="D224" s="26"/>
    </row>
    <row r="225" spans="3:4" ht="14.25" customHeight="1" x14ac:dyDescent="0.25">
      <c r="C225" s="26"/>
      <c r="D225" s="26"/>
    </row>
    <row r="226" spans="3:4" ht="14.25" customHeight="1" x14ac:dyDescent="0.25">
      <c r="C226" s="26"/>
      <c r="D226" s="26"/>
    </row>
    <row r="227" spans="3:4" ht="14.25" customHeight="1" x14ac:dyDescent="0.25">
      <c r="C227" s="26"/>
      <c r="D227" s="26"/>
    </row>
    <row r="228" spans="3:4" ht="14.25" customHeight="1" x14ac:dyDescent="0.25">
      <c r="C228" s="26"/>
      <c r="D228" s="26"/>
    </row>
    <row r="229" spans="3:4" ht="14.25" customHeight="1" x14ac:dyDescent="0.25">
      <c r="C229" s="26"/>
      <c r="D229" s="26"/>
    </row>
    <row r="230" spans="3:4" ht="14.25" customHeight="1" x14ac:dyDescent="0.25">
      <c r="C230" s="26"/>
      <c r="D230" s="26"/>
    </row>
    <row r="231" spans="3:4" ht="14.25" customHeight="1" x14ac:dyDescent="0.25">
      <c r="C231" s="26"/>
      <c r="D231" s="26"/>
    </row>
    <row r="232" spans="3:4" ht="14.25" customHeight="1" x14ac:dyDescent="0.25">
      <c r="C232" s="26"/>
      <c r="D232" s="26"/>
    </row>
    <row r="233" spans="3:4" ht="14.25" customHeight="1" x14ac:dyDescent="0.25">
      <c r="C233" s="26"/>
      <c r="D233" s="26"/>
    </row>
    <row r="234" spans="3:4" ht="14.25" customHeight="1" x14ac:dyDescent="0.25">
      <c r="C234" s="26"/>
      <c r="D234" s="26"/>
    </row>
    <row r="235" spans="3:4" ht="14.25" customHeight="1" x14ac:dyDescent="0.25">
      <c r="C235" s="26"/>
      <c r="D235" s="26"/>
    </row>
    <row r="236" spans="3:4" ht="14.25" customHeight="1" x14ac:dyDescent="0.25">
      <c r="C236" s="26"/>
      <c r="D236" s="26"/>
    </row>
    <row r="237" spans="3:4" ht="14.25" customHeight="1" x14ac:dyDescent="0.25">
      <c r="C237" s="26"/>
      <c r="D237" s="26"/>
    </row>
    <row r="238" spans="3:4" ht="14.25" customHeight="1" x14ac:dyDescent="0.25">
      <c r="C238" s="26"/>
      <c r="D238" s="26"/>
    </row>
    <row r="239" spans="3:4" ht="14.25" customHeight="1" x14ac:dyDescent="0.25">
      <c r="C239" s="26"/>
      <c r="D239" s="26"/>
    </row>
    <row r="240" spans="3:4" ht="14.25" customHeight="1" x14ac:dyDescent="0.25">
      <c r="C240" s="26"/>
      <c r="D240" s="26"/>
    </row>
    <row r="241" spans="3:4" ht="14.25" customHeight="1" x14ac:dyDescent="0.25">
      <c r="C241" s="26"/>
      <c r="D241" s="26"/>
    </row>
    <row r="242" spans="3:4" ht="14.25" customHeight="1" x14ac:dyDescent="0.25">
      <c r="C242" s="26"/>
      <c r="D242" s="26"/>
    </row>
    <row r="243" spans="3:4" ht="14.25" customHeight="1" x14ac:dyDescent="0.25">
      <c r="C243" s="26"/>
      <c r="D243" s="26"/>
    </row>
    <row r="244" spans="3:4" ht="14.25" customHeight="1" x14ac:dyDescent="0.25">
      <c r="C244" s="26"/>
      <c r="D244" s="26"/>
    </row>
    <row r="245" spans="3:4" ht="14.25" customHeight="1" x14ac:dyDescent="0.25">
      <c r="C245" s="26"/>
      <c r="D245" s="26"/>
    </row>
    <row r="246" spans="3:4" ht="14.25" customHeight="1" x14ac:dyDescent="0.25">
      <c r="C246" s="26"/>
      <c r="D246" s="26"/>
    </row>
    <row r="247" spans="3:4" ht="14.25" customHeight="1" x14ac:dyDescent="0.25">
      <c r="C247" s="26"/>
      <c r="D247" s="26"/>
    </row>
    <row r="248" spans="3:4" ht="14.25" customHeight="1" x14ac:dyDescent="0.25">
      <c r="C248" s="26"/>
      <c r="D248" s="26"/>
    </row>
    <row r="249" spans="3:4" ht="14.25" customHeight="1" x14ac:dyDescent="0.25">
      <c r="C249" s="26"/>
      <c r="D249" s="26"/>
    </row>
    <row r="250" spans="3:4" ht="14.25" customHeight="1" x14ac:dyDescent="0.25">
      <c r="C250" s="26"/>
      <c r="D250" s="26"/>
    </row>
    <row r="251" spans="3:4" ht="14.25" customHeight="1" x14ac:dyDescent="0.25">
      <c r="C251" s="26"/>
      <c r="D251" s="26"/>
    </row>
    <row r="252" spans="3:4" ht="14.25" customHeight="1" x14ac:dyDescent="0.25">
      <c r="C252" s="26"/>
      <c r="D252" s="26"/>
    </row>
    <row r="253" spans="3:4" ht="14.25" customHeight="1" x14ac:dyDescent="0.25">
      <c r="C253" s="26"/>
      <c r="D253" s="26"/>
    </row>
    <row r="254" spans="3:4" ht="14.25" customHeight="1" x14ac:dyDescent="0.25">
      <c r="C254" s="26"/>
      <c r="D254" s="26"/>
    </row>
    <row r="255" spans="3:4" ht="14.25" customHeight="1" x14ac:dyDescent="0.25">
      <c r="C255" s="26"/>
      <c r="D255" s="26"/>
    </row>
    <row r="256" spans="3:4" ht="14.25" customHeight="1" x14ac:dyDescent="0.25">
      <c r="C256" s="26"/>
      <c r="D256" s="26"/>
    </row>
    <row r="257" spans="3:4" ht="14.25" customHeight="1" x14ac:dyDescent="0.25">
      <c r="C257" s="26"/>
      <c r="D257" s="26"/>
    </row>
    <row r="258" spans="3:4" ht="14.25" customHeight="1" x14ac:dyDescent="0.25">
      <c r="C258" s="26"/>
      <c r="D258" s="26"/>
    </row>
    <row r="259" spans="3:4" ht="15.75" customHeight="1" x14ac:dyDescent="0.25">
      <c r="C259" s="26"/>
      <c r="D259" s="26"/>
    </row>
    <row r="260" spans="3:4" ht="15.75" customHeight="1" x14ac:dyDescent="0.25">
      <c r="C260" s="26"/>
      <c r="D260" s="26"/>
    </row>
    <row r="261" spans="3:4" ht="15.75" customHeight="1" x14ac:dyDescent="0.25">
      <c r="C261" s="26"/>
      <c r="D261" s="26"/>
    </row>
    <row r="262" spans="3:4" ht="15.75" customHeight="1" x14ac:dyDescent="0.25">
      <c r="C262" s="26"/>
      <c r="D262" s="26"/>
    </row>
    <row r="263" spans="3:4" ht="15.75" customHeight="1" x14ac:dyDescent="0.25">
      <c r="C263" s="26"/>
      <c r="D263" s="26"/>
    </row>
    <row r="264" spans="3:4" ht="15.75" customHeight="1" x14ac:dyDescent="0.25">
      <c r="C264" s="26"/>
      <c r="D264" s="26"/>
    </row>
    <row r="265" spans="3:4" ht="15.75" customHeight="1" x14ac:dyDescent="0.25">
      <c r="C265" s="26"/>
      <c r="D265" s="26"/>
    </row>
    <row r="266" spans="3:4" ht="15.75" customHeight="1" x14ac:dyDescent="0.25">
      <c r="C266" s="26"/>
      <c r="D266" s="26"/>
    </row>
    <row r="267" spans="3:4" ht="15.75" customHeight="1" x14ac:dyDescent="0.25">
      <c r="C267" s="26"/>
      <c r="D267" s="26"/>
    </row>
    <row r="268" spans="3:4" ht="15.75" customHeight="1" x14ac:dyDescent="0.25">
      <c r="C268" s="26"/>
      <c r="D268" s="26"/>
    </row>
    <row r="269" spans="3:4" ht="15.75" customHeight="1" x14ac:dyDescent="0.25">
      <c r="C269" s="26"/>
      <c r="D269" s="26"/>
    </row>
    <row r="270" spans="3:4" ht="15.75" customHeight="1" x14ac:dyDescent="0.25">
      <c r="C270" s="26"/>
      <c r="D270" s="26"/>
    </row>
    <row r="271" spans="3:4" ht="15.75" customHeight="1" x14ac:dyDescent="0.25">
      <c r="C271" s="26"/>
      <c r="D271" s="26"/>
    </row>
    <row r="272" spans="3:4" ht="15.75" customHeight="1" x14ac:dyDescent="0.25">
      <c r="C272" s="26"/>
      <c r="D272" s="26"/>
    </row>
    <row r="273" spans="3:4" ht="15.75" customHeight="1" x14ac:dyDescent="0.25">
      <c r="C273" s="26"/>
      <c r="D273" s="26"/>
    </row>
    <row r="274" spans="3:4" ht="15.75" customHeight="1" x14ac:dyDescent="0.25">
      <c r="C274" s="26"/>
      <c r="D274" s="26"/>
    </row>
    <row r="275" spans="3:4" ht="15.75" customHeight="1" x14ac:dyDescent="0.25">
      <c r="C275" s="26"/>
      <c r="D275" s="26"/>
    </row>
    <row r="276" spans="3:4" ht="15.75" customHeight="1" x14ac:dyDescent="0.25">
      <c r="C276" s="26"/>
      <c r="D276" s="26"/>
    </row>
    <row r="277" spans="3:4" ht="15.75" customHeight="1" x14ac:dyDescent="0.25">
      <c r="C277" s="26"/>
      <c r="D277" s="26"/>
    </row>
    <row r="278" spans="3:4" ht="15.75" customHeight="1" x14ac:dyDescent="0.25">
      <c r="C278" s="26"/>
      <c r="D278" s="26"/>
    </row>
    <row r="279" spans="3:4" ht="15.75" customHeight="1" x14ac:dyDescent="0.25">
      <c r="C279" s="26"/>
      <c r="D279" s="26"/>
    </row>
    <row r="280" spans="3:4" ht="15.75" customHeight="1" x14ac:dyDescent="0.25">
      <c r="C280" s="26"/>
      <c r="D280" s="26"/>
    </row>
    <row r="281" spans="3:4" ht="15.75" customHeight="1" x14ac:dyDescent="0.25">
      <c r="C281" s="26"/>
      <c r="D281" s="26"/>
    </row>
    <row r="282" spans="3:4" ht="15.75" customHeight="1" x14ac:dyDescent="0.25">
      <c r="C282" s="26"/>
      <c r="D282" s="26"/>
    </row>
    <row r="283" spans="3:4" ht="15.75" customHeight="1" x14ac:dyDescent="0.25">
      <c r="C283" s="26"/>
      <c r="D283" s="26"/>
    </row>
    <row r="284" spans="3:4" ht="15.75" customHeight="1" x14ac:dyDescent="0.25">
      <c r="C284" s="26"/>
      <c r="D284" s="26"/>
    </row>
    <row r="285" spans="3:4" ht="15.75" customHeight="1" x14ac:dyDescent="0.25">
      <c r="C285" s="26"/>
      <c r="D285" s="26"/>
    </row>
    <row r="286" spans="3:4" ht="15.75" customHeight="1" x14ac:dyDescent="0.25">
      <c r="C286" s="26"/>
      <c r="D286" s="26"/>
    </row>
    <row r="287" spans="3:4" ht="15.75" customHeight="1" x14ac:dyDescent="0.25">
      <c r="C287" s="26"/>
      <c r="D287" s="26"/>
    </row>
    <row r="288" spans="3:4" ht="15.75" customHeight="1" x14ac:dyDescent="0.25">
      <c r="C288" s="26"/>
      <c r="D288" s="26"/>
    </row>
    <row r="289" spans="3:4" ht="15.75" customHeight="1" x14ac:dyDescent="0.25">
      <c r="C289" s="26"/>
      <c r="D289" s="26"/>
    </row>
    <row r="290" spans="3:4" ht="15.75" customHeight="1" x14ac:dyDescent="0.25">
      <c r="C290" s="26"/>
      <c r="D290" s="26"/>
    </row>
    <row r="291" spans="3:4" ht="15.75" customHeight="1" x14ac:dyDescent="0.25">
      <c r="C291" s="26"/>
      <c r="D291" s="26"/>
    </row>
    <row r="292" spans="3:4" ht="15.75" customHeight="1" x14ac:dyDescent="0.25">
      <c r="C292" s="26"/>
      <c r="D292" s="26"/>
    </row>
    <row r="293" spans="3:4" ht="15.75" customHeight="1" x14ac:dyDescent="0.25">
      <c r="C293" s="26"/>
      <c r="D293" s="26"/>
    </row>
    <row r="294" spans="3:4" ht="15.75" customHeight="1" x14ac:dyDescent="0.25">
      <c r="C294" s="26"/>
      <c r="D294" s="26"/>
    </row>
    <row r="295" spans="3:4" ht="15.75" customHeight="1" x14ac:dyDescent="0.25">
      <c r="C295" s="26"/>
      <c r="D295" s="26"/>
    </row>
    <row r="296" spans="3:4" ht="15.75" customHeight="1" x14ac:dyDescent="0.25">
      <c r="C296" s="26"/>
      <c r="D296" s="26"/>
    </row>
    <row r="297" spans="3:4" ht="15.75" customHeight="1" x14ac:dyDescent="0.25">
      <c r="C297" s="26"/>
      <c r="D297" s="26"/>
    </row>
    <row r="298" spans="3:4" ht="15.75" customHeight="1" x14ac:dyDescent="0.25">
      <c r="C298" s="26"/>
      <c r="D298" s="26"/>
    </row>
    <row r="299" spans="3:4" ht="15.75" customHeight="1" x14ac:dyDescent="0.25">
      <c r="C299" s="26"/>
      <c r="D299" s="26"/>
    </row>
    <row r="300" spans="3:4" ht="15.75" customHeight="1" x14ac:dyDescent="0.25">
      <c r="C300" s="26"/>
      <c r="D300" s="26"/>
    </row>
    <row r="301" spans="3:4" ht="15.75" customHeight="1" x14ac:dyDescent="0.25">
      <c r="C301" s="26"/>
      <c r="D301" s="26"/>
    </row>
    <row r="302" spans="3:4" ht="15.75" customHeight="1" x14ac:dyDescent="0.25">
      <c r="C302" s="26"/>
      <c r="D302" s="26"/>
    </row>
    <row r="303" spans="3:4" ht="15.75" customHeight="1" x14ac:dyDescent="0.25">
      <c r="C303" s="26"/>
      <c r="D303" s="26"/>
    </row>
    <row r="304" spans="3:4" ht="15.75" customHeight="1" x14ac:dyDescent="0.25">
      <c r="C304" s="26"/>
      <c r="D304" s="26"/>
    </row>
    <row r="305" spans="3:4" ht="15.75" customHeight="1" x14ac:dyDescent="0.25">
      <c r="C305" s="26"/>
      <c r="D305" s="26"/>
    </row>
    <row r="306" spans="3:4" ht="15.75" customHeight="1" x14ac:dyDescent="0.25">
      <c r="C306" s="26"/>
      <c r="D306" s="26"/>
    </row>
    <row r="307" spans="3:4" ht="15.75" customHeight="1" x14ac:dyDescent="0.25">
      <c r="C307" s="26"/>
      <c r="D307" s="26"/>
    </row>
    <row r="308" spans="3:4" ht="15.75" customHeight="1" x14ac:dyDescent="0.25">
      <c r="C308" s="26"/>
      <c r="D308" s="26"/>
    </row>
    <row r="309" spans="3:4" ht="15.75" customHeight="1" x14ac:dyDescent="0.25">
      <c r="C309" s="26"/>
      <c r="D309" s="26"/>
    </row>
    <row r="310" spans="3:4" ht="15.75" customHeight="1" x14ac:dyDescent="0.25">
      <c r="C310" s="26"/>
      <c r="D310" s="26"/>
    </row>
    <row r="311" spans="3:4" ht="15.75" customHeight="1" x14ac:dyDescent="0.25">
      <c r="C311" s="26"/>
      <c r="D311" s="26"/>
    </row>
    <row r="312" spans="3:4" ht="15.75" customHeight="1" x14ac:dyDescent="0.25">
      <c r="C312" s="26"/>
      <c r="D312" s="26"/>
    </row>
    <row r="313" spans="3:4" ht="15.75" customHeight="1" x14ac:dyDescent="0.25">
      <c r="C313" s="26"/>
      <c r="D313" s="26"/>
    </row>
    <row r="314" spans="3:4" ht="15.75" customHeight="1" x14ac:dyDescent="0.25">
      <c r="C314" s="26"/>
      <c r="D314" s="26"/>
    </row>
    <row r="315" spans="3:4" ht="15.75" customHeight="1" x14ac:dyDescent="0.25">
      <c r="C315" s="26"/>
      <c r="D315" s="26"/>
    </row>
    <row r="316" spans="3:4" ht="15.75" customHeight="1" x14ac:dyDescent="0.25">
      <c r="C316" s="26"/>
      <c r="D316" s="26"/>
    </row>
    <row r="317" spans="3:4" ht="15.75" customHeight="1" x14ac:dyDescent="0.25">
      <c r="C317" s="26"/>
      <c r="D317" s="26"/>
    </row>
    <row r="318" spans="3:4" ht="15.75" customHeight="1" x14ac:dyDescent="0.25">
      <c r="C318" s="26"/>
      <c r="D318" s="26"/>
    </row>
    <row r="319" spans="3:4" ht="15.75" customHeight="1" x14ac:dyDescent="0.25">
      <c r="C319" s="26"/>
      <c r="D319" s="26"/>
    </row>
    <row r="320" spans="3:4" ht="15.75" customHeight="1" x14ac:dyDescent="0.25">
      <c r="C320" s="26"/>
      <c r="D320" s="26"/>
    </row>
    <row r="321" spans="3:4" ht="15.75" customHeight="1" x14ac:dyDescent="0.25">
      <c r="C321" s="26"/>
      <c r="D321" s="26"/>
    </row>
    <row r="322" spans="3:4" ht="15.75" customHeight="1" x14ac:dyDescent="0.25">
      <c r="C322" s="26"/>
      <c r="D322" s="26"/>
    </row>
    <row r="323" spans="3:4" ht="15.75" customHeight="1" x14ac:dyDescent="0.25">
      <c r="C323" s="26"/>
      <c r="D323" s="26"/>
    </row>
    <row r="324" spans="3:4" ht="15.75" customHeight="1" x14ac:dyDescent="0.25">
      <c r="C324" s="26"/>
      <c r="D324" s="26"/>
    </row>
    <row r="325" spans="3:4" ht="15.75" customHeight="1" x14ac:dyDescent="0.25">
      <c r="C325" s="26"/>
      <c r="D325" s="26"/>
    </row>
    <row r="326" spans="3:4" ht="15.75" customHeight="1" x14ac:dyDescent="0.25">
      <c r="C326" s="26"/>
      <c r="D326" s="26"/>
    </row>
    <row r="327" spans="3:4" ht="15.75" customHeight="1" x14ac:dyDescent="0.25">
      <c r="C327" s="26"/>
      <c r="D327" s="26"/>
    </row>
    <row r="328" spans="3:4" ht="15.75" customHeight="1" x14ac:dyDescent="0.25">
      <c r="C328" s="26"/>
      <c r="D328" s="26"/>
    </row>
    <row r="329" spans="3:4" ht="15.75" customHeight="1" x14ac:dyDescent="0.25">
      <c r="C329" s="26"/>
      <c r="D329" s="26"/>
    </row>
    <row r="330" spans="3:4" ht="15.75" customHeight="1" x14ac:dyDescent="0.25">
      <c r="C330" s="26"/>
      <c r="D330" s="26"/>
    </row>
    <row r="331" spans="3:4" ht="15.75" customHeight="1" x14ac:dyDescent="0.25">
      <c r="C331" s="26"/>
      <c r="D331" s="26"/>
    </row>
    <row r="332" spans="3:4" ht="15.75" customHeight="1" x14ac:dyDescent="0.25">
      <c r="C332" s="26"/>
      <c r="D332" s="26"/>
    </row>
    <row r="333" spans="3:4" ht="15.75" customHeight="1" x14ac:dyDescent="0.25">
      <c r="C333" s="26"/>
      <c r="D333" s="26"/>
    </row>
    <row r="334" spans="3:4" ht="15.75" customHeight="1" x14ac:dyDescent="0.25">
      <c r="C334" s="26"/>
      <c r="D334" s="26"/>
    </row>
    <row r="335" spans="3:4" ht="15.75" customHeight="1" x14ac:dyDescent="0.25">
      <c r="C335" s="26"/>
      <c r="D335" s="26"/>
    </row>
    <row r="336" spans="3:4" ht="15.75" customHeight="1" x14ac:dyDescent="0.25">
      <c r="C336" s="26"/>
      <c r="D336" s="26"/>
    </row>
    <row r="337" spans="3:4" ht="15.75" customHeight="1" x14ac:dyDescent="0.25">
      <c r="C337" s="26"/>
      <c r="D337" s="26"/>
    </row>
    <row r="338" spans="3:4" ht="15.75" customHeight="1" x14ac:dyDescent="0.25">
      <c r="C338" s="26"/>
      <c r="D338" s="26"/>
    </row>
    <row r="339" spans="3:4" ht="15.75" customHeight="1" x14ac:dyDescent="0.25">
      <c r="C339" s="26"/>
      <c r="D339" s="26"/>
    </row>
    <row r="340" spans="3:4" ht="15.75" customHeight="1" x14ac:dyDescent="0.25">
      <c r="C340" s="26"/>
      <c r="D340" s="26"/>
    </row>
    <row r="341" spans="3:4" ht="15.75" customHeight="1" x14ac:dyDescent="0.25">
      <c r="C341" s="26"/>
      <c r="D341" s="26"/>
    </row>
    <row r="342" spans="3:4" ht="15.75" customHeight="1" x14ac:dyDescent="0.25">
      <c r="C342" s="26"/>
      <c r="D342" s="26"/>
    </row>
    <row r="343" spans="3:4" ht="15.75" customHeight="1" x14ac:dyDescent="0.25">
      <c r="C343" s="26"/>
      <c r="D343" s="26"/>
    </row>
    <row r="344" spans="3:4" ht="15.75" customHeight="1" x14ac:dyDescent="0.25">
      <c r="C344" s="26"/>
      <c r="D344" s="26"/>
    </row>
    <row r="345" spans="3:4" ht="15.75" customHeight="1" x14ac:dyDescent="0.25">
      <c r="C345" s="26"/>
      <c r="D345" s="26"/>
    </row>
    <row r="346" spans="3:4" ht="15.75" customHeight="1" x14ac:dyDescent="0.25">
      <c r="C346" s="26"/>
      <c r="D346" s="26"/>
    </row>
    <row r="347" spans="3:4" ht="15.75" customHeight="1" x14ac:dyDescent="0.25">
      <c r="C347" s="26"/>
      <c r="D347" s="26"/>
    </row>
    <row r="348" spans="3:4" ht="15.75" customHeight="1" x14ac:dyDescent="0.25">
      <c r="C348" s="26"/>
      <c r="D348" s="26"/>
    </row>
    <row r="349" spans="3:4" ht="15.75" customHeight="1" x14ac:dyDescent="0.25">
      <c r="C349" s="26"/>
      <c r="D349" s="26"/>
    </row>
    <row r="350" spans="3:4" ht="15.75" customHeight="1" x14ac:dyDescent="0.25">
      <c r="C350" s="26"/>
      <c r="D350" s="26"/>
    </row>
    <row r="351" spans="3:4" ht="15.75" customHeight="1" x14ac:dyDescent="0.25">
      <c r="C351" s="26"/>
      <c r="D351" s="26"/>
    </row>
    <row r="352" spans="3:4" ht="15.75" customHeight="1" x14ac:dyDescent="0.25">
      <c r="C352" s="26"/>
      <c r="D352" s="26"/>
    </row>
    <row r="353" spans="3:4" ht="15.75" customHeight="1" x14ac:dyDescent="0.25">
      <c r="C353" s="26"/>
      <c r="D353" s="26"/>
    </row>
    <row r="354" spans="3:4" ht="15.75" customHeight="1" x14ac:dyDescent="0.25">
      <c r="C354" s="26"/>
      <c r="D354" s="26"/>
    </row>
    <row r="355" spans="3:4" ht="15.75" customHeight="1" x14ac:dyDescent="0.25">
      <c r="C355" s="26"/>
      <c r="D355" s="26"/>
    </row>
    <row r="356" spans="3:4" ht="15.75" customHeight="1" x14ac:dyDescent="0.25">
      <c r="C356" s="26"/>
      <c r="D356" s="26"/>
    </row>
    <row r="357" spans="3:4" ht="15.75" customHeight="1" x14ac:dyDescent="0.25">
      <c r="C357" s="26"/>
      <c r="D357" s="26"/>
    </row>
    <row r="358" spans="3:4" ht="15.75" customHeight="1" x14ac:dyDescent="0.25">
      <c r="C358" s="26"/>
      <c r="D358" s="26"/>
    </row>
    <row r="359" spans="3:4" ht="15.75" customHeight="1" x14ac:dyDescent="0.25">
      <c r="C359" s="26"/>
      <c r="D359" s="26"/>
    </row>
    <row r="360" spans="3:4" ht="15.75" customHeight="1" x14ac:dyDescent="0.25">
      <c r="C360" s="26"/>
      <c r="D360" s="26"/>
    </row>
    <row r="361" spans="3:4" ht="15.75" customHeight="1" x14ac:dyDescent="0.25">
      <c r="C361" s="26"/>
      <c r="D361" s="26"/>
    </row>
    <row r="362" spans="3:4" ht="15.75" customHeight="1" x14ac:dyDescent="0.25">
      <c r="C362" s="26"/>
      <c r="D362" s="26"/>
    </row>
    <row r="363" spans="3:4" ht="15.75" customHeight="1" x14ac:dyDescent="0.25">
      <c r="C363" s="26"/>
      <c r="D363" s="26"/>
    </row>
    <row r="364" spans="3:4" ht="15.75" customHeight="1" x14ac:dyDescent="0.25">
      <c r="C364" s="26"/>
      <c r="D364" s="26"/>
    </row>
    <row r="365" spans="3:4" ht="15.75" customHeight="1" x14ac:dyDescent="0.25">
      <c r="C365" s="26"/>
      <c r="D365" s="26"/>
    </row>
    <row r="366" spans="3:4" ht="15.75" customHeight="1" x14ac:dyDescent="0.25">
      <c r="C366" s="26"/>
      <c r="D366" s="26"/>
    </row>
    <row r="367" spans="3:4" ht="15.75" customHeight="1" x14ac:dyDescent="0.25">
      <c r="C367" s="26"/>
      <c r="D367" s="26"/>
    </row>
    <row r="368" spans="3:4" ht="15.75" customHeight="1" x14ac:dyDescent="0.25">
      <c r="C368" s="26"/>
      <c r="D368" s="26"/>
    </row>
    <row r="369" spans="3:4" ht="15.75" customHeight="1" x14ac:dyDescent="0.25">
      <c r="C369" s="26"/>
      <c r="D369" s="26"/>
    </row>
    <row r="370" spans="3:4" ht="15.75" customHeight="1" x14ac:dyDescent="0.25">
      <c r="C370" s="26"/>
      <c r="D370" s="26"/>
    </row>
    <row r="371" spans="3:4" ht="15.75" customHeight="1" x14ac:dyDescent="0.25">
      <c r="C371" s="26"/>
      <c r="D371" s="26"/>
    </row>
    <row r="372" spans="3:4" ht="15.75" customHeight="1" x14ac:dyDescent="0.25">
      <c r="C372" s="26"/>
      <c r="D372" s="26"/>
    </row>
    <row r="373" spans="3:4" ht="15.75" customHeight="1" x14ac:dyDescent="0.25">
      <c r="C373" s="26"/>
      <c r="D373" s="26"/>
    </row>
    <row r="374" spans="3:4" ht="15.75" customHeight="1" x14ac:dyDescent="0.25">
      <c r="C374" s="26"/>
      <c r="D374" s="26"/>
    </row>
    <row r="375" spans="3:4" ht="15.75" customHeight="1" x14ac:dyDescent="0.25">
      <c r="C375" s="26"/>
      <c r="D375" s="26"/>
    </row>
    <row r="376" spans="3:4" ht="15.75" customHeight="1" x14ac:dyDescent="0.25">
      <c r="C376" s="26"/>
      <c r="D376" s="26"/>
    </row>
    <row r="377" spans="3:4" ht="15.75" customHeight="1" x14ac:dyDescent="0.25">
      <c r="C377" s="26"/>
      <c r="D377" s="26"/>
    </row>
    <row r="378" spans="3:4" ht="15.75" customHeight="1" x14ac:dyDescent="0.25">
      <c r="C378" s="26"/>
      <c r="D378" s="26"/>
    </row>
    <row r="379" spans="3:4" ht="15.75" customHeight="1" x14ac:dyDescent="0.25">
      <c r="C379" s="26"/>
      <c r="D379" s="26"/>
    </row>
    <row r="380" spans="3:4" ht="15.75" customHeight="1" x14ac:dyDescent="0.25">
      <c r="C380" s="26"/>
      <c r="D380" s="26"/>
    </row>
    <row r="381" spans="3:4" ht="15.75" customHeight="1" x14ac:dyDescent="0.25">
      <c r="C381" s="26"/>
      <c r="D381" s="26"/>
    </row>
    <row r="382" spans="3:4" ht="15.75" customHeight="1" x14ac:dyDescent="0.25">
      <c r="C382" s="26"/>
      <c r="D382" s="26"/>
    </row>
    <row r="383" spans="3:4" ht="15.75" customHeight="1" x14ac:dyDescent="0.25">
      <c r="C383" s="26"/>
      <c r="D383" s="26"/>
    </row>
    <row r="384" spans="3:4" ht="15.75" customHeight="1" x14ac:dyDescent="0.25">
      <c r="C384" s="26"/>
      <c r="D384" s="26"/>
    </row>
    <row r="385" spans="3:4" ht="15.75" customHeight="1" x14ac:dyDescent="0.25">
      <c r="C385" s="26"/>
      <c r="D385" s="26"/>
    </row>
    <row r="386" spans="3:4" ht="15.75" customHeight="1" x14ac:dyDescent="0.25">
      <c r="C386" s="26"/>
      <c r="D386" s="26"/>
    </row>
    <row r="387" spans="3:4" ht="15.75" customHeight="1" x14ac:dyDescent="0.25">
      <c r="C387" s="26"/>
      <c r="D387" s="26"/>
    </row>
    <row r="388" spans="3:4" ht="15.75" customHeight="1" x14ac:dyDescent="0.25">
      <c r="C388" s="26"/>
      <c r="D388" s="26"/>
    </row>
    <row r="389" spans="3:4" ht="15.75" customHeight="1" x14ac:dyDescent="0.25">
      <c r="C389" s="26"/>
      <c r="D389" s="26"/>
    </row>
    <row r="390" spans="3:4" ht="15.75" customHeight="1" x14ac:dyDescent="0.25">
      <c r="C390" s="26"/>
      <c r="D390" s="26"/>
    </row>
    <row r="391" spans="3:4" ht="15.75" customHeight="1" x14ac:dyDescent="0.25">
      <c r="C391" s="26"/>
      <c r="D391" s="26"/>
    </row>
    <row r="392" spans="3:4" ht="15.75" customHeight="1" x14ac:dyDescent="0.25">
      <c r="C392" s="26"/>
      <c r="D392" s="26"/>
    </row>
    <row r="393" spans="3:4" ht="15.75" customHeight="1" x14ac:dyDescent="0.25">
      <c r="C393" s="26"/>
      <c r="D393" s="26"/>
    </row>
    <row r="394" spans="3:4" ht="15.75" customHeight="1" x14ac:dyDescent="0.25">
      <c r="C394" s="26"/>
      <c r="D394" s="26"/>
    </row>
    <row r="395" spans="3:4" ht="15.75" customHeight="1" x14ac:dyDescent="0.25">
      <c r="C395" s="26"/>
      <c r="D395" s="26"/>
    </row>
    <row r="396" spans="3:4" ht="15.75" customHeight="1" x14ac:dyDescent="0.25">
      <c r="C396" s="26"/>
      <c r="D396" s="26"/>
    </row>
    <row r="397" spans="3:4" ht="15.75" customHeight="1" x14ac:dyDescent="0.25">
      <c r="C397" s="26"/>
      <c r="D397" s="26"/>
    </row>
    <row r="398" spans="3:4" ht="15.75" customHeight="1" x14ac:dyDescent="0.25">
      <c r="C398" s="26"/>
      <c r="D398" s="26"/>
    </row>
    <row r="399" spans="3:4" ht="15.75" customHeight="1" x14ac:dyDescent="0.25">
      <c r="C399" s="26"/>
      <c r="D399" s="26"/>
    </row>
    <row r="400" spans="3:4" ht="15.75" customHeight="1" x14ac:dyDescent="0.25">
      <c r="C400" s="26"/>
      <c r="D400" s="26"/>
    </row>
    <row r="401" spans="3:4" ht="15.75" customHeight="1" x14ac:dyDescent="0.25">
      <c r="C401" s="26"/>
      <c r="D401" s="26"/>
    </row>
    <row r="402" spans="3:4" ht="15.75" customHeight="1" x14ac:dyDescent="0.25">
      <c r="C402" s="26"/>
      <c r="D402" s="26"/>
    </row>
    <row r="403" spans="3:4" ht="15.75" customHeight="1" x14ac:dyDescent="0.25">
      <c r="C403" s="26"/>
      <c r="D403" s="26"/>
    </row>
    <row r="404" spans="3:4" ht="15.75" customHeight="1" x14ac:dyDescent="0.25">
      <c r="C404" s="26"/>
      <c r="D404" s="26"/>
    </row>
    <row r="405" spans="3:4" ht="15.75" customHeight="1" x14ac:dyDescent="0.25">
      <c r="C405" s="26"/>
      <c r="D405" s="26"/>
    </row>
    <row r="406" spans="3:4" ht="15.75" customHeight="1" x14ac:dyDescent="0.25">
      <c r="C406" s="26"/>
      <c r="D406" s="26"/>
    </row>
    <row r="407" spans="3:4" ht="15.75" customHeight="1" x14ac:dyDescent="0.25">
      <c r="C407" s="26"/>
      <c r="D407" s="26"/>
    </row>
    <row r="408" spans="3:4" ht="15.75" customHeight="1" x14ac:dyDescent="0.25">
      <c r="C408" s="26"/>
      <c r="D408" s="26"/>
    </row>
    <row r="409" spans="3:4" ht="15.75" customHeight="1" x14ac:dyDescent="0.25">
      <c r="C409" s="26"/>
      <c r="D409" s="26"/>
    </row>
    <row r="410" spans="3:4" ht="15.75" customHeight="1" x14ac:dyDescent="0.25">
      <c r="C410" s="26"/>
      <c r="D410" s="26"/>
    </row>
    <row r="411" spans="3:4" ht="15.75" customHeight="1" x14ac:dyDescent="0.25">
      <c r="C411" s="26"/>
      <c r="D411" s="26"/>
    </row>
    <row r="412" spans="3:4" ht="15.75" customHeight="1" x14ac:dyDescent="0.25">
      <c r="C412" s="26"/>
      <c r="D412" s="26"/>
    </row>
    <row r="413" spans="3:4" ht="15.75" customHeight="1" x14ac:dyDescent="0.25">
      <c r="C413" s="26"/>
      <c r="D413" s="26"/>
    </row>
    <row r="414" spans="3:4" ht="15.75" customHeight="1" x14ac:dyDescent="0.25">
      <c r="C414" s="26"/>
      <c r="D414" s="26"/>
    </row>
    <row r="415" spans="3:4" ht="15.75" customHeight="1" x14ac:dyDescent="0.25">
      <c r="C415" s="26"/>
      <c r="D415" s="26"/>
    </row>
    <row r="416" spans="3:4" ht="15.75" customHeight="1" x14ac:dyDescent="0.25">
      <c r="C416" s="26"/>
      <c r="D416" s="26"/>
    </row>
    <row r="417" spans="3:4" ht="15.75" customHeight="1" x14ac:dyDescent="0.25">
      <c r="C417" s="26"/>
      <c r="D417" s="26"/>
    </row>
    <row r="418" spans="3:4" ht="15.75" customHeight="1" x14ac:dyDescent="0.25">
      <c r="C418" s="26"/>
      <c r="D418" s="26"/>
    </row>
    <row r="419" spans="3:4" ht="15.75" customHeight="1" x14ac:dyDescent="0.25">
      <c r="C419" s="26"/>
      <c r="D419" s="26"/>
    </row>
    <row r="420" spans="3:4" ht="15.75" customHeight="1" x14ac:dyDescent="0.25">
      <c r="C420" s="26"/>
      <c r="D420" s="26"/>
    </row>
    <row r="421" spans="3:4" ht="15.75" customHeight="1" x14ac:dyDescent="0.25">
      <c r="C421" s="26"/>
      <c r="D421" s="26"/>
    </row>
    <row r="422" spans="3:4" ht="15.75" customHeight="1" x14ac:dyDescent="0.25">
      <c r="C422" s="26"/>
      <c r="D422" s="26"/>
    </row>
    <row r="423" spans="3:4" ht="15.75" customHeight="1" x14ac:dyDescent="0.25">
      <c r="C423" s="26"/>
      <c r="D423" s="26"/>
    </row>
    <row r="424" spans="3:4" ht="15.75" customHeight="1" x14ac:dyDescent="0.25">
      <c r="C424" s="26"/>
      <c r="D424" s="26"/>
    </row>
    <row r="425" spans="3:4" ht="15.75" customHeight="1" x14ac:dyDescent="0.25">
      <c r="C425" s="26"/>
      <c r="D425" s="26"/>
    </row>
    <row r="426" spans="3:4" ht="15.75" customHeight="1" x14ac:dyDescent="0.25">
      <c r="C426" s="26"/>
      <c r="D426" s="26"/>
    </row>
    <row r="427" spans="3:4" ht="15.75" customHeight="1" x14ac:dyDescent="0.25">
      <c r="C427" s="26"/>
      <c r="D427" s="26"/>
    </row>
    <row r="428" spans="3:4" ht="15.75" customHeight="1" x14ac:dyDescent="0.25">
      <c r="C428" s="26"/>
      <c r="D428" s="26"/>
    </row>
    <row r="429" spans="3:4" ht="15.75" customHeight="1" x14ac:dyDescent="0.25">
      <c r="C429" s="26"/>
      <c r="D429" s="26"/>
    </row>
    <row r="430" spans="3:4" ht="15.75" customHeight="1" x14ac:dyDescent="0.25">
      <c r="C430" s="26"/>
      <c r="D430" s="26"/>
    </row>
    <row r="431" spans="3:4" ht="15.75" customHeight="1" x14ac:dyDescent="0.25">
      <c r="C431" s="26"/>
      <c r="D431" s="26"/>
    </row>
    <row r="432" spans="3:4" ht="15.75" customHeight="1" x14ac:dyDescent="0.25">
      <c r="C432" s="26"/>
      <c r="D432" s="26"/>
    </row>
    <row r="433" spans="3:4" ht="15.75" customHeight="1" x14ac:dyDescent="0.25">
      <c r="C433" s="26"/>
      <c r="D433" s="26"/>
    </row>
    <row r="434" spans="3:4" ht="15.75" customHeight="1" x14ac:dyDescent="0.25">
      <c r="C434" s="26"/>
      <c r="D434" s="26"/>
    </row>
    <row r="435" spans="3:4" ht="15.75" customHeight="1" x14ac:dyDescent="0.25">
      <c r="C435" s="26"/>
      <c r="D435" s="26"/>
    </row>
    <row r="436" spans="3:4" ht="15.75" customHeight="1" x14ac:dyDescent="0.25">
      <c r="C436" s="26"/>
      <c r="D436" s="26"/>
    </row>
    <row r="437" spans="3:4" ht="15.75" customHeight="1" x14ac:dyDescent="0.25">
      <c r="C437" s="26"/>
      <c r="D437" s="26"/>
    </row>
    <row r="438" spans="3:4" ht="15.75" customHeight="1" x14ac:dyDescent="0.25">
      <c r="C438" s="26"/>
      <c r="D438" s="26"/>
    </row>
    <row r="439" spans="3:4" ht="15.75" customHeight="1" x14ac:dyDescent="0.25">
      <c r="C439" s="26"/>
      <c r="D439" s="26"/>
    </row>
    <row r="440" spans="3:4" ht="15.75" customHeight="1" x14ac:dyDescent="0.25">
      <c r="C440" s="26"/>
      <c r="D440" s="26"/>
    </row>
    <row r="441" spans="3:4" ht="15.75" customHeight="1" x14ac:dyDescent="0.25">
      <c r="C441" s="26"/>
      <c r="D441" s="26"/>
    </row>
    <row r="442" spans="3:4" ht="15.75" customHeight="1" x14ac:dyDescent="0.25">
      <c r="C442" s="26"/>
      <c r="D442" s="26"/>
    </row>
    <row r="443" spans="3:4" ht="15.75" customHeight="1" x14ac:dyDescent="0.25">
      <c r="C443" s="26"/>
      <c r="D443" s="26"/>
    </row>
    <row r="444" spans="3:4" ht="15.75" customHeight="1" x14ac:dyDescent="0.25">
      <c r="C444" s="26"/>
      <c r="D444" s="26"/>
    </row>
    <row r="445" spans="3:4" ht="15.75" customHeight="1" x14ac:dyDescent="0.25">
      <c r="C445" s="26"/>
      <c r="D445" s="26"/>
    </row>
    <row r="446" spans="3:4" ht="15.75" customHeight="1" x14ac:dyDescent="0.25">
      <c r="C446" s="26"/>
      <c r="D446" s="26"/>
    </row>
    <row r="447" spans="3:4" ht="15.75" customHeight="1" x14ac:dyDescent="0.25">
      <c r="C447" s="26"/>
      <c r="D447" s="26"/>
    </row>
    <row r="448" spans="3:4" ht="15.75" customHeight="1" x14ac:dyDescent="0.25">
      <c r="C448" s="26"/>
      <c r="D448" s="26"/>
    </row>
    <row r="449" spans="3:4" ht="15.75" customHeight="1" x14ac:dyDescent="0.25">
      <c r="C449" s="26"/>
      <c r="D449" s="26"/>
    </row>
    <row r="450" spans="3:4" ht="15.75" customHeight="1" x14ac:dyDescent="0.25">
      <c r="C450" s="26"/>
      <c r="D450" s="26"/>
    </row>
    <row r="451" spans="3:4" ht="15.75" customHeight="1" x14ac:dyDescent="0.25">
      <c r="C451" s="26"/>
      <c r="D451" s="26"/>
    </row>
    <row r="452" spans="3:4" ht="15.75" customHeight="1" x14ac:dyDescent="0.25">
      <c r="C452" s="26"/>
      <c r="D452" s="26"/>
    </row>
    <row r="453" spans="3:4" ht="15.75" customHeight="1" x14ac:dyDescent="0.25">
      <c r="C453" s="26"/>
      <c r="D453" s="26"/>
    </row>
    <row r="454" spans="3:4" ht="15.75" customHeight="1" x14ac:dyDescent="0.25">
      <c r="C454" s="26"/>
      <c r="D454" s="26"/>
    </row>
    <row r="455" spans="3:4" ht="15.75" customHeight="1" x14ac:dyDescent="0.25">
      <c r="C455" s="26"/>
      <c r="D455" s="26"/>
    </row>
    <row r="456" spans="3:4" ht="15.75" customHeight="1" x14ac:dyDescent="0.25">
      <c r="C456" s="26"/>
      <c r="D456" s="26"/>
    </row>
    <row r="457" spans="3:4" ht="15.75" customHeight="1" x14ac:dyDescent="0.25">
      <c r="C457" s="26"/>
      <c r="D457" s="26"/>
    </row>
    <row r="458" spans="3:4" ht="15.75" customHeight="1" x14ac:dyDescent="0.25">
      <c r="C458" s="26"/>
      <c r="D458" s="26"/>
    </row>
    <row r="459" spans="3:4" ht="15.75" customHeight="1" x14ac:dyDescent="0.25">
      <c r="C459" s="26"/>
      <c r="D459" s="26"/>
    </row>
    <row r="460" spans="3:4" ht="15.75" customHeight="1" x14ac:dyDescent="0.25">
      <c r="C460" s="26"/>
      <c r="D460" s="26"/>
    </row>
    <row r="461" spans="3:4" ht="15.75" customHeight="1" x14ac:dyDescent="0.25">
      <c r="C461" s="26"/>
      <c r="D461" s="26"/>
    </row>
    <row r="462" spans="3:4" ht="15.75" customHeight="1" x14ac:dyDescent="0.25">
      <c r="C462" s="26"/>
      <c r="D462" s="26"/>
    </row>
    <row r="463" spans="3:4" ht="15.75" customHeight="1" x14ac:dyDescent="0.25">
      <c r="C463" s="26"/>
      <c r="D463" s="26"/>
    </row>
    <row r="464" spans="3:4" ht="15.75" customHeight="1" x14ac:dyDescent="0.25">
      <c r="C464" s="26"/>
      <c r="D464" s="26"/>
    </row>
    <row r="465" spans="3:4" ht="15.75" customHeight="1" x14ac:dyDescent="0.25">
      <c r="C465" s="26"/>
      <c r="D465" s="26"/>
    </row>
    <row r="466" spans="3:4" ht="15.75" customHeight="1" x14ac:dyDescent="0.25">
      <c r="C466" s="26"/>
      <c r="D466" s="26"/>
    </row>
    <row r="467" spans="3:4" ht="15.75" customHeight="1" x14ac:dyDescent="0.25">
      <c r="C467" s="26"/>
      <c r="D467" s="26"/>
    </row>
    <row r="468" spans="3:4" ht="15.75" customHeight="1" x14ac:dyDescent="0.25">
      <c r="C468" s="26"/>
      <c r="D468" s="26"/>
    </row>
    <row r="469" spans="3:4" ht="15.75" customHeight="1" x14ac:dyDescent="0.25">
      <c r="C469" s="26"/>
      <c r="D469" s="26"/>
    </row>
    <row r="470" spans="3:4" ht="15.75" customHeight="1" x14ac:dyDescent="0.25">
      <c r="C470" s="26"/>
      <c r="D470" s="26"/>
    </row>
    <row r="471" spans="3:4" ht="15.75" customHeight="1" x14ac:dyDescent="0.25">
      <c r="C471" s="26"/>
      <c r="D471" s="26"/>
    </row>
    <row r="472" spans="3:4" ht="15.75" customHeight="1" x14ac:dyDescent="0.25">
      <c r="C472" s="26"/>
      <c r="D472" s="26"/>
    </row>
    <row r="473" spans="3:4" ht="15.75" customHeight="1" x14ac:dyDescent="0.25">
      <c r="C473" s="26"/>
      <c r="D473" s="26"/>
    </row>
    <row r="474" spans="3:4" ht="15.75" customHeight="1" x14ac:dyDescent="0.25">
      <c r="C474" s="26"/>
      <c r="D474" s="26"/>
    </row>
    <row r="475" spans="3:4" ht="15.75" customHeight="1" x14ac:dyDescent="0.25">
      <c r="C475" s="26"/>
      <c r="D475" s="26"/>
    </row>
    <row r="476" spans="3:4" ht="15.75" customHeight="1" x14ac:dyDescent="0.25">
      <c r="C476" s="26"/>
      <c r="D476" s="26"/>
    </row>
    <row r="477" spans="3:4" ht="15.75" customHeight="1" x14ac:dyDescent="0.25">
      <c r="C477" s="26"/>
      <c r="D477" s="26"/>
    </row>
    <row r="478" spans="3:4" ht="15.75" customHeight="1" x14ac:dyDescent="0.25">
      <c r="C478" s="26"/>
      <c r="D478" s="26"/>
    </row>
    <row r="479" spans="3:4" ht="15.75" customHeight="1" x14ac:dyDescent="0.25">
      <c r="C479" s="26"/>
      <c r="D479" s="26"/>
    </row>
    <row r="480" spans="3:4" ht="15.75" customHeight="1" x14ac:dyDescent="0.25">
      <c r="C480" s="26"/>
      <c r="D480" s="26"/>
    </row>
    <row r="481" spans="3:4" ht="15.75" customHeight="1" x14ac:dyDescent="0.25">
      <c r="C481" s="26"/>
      <c r="D481" s="26"/>
    </row>
    <row r="482" spans="3:4" ht="15.75" customHeight="1" x14ac:dyDescent="0.25">
      <c r="C482" s="26"/>
      <c r="D482" s="26"/>
    </row>
    <row r="483" spans="3:4" ht="15.75" customHeight="1" x14ac:dyDescent="0.25">
      <c r="C483" s="26"/>
      <c r="D483" s="26"/>
    </row>
    <row r="484" spans="3:4" ht="15.75" customHeight="1" x14ac:dyDescent="0.25">
      <c r="C484" s="26"/>
      <c r="D484" s="26"/>
    </row>
    <row r="485" spans="3:4" ht="15.75" customHeight="1" x14ac:dyDescent="0.25">
      <c r="C485" s="26"/>
      <c r="D485" s="26"/>
    </row>
    <row r="486" spans="3:4" ht="15.75" customHeight="1" x14ac:dyDescent="0.25">
      <c r="C486" s="26"/>
      <c r="D486" s="26"/>
    </row>
    <row r="487" spans="3:4" ht="15.75" customHeight="1" x14ac:dyDescent="0.25">
      <c r="C487" s="26"/>
      <c r="D487" s="26"/>
    </row>
    <row r="488" spans="3:4" ht="15.75" customHeight="1" x14ac:dyDescent="0.25">
      <c r="C488" s="26"/>
      <c r="D488" s="26"/>
    </row>
    <row r="489" spans="3:4" ht="15.75" customHeight="1" x14ac:dyDescent="0.25">
      <c r="C489" s="26"/>
      <c r="D489" s="26"/>
    </row>
    <row r="490" spans="3:4" ht="15.75" customHeight="1" x14ac:dyDescent="0.25">
      <c r="C490" s="26"/>
      <c r="D490" s="26"/>
    </row>
    <row r="491" spans="3:4" ht="15.75" customHeight="1" x14ac:dyDescent="0.25">
      <c r="C491" s="26"/>
      <c r="D491" s="26"/>
    </row>
    <row r="492" spans="3:4" ht="15.75" customHeight="1" x14ac:dyDescent="0.25">
      <c r="C492" s="26"/>
      <c r="D492" s="26"/>
    </row>
    <row r="493" spans="3:4" ht="15.75" customHeight="1" x14ac:dyDescent="0.25">
      <c r="C493" s="26"/>
      <c r="D493" s="26"/>
    </row>
    <row r="494" spans="3:4" ht="15.75" customHeight="1" x14ac:dyDescent="0.25">
      <c r="C494" s="26"/>
      <c r="D494" s="26"/>
    </row>
    <row r="495" spans="3:4" ht="15.75" customHeight="1" x14ac:dyDescent="0.25">
      <c r="C495" s="26"/>
      <c r="D495" s="26"/>
    </row>
    <row r="496" spans="3:4" ht="15.75" customHeight="1" x14ac:dyDescent="0.25">
      <c r="C496" s="26"/>
      <c r="D496" s="26"/>
    </row>
    <row r="497" spans="3:4" ht="15.75" customHeight="1" x14ac:dyDescent="0.25">
      <c r="C497" s="26"/>
      <c r="D497" s="26"/>
    </row>
    <row r="498" spans="3:4" ht="15.75" customHeight="1" x14ac:dyDescent="0.25">
      <c r="C498" s="26"/>
      <c r="D498" s="26"/>
    </row>
    <row r="499" spans="3:4" ht="15.75" customHeight="1" x14ac:dyDescent="0.25">
      <c r="C499" s="26"/>
      <c r="D499" s="26"/>
    </row>
    <row r="500" spans="3:4" ht="15.75" customHeight="1" x14ac:dyDescent="0.25">
      <c r="C500" s="26"/>
      <c r="D500" s="26"/>
    </row>
    <row r="501" spans="3:4" ht="15.75" customHeight="1" x14ac:dyDescent="0.25">
      <c r="C501" s="26"/>
      <c r="D501" s="26"/>
    </row>
    <row r="502" spans="3:4" ht="15.75" customHeight="1" x14ac:dyDescent="0.25">
      <c r="C502" s="26"/>
      <c r="D502" s="26"/>
    </row>
    <row r="503" spans="3:4" ht="15.75" customHeight="1" x14ac:dyDescent="0.25">
      <c r="C503" s="26"/>
      <c r="D503" s="26"/>
    </row>
    <row r="504" spans="3:4" ht="15.75" customHeight="1" x14ac:dyDescent="0.25">
      <c r="C504" s="26"/>
      <c r="D504" s="26"/>
    </row>
    <row r="505" spans="3:4" ht="15.75" customHeight="1" x14ac:dyDescent="0.25">
      <c r="C505" s="26"/>
      <c r="D505" s="26"/>
    </row>
    <row r="506" spans="3:4" ht="15.75" customHeight="1" x14ac:dyDescent="0.25">
      <c r="C506" s="26"/>
      <c r="D506" s="26"/>
    </row>
    <row r="507" spans="3:4" ht="15.75" customHeight="1" x14ac:dyDescent="0.25">
      <c r="C507" s="26"/>
      <c r="D507" s="26"/>
    </row>
    <row r="508" spans="3:4" ht="15.75" customHeight="1" x14ac:dyDescent="0.25">
      <c r="C508" s="26"/>
      <c r="D508" s="26"/>
    </row>
    <row r="509" spans="3:4" ht="15.75" customHeight="1" x14ac:dyDescent="0.25">
      <c r="C509" s="26"/>
      <c r="D509" s="26"/>
    </row>
    <row r="510" spans="3:4" ht="15.75" customHeight="1" x14ac:dyDescent="0.25">
      <c r="C510" s="26"/>
      <c r="D510" s="26"/>
    </row>
    <row r="511" spans="3:4" ht="15.75" customHeight="1" x14ac:dyDescent="0.25">
      <c r="C511" s="26"/>
      <c r="D511" s="26"/>
    </row>
    <row r="512" spans="3:4" ht="15.75" customHeight="1" x14ac:dyDescent="0.25">
      <c r="C512" s="26"/>
      <c r="D512" s="26"/>
    </row>
    <row r="513" spans="3:4" ht="15.75" customHeight="1" x14ac:dyDescent="0.25">
      <c r="C513" s="26"/>
      <c r="D513" s="26"/>
    </row>
    <row r="514" spans="3:4" ht="15.75" customHeight="1" x14ac:dyDescent="0.25">
      <c r="C514" s="26"/>
      <c r="D514" s="26"/>
    </row>
    <row r="515" spans="3:4" ht="15.75" customHeight="1" x14ac:dyDescent="0.25">
      <c r="C515" s="26"/>
      <c r="D515" s="26"/>
    </row>
    <row r="516" spans="3:4" ht="15.75" customHeight="1" x14ac:dyDescent="0.25">
      <c r="C516" s="26"/>
      <c r="D516" s="26"/>
    </row>
    <row r="517" spans="3:4" ht="15.75" customHeight="1" x14ac:dyDescent="0.25">
      <c r="C517" s="26"/>
      <c r="D517" s="26"/>
    </row>
    <row r="518" spans="3:4" ht="15.75" customHeight="1" x14ac:dyDescent="0.25">
      <c r="C518" s="26"/>
      <c r="D518" s="26"/>
    </row>
    <row r="519" spans="3:4" ht="15.75" customHeight="1" x14ac:dyDescent="0.25">
      <c r="C519" s="26"/>
      <c r="D519" s="26"/>
    </row>
    <row r="520" spans="3:4" ht="15.75" customHeight="1" x14ac:dyDescent="0.25">
      <c r="C520" s="26"/>
      <c r="D520" s="26"/>
    </row>
    <row r="521" spans="3:4" ht="15.75" customHeight="1" x14ac:dyDescent="0.25">
      <c r="C521" s="26"/>
      <c r="D521" s="26"/>
    </row>
    <row r="522" spans="3:4" ht="15.75" customHeight="1" x14ac:dyDescent="0.25">
      <c r="C522" s="26"/>
      <c r="D522" s="26"/>
    </row>
    <row r="523" spans="3:4" ht="15.75" customHeight="1" x14ac:dyDescent="0.25">
      <c r="C523" s="26"/>
      <c r="D523" s="26"/>
    </row>
    <row r="524" spans="3:4" ht="15.75" customHeight="1" x14ac:dyDescent="0.25">
      <c r="C524" s="26"/>
      <c r="D524" s="26"/>
    </row>
    <row r="525" spans="3:4" ht="15.75" customHeight="1" x14ac:dyDescent="0.25">
      <c r="C525" s="26"/>
      <c r="D525" s="26"/>
    </row>
    <row r="526" spans="3:4" ht="15.75" customHeight="1" x14ac:dyDescent="0.25">
      <c r="C526" s="26"/>
      <c r="D526" s="26"/>
    </row>
    <row r="527" spans="3:4" ht="15.75" customHeight="1" x14ac:dyDescent="0.25">
      <c r="C527" s="26"/>
      <c r="D527" s="26"/>
    </row>
    <row r="528" spans="3:4" ht="15.75" customHeight="1" x14ac:dyDescent="0.25">
      <c r="C528" s="26"/>
      <c r="D528" s="26"/>
    </row>
    <row r="529" spans="3:4" ht="15.75" customHeight="1" x14ac:dyDescent="0.25">
      <c r="C529" s="26"/>
      <c r="D529" s="26"/>
    </row>
    <row r="530" spans="3:4" ht="15.75" customHeight="1" x14ac:dyDescent="0.25">
      <c r="C530" s="26"/>
      <c r="D530" s="26"/>
    </row>
    <row r="531" spans="3:4" ht="15.75" customHeight="1" x14ac:dyDescent="0.25">
      <c r="C531" s="26"/>
      <c r="D531" s="26"/>
    </row>
    <row r="532" spans="3:4" ht="15.75" customHeight="1" x14ac:dyDescent="0.25">
      <c r="C532" s="26"/>
      <c r="D532" s="26"/>
    </row>
    <row r="533" spans="3:4" ht="15.75" customHeight="1" x14ac:dyDescent="0.25">
      <c r="C533" s="26"/>
      <c r="D533" s="26"/>
    </row>
    <row r="534" spans="3:4" ht="15.75" customHeight="1" x14ac:dyDescent="0.25">
      <c r="C534" s="26"/>
      <c r="D534" s="26"/>
    </row>
    <row r="535" spans="3:4" ht="15.75" customHeight="1" x14ac:dyDescent="0.25">
      <c r="C535" s="26"/>
      <c r="D535" s="26"/>
    </row>
    <row r="536" spans="3:4" ht="15.75" customHeight="1" x14ac:dyDescent="0.25">
      <c r="C536" s="26"/>
      <c r="D536" s="26"/>
    </row>
    <row r="537" spans="3:4" ht="15.75" customHeight="1" x14ac:dyDescent="0.25">
      <c r="C537" s="26"/>
      <c r="D537" s="26"/>
    </row>
    <row r="538" spans="3:4" ht="15.75" customHeight="1" x14ac:dyDescent="0.25">
      <c r="C538" s="26"/>
      <c r="D538" s="26"/>
    </row>
    <row r="539" spans="3:4" ht="15.75" customHeight="1" x14ac:dyDescent="0.25">
      <c r="C539" s="26"/>
      <c r="D539" s="26"/>
    </row>
    <row r="540" spans="3:4" ht="15.75" customHeight="1" x14ac:dyDescent="0.25">
      <c r="C540" s="26"/>
      <c r="D540" s="26"/>
    </row>
    <row r="541" spans="3:4" ht="15.75" customHeight="1" x14ac:dyDescent="0.25">
      <c r="C541" s="26"/>
      <c r="D541" s="26"/>
    </row>
    <row r="542" spans="3:4" ht="15.75" customHeight="1" x14ac:dyDescent="0.25">
      <c r="C542" s="26"/>
      <c r="D542" s="26"/>
    </row>
    <row r="543" spans="3:4" ht="15.75" customHeight="1" x14ac:dyDescent="0.25">
      <c r="C543" s="26"/>
      <c r="D543" s="26"/>
    </row>
    <row r="544" spans="3:4" ht="15.75" customHeight="1" x14ac:dyDescent="0.25">
      <c r="C544" s="26"/>
      <c r="D544" s="26"/>
    </row>
    <row r="545" spans="3:4" ht="15.75" customHeight="1" x14ac:dyDescent="0.25">
      <c r="C545" s="26"/>
      <c r="D545" s="26"/>
    </row>
    <row r="546" spans="3:4" ht="15.75" customHeight="1" x14ac:dyDescent="0.25">
      <c r="C546" s="26"/>
      <c r="D546" s="26"/>
    </row>
    <row r="547" spans="3:4" ht="15.75" customHeight="1" x14ac:dyDescent="0.25">
      <c r="C547" s="26"/>
      <c r="D547" s="26"/>
    </row>
    <row r="548" spans="3:4" ht="15.75" customHeight="1" x14ac:dyDescent="0.25">
      <c r="C548" s="26"/>
      <c r="D548" s="26"/>
    </row>
    <row r="549" spans="3:4" ht="15.75" customHeight="1" x14ac:dyDescent="0.25">
      <c r="C549" s="26"/>
      <c r="D549" s="26"/>
    </row>
    <row r="550" spans="3:4" ht="15.75" customHeight="1" x14ac:dyDescent="0.25">
      <c r="C550" s="26"/>
      <c r="D550" s="26"/>
    </row>
    <row r="551" spans="3:4" ht="15.75" customHeight="1" x14ac:dyDescent="0.25">
      <c r="C551" s="26"/>
      <c r="D551" s="26"/>
    </row>
    <row r="552" spans="3:4" ht="15.75" customHeight="1" x14ac:dyDescent="0.25">
      <c r="C552" s="26"/>
      <c r="D552" s="26"/>
    </row>
    <row r="553" spans="3:4" ht="15.75" customHeight="1" x14ac:dyDescent="0.25">
      <c r="C553" s="26"/>
      <c r="D553" s="26"/>
    </row>
    <row r="554" spans="3:4" ht="15.75" customHeight="1" x14ac:dyDescent="0.25">
      <c r="C554" s="26"/>
      <c r="D554" s="26"/>
    </row>
    <row r="555" spans="3:4" ht="15.75" customHeight="1" x14ac:dyDescent="0.25">
      <c r="C555" s="26"/>
      <c r="D555" s="26"/>
    </row>
    <row r="556" spans="3:4" ht="15.75" customHeight="1" x14ac:dyDescent="0.25">
      <c r="C556" s="26"/>
      <c r="D556" s="26"/>
    </row>
    <row r="557" spans="3:4" ht="15.75" customHeight="1" x14ac:dyDescent="0.25">
      <c r="C557" s="26"/>
      <c r="D557" s="26"/>
    </row>
    <row r="558" spans="3:4" ht="15.75" customHeight="1" x14ac:dyDescent="0.25">
      <c r="C558" s="26"/>
      <c r="D558" s="26"/>
    </row>
    <row r="559" spans="3:4" ht="15.75" customHeight="1" x14ac:dyDescent="0.25">
      <c r="C559" s="26"/>
      <c r="D559" s="26"/>
    </row>
    <row r="560" spans="3:4" ht="15.75" customHeight="1" x14ac:dyDescent="0.25">
      <c r="C560" s="26"/>
      <c r="D560" s="26"/>
    </row>
    <row r="561" spans="3:4" ht="15.75" customHeight="1" x14ac:dyDescent="0.25">
      <c r="C561" s="26"/>
      <c r="D561" s="26"/>
    </row>
    <row r="562" spans="3:4" ht="15.75" customHeight="1" x14ac:dyDescent="0.25">
      <c r="C562" s="26"/>
      <c r="D562" s="26"/>
    </row>
    <row r="563" spans="3:4" ht="15.75" customHeight="1" x14ac:dyDescent="0.25">
      <c r="C563" s="26"/>
      <c r="D563" s="26"/>
    </row>
    <row r="564" spans="3:4" ht="15.75" customHeight="1" x14ac:dyDescent="0.25">
      <c r="C564" s="26"/>
      <c r="D564" s="26"/>
    </row>
    <row r="565" spans="3:4" ht="15.75" customHeight="1" x14ac:dyDescent="0.25">
      <c r="C565" s="26"/>
      <c r="D565" s="26"/>
    </row>
    <row r="566" spans="3:4" ht="15.75" customHeight="1" x14ac:dyDescent="0.25">
      <c r="C566" s="26"/>
      <c r="D566" s="26"/>
    </row>
    <row r="567" spans="3:4" ht="15.75" customHeight="1" x14ac:dyDescent="0.25">
      <c r="C567" s="26"/>
      <c r="D567" s="26"/>
    </row>
    <row r="568" spans="3:4" ht="15.75" customHeight="1" x14ac:dyDescent="0.25">
      <c r="C568" s="26"/>
      <c r="D568" s="26"/>
    </row>
    <row r="569" spans="3:4" ht="15.75" customHeight="1" x14ac:dyDescent="0.25">
      <c r="C569" s="26"/>
      <c r="D569" s="26"/>
    </row>
    <row r="570" spans="3:4" ht="15.75" customHeight="1" x14ac:dyDescent="0.25">
      <c r="C570" s="26"/>
      <c r="D570" s="26"/>
    </row>
    <row r="571" spans="3:4" ht="15.75" customHeight="1" x14ac:dyDescent="0.25">
      <c r="C571" s="26"/>
      <c r="D571" s="26"/>
    </row>
    <row r="572" spans="3:4" ht="15.75" customHeight="1" x14ac:dyDescent="0.25">
      <c r="C572" s="26"/>
      <c r="D572" s="26"/>
    </row>
    <row r="573" spans="3:4" ht="15.75" customHeight="1" x14ac:dyDescent="0.25">
      <c r="C573" s="26"/>
      <c r="D573" s="26"/>
    </row>
    <row r="574" spans="3:4" ht="15.75" customHeight="1" x14ac:dyDescent="0.25">
      <c r="C574" s="26"/>
      <c r="D574" s="26"/>
    </row>
    <row r="575" spans="3:4" ht="15.75" customHeight="1" x14ac:dyDescent="0.25">
      <c r="C575" s="26"/>
      <c r="D575" s="26"/>
    </row>
    <row r="576" spans="3:4" ht="15.75" customHeight="1" x14ac:dyDescent="0.25">
      <c r="C576" s="26"/>
      <c r="D576" s="26"/>
    </row>
    <row r="577" spans="3:4" ht="15.75" customHeight="1" x14ac:dyDescent="0.25">
      <c r="C577" s="26"/>
      <c r="D577" s="26"/>
    </row>
    <row r="578" spans="3:4" ht="15.75" customHeight="1" x14ac:dyDescent="0.25">
      <c r="C578" s="26"/>
      <c r="D578" s="26"/>
    </row>
    <row r="579" spans="3:4" ht="15.75" customHeight="1" x14ac:dyDescent="0.25">
      <c r="C579" s="26"/>
      <c r="D579" s="26"/>
    </row>
    <row r="580" spans="3:4" ht="15.75" customHeight="1" x14ac:dyDescent="0.25">
      <c r="C580" s="26"/>
      <c r="D580" s="26"/>
    </row>
    <row r="581" spans="3:4" ht="15.75" customHeight="1" x14ac:dyDescent="0.25">
      <c r="C581" s="26"/>
      <c r="D581" s="26"/>
    </row>
    <row r="582" spans="3:4" ht="15.75" customHeight="1" x14ac:dyDescent="0.25">
      <c r="C582" s="26"/>
      <c r="D582" s="26"/>
    </row>
    <row r="583" spans="3:4" ht="15.75" customHeight="1" x14ac:dyDescent="0.25">
      <c r="C583" s="26"/>
      <c r="D583" s="26"/>
    </row>
    <row r="584" spans="3:4" ht="15.75" customHeight="1" x14ac:dyDescent="0.25">
      <c r="C584" s="26"/>
      <c r="D584" s="26"/>
    </row>
    <row r="585" spans="3:4" ht="15.75" customHeight="1" x14ac:dyDescent="0.25">
      <c r="C585" s="26"/>
      <c r="D585" s="26"/>
    </row>
    <row r="586" spans="3:4" ht="15.75" customHeight="1" x14ac:dyDescent="0.25">
      <c r="C586" s="26"/>
      <c r="D586" s="26"/>
    </row>
    <row r="587" spans="3:4" ht="15.75" customHeight="1" x14ac:dyDescent="0.25">
      <c r="C587" s="26"/>
      <c r="D587" s="26"/>
    </row>
    <row r="588" spans="3:4" ht="15.75" customHeight="1" x14ac:dyDescent="0.25">
      <c r="C588" s="26"/>
      <c r="D588" s="26"/>
    </row>
    <row r="589" spans="3:4" ht="15.75" customHeight="1" x14ac:dyDescent="0.25">
      <c r="C589" s="26"/>
      <c r="D589" s="26"/>
    </row>
    <row r="590" spans="3:4" ht="15.75" customHeight="1" x14ac:dyDescent="0.25">
      <c r="C590" s="26"/>
      <c r="D590" s="26"/>
    </row>
    <row r="591" spans="3:4" ht="15.75" customHeight="1" x14ac:dyDescent="0.25">
      <c r="C591" s="26"/>
      <c r="D591" s="26"/>
    </row>
    <row r="592" spans="3:4" ht="15.75" customHeight="1" x14ac:dyDescent="0.25">
      <c r="C592" s="26"/>
      <c r="D592" s="26"/>
    </row>
    <row r="593" spans="3:4" ht="15.75" customHeight="1" x14ac:dyDescent="0.25">
      <c r="C593" s="26"/>
      <c r="D593" s="26"/>
    </row>
    <row r="594" spans="3:4" ht="15.75" customHeight="1" x14ac:dyDescent="0.25">
      <c r="C594" s="26"/>
      <c r="D594" s="26"/>
    </row>
    <row r="595" spans="3:4" ht="15.75" customHeight="1" x14ac:dyDescent="0.25">
      <c r="C595" s="26"/>
      <c r="D595" s="26"/>
    </row>
    <row r="596" spans="3:4" ht="15.75" customHeight="1" x14ac:dyDescent="0.25">
      <c r="C596" s="26"/>
      <c r="D596" s="26"/>
    </row>
    <row r="597" spans="3:4" ht="15.75" customHeight="1" x14ac:dyDescent="0.25">
      <c r="C597" s="26"/>
      <c r="D597" s="26"/>
    </row>
    <row r="598" spans="3:4" ht="15.75" customHeight="1" x14ac:dyDescent="0.25">
      <c r="C598" s="26"/>
      <c r="D598" s="26"/>
    </row>
    <row r="599" spans="3:4" ht="15.75" customHeight="1" x14ac:dyDescent="0.25">
      <c r="C599" s="26"/>
      <c r="D599" s="26"/>
    </row>
    <row r="600" spans="3:4" ht="15.75" customHeight="1" x14ac:dyDescent="0.25">
      <c r="C600" s="26"/>
      <c r="D600" s="26"/>
    </row>
    <row r="601" spans="3:4" ht="15.75" customHeight="1" x14ac:dyDescent="0.25">
      <c r="C601" s="26"/>
      <c r="D601" s="26"/>
    </row>
    <row r="602" spans="3:4" ht="15.75" customHeight="1" x14ac:dyDescent="0.25">
      <c r="C602" s="26"/>
      <c r="D602" s="26"/>
    </row>
    <row r="603" spans="3:4" ht="15.75" customHeight="1" x14ac:dyDescent="0.25">
      <c r="C603" s="26"/>
      <c r="D603" s="26"/>
    </row>
    <row r="604" spans="3:4" ht="15.75" customHeight="1" x14ac:dyDescent="0.25">
      <c r="C604" s="26"/>
      <c r="D604" s="26"/>
    </row>
    <row r="605" spans="3:4" ht="15.75" customHeight="1" x14ac:dyDescent="0.25">
      <c r="C605" s="26"/>
      <c r="D605" s="26"/>
    </row>
    <row r="606" spans="3:4" ht="15.75" customHeight="1" x14ac:dyDescent="0.25">
      <c r="C606" s="26"/>
      <c r="D606" s="26"/>
    </row>
    <row r="607" spans="3:4" ht="15.75" customHeight="1" x14ac:dyDescent="0.25">
      <c r="C607" s="26"/>
      <c r="D607" s="26"/>
    </row>
    <row r="608" spans="3:4" ht="15.75" customHeight="1" x14ac:dyDescent="0.25">
      <c r="C608" s="26"/>
      <c r="D608" s="26"/>
    </row>
    <row r="609" spans="3:4" ht="15.75" customHeight="1" x14ac:dyDescent="0.25">
      <c r="C609" s="26"/>
      <c r="D609" s="26"/>
    </row>
    <row r="610" spans="3:4" ht="15.75" customHeight="1" x14ac:dyDescent="0.25">
      <c r="C610" s="26"/>
      <c r="D610" s="26"/>
    </row>
    <row r="611" spans="3:4" ht="15.75" customHeight="1" x14ac:dyDescent="0.25">
      <c r="C611" s="26"/>
      <c r="D611" s="26"/>
    </row>
    <row r="612" spans="3:4" ht="15.75" customHeight="1" x14ac:dyDescent="0.25">
      <c r="C612" s="26"/>
      <c r="D612" s="26"/>
    </row>
    <row r="613" spans="3:4" ht="15.75" customHeight="1" x14ac:dyDescent="0.25">
      <c r="C613" s="26"/>
      <c r="D613" s="26"/>
    </row>
    <row r="614" spans="3:4" ht="15.75" customHeight="1" x14ac:dyDescent="0.25">
      <c r="C614" s="26"/>
      <c r="D614" s="26"/>
    </row>
    <row r="615" spans="3:4" ht="15.75" customHeight="1" x14ac:dyDescent="0.25">
      <c r="C615" s="26"/>
      <c r="D615" s="26"/>
    </row>
    <row r="616" spans="3:4" ht="15.75" customHeight="1" x14ac:dyDescent="0.25">
      <c r="C616" s="26"/>
      <c r="D616" s="26"/>
    </row>
    <row r="617" spans="3:4" ht="15.75" customHeight="1" x14ac:dyDescent="0.25">
      <c r="C617" s="26"/>
      <c r="D617" s="26"/>
    </row>
    <row r="618" spans="3:4" ht="15.75" customHeight="1" x14ac:dyDescent="0.25">
      <c r="C618" s="26"/>
      <c r="D618" s="26"/>
    </row>
    <row r="619" spans="3:4" ht="15.75" customHeight="1" x14ac:dyDescent="0.25">
      <c r="C619" s="26"/>
      <c r="D619" s="26"/>
    </row>
    <row r="620" spans="3:4" ht="15.75" customHeight="1" x14ac:dyDescent="0.25">
      <c r="C620" s="26"/>
      <c r="D620" s="26"/>
    </row>
    <row r="621" spans="3:4" ht="15.75" customHeight="1" x14ac:dyDescent="0.25">
      <c r="C621" s="26"/>
      <c r="D621" s="26"/>
    </row>
    <row r="622" spans="3:4" ht="15.75" customHeight="1" x14ac:dyDescent="0.25">
      <c r="C622" s="26"/>
      <c r="D622" s="26"/>
    </row>
    <row r="623" spans="3:4" ht="15.75" customHeight="1" x14ac:dyDescent="0.25">
      <c r="C623" s="26"/>
      <c r="D623" s="26"/>
    </row>
    <row r="624" spans="3:4" ht="15.75" customHeight="1" x14ac:dyDescent="0.25">
      <c r="C624" s="26"/>
      <c r="D624" s="26"/>
    </row>
    <row r="625" spans="3:4" ht="15.75" customHeight="1" x14ac:dyDescent="0.25">
      <c r="C625" s="26"/>
      <c r="D625" s="26"/>
    </row>
    <row r="626" spans="3:4" ht="15.75" customHeight="1" x14ac:dyDescent="0.25">
      <c r="C626" s="26"/>
      <c r="D626" s="26"/>
    </row>
    <row r="627" spans="3:4" ht="15.75" customHeight="1" x14ac:dyDescent="0.25">
      <c r="C627" s="26"/>
      <c r="D627" s="26"/>
    </row>
    <row r="628" spans="3:4" ht="15.75" customHeight="1" x14ac:dyDescent="0.25">
      <c r="C628" s="26"/>
      <c r="D628" s="26"/>
    </row>
    <row r="629" spans="3:4" ht="15.75" customHeight="1" x14ac:dyDescent="0.25">
      <c r="C629" s="26"/>
      <c r="D629" s="26"/>
    </row>
    <row r="630" spans="3:4" ht="15.75" customHeight="1" x14ac:dyDescent="0.25">
      <c r="C630" s="26"/>
      <c r="D630" s="26"/>
    </row>
    <row r="631" spans="3:4" ht="15.75" customHeight="1" x14ac:dyDescent="0.25">
      <c r="C631" s="26"/>
      <c r="D631" s="26"/>
    </row>
    <row r="632" spans="3:4" ht="15.75" customHeight="1" x14ac:dyDescent="0.25">
      <c r="C632" s="26"/>
      <c r="D632" s="26"/>
    </row>
    <row r="633" spans="3:4" ht="15.75" customHeight="1" x14ac:dyDescent="0.25">
      <c r="C633" s="26"/>
      <c r="D633" s="26"/>
    </row>
    <row r="634" spans="3:4" ht="15.75" customHeight="1" x14ac:dyDescent="0.25">
      <c r="C634" s="26"/>
      <c r="D634" s="26"/>
    </row>
    <row r="635" spans="3:4" ht="15.75" customHeight="1" x14ac:dyDescent="0.25">
      <c r="C635" s="26"/>
      <c r="D635" s="26"/>
    </row>
    <row r="636" spans="3:4" ht="15.75" customHeight="1" x14ac:dyDescent="0.25">
      <c r="C636" s="26"/>
      <c r="D636" s="26"/>
    </row>
    <row r="637" spans="3:4" ht="15.75" customHeight="1" x14ac:dyDescent="0.25">
      <c r="C637" s="26"/>
      <c r="D637" s="26"/>
    </row>
    <row r="638" spans="3:4" ht="15.75" customHeight="1" x14ac:dyDescent="0.25">
      <c r="C638" s="26"/>
      <c r="D638" s="26"/>
    </row>
    <row r="639" spans="3:4" ht="15.75" customHeight="1" x14ac:dyDescent="0.25">
      <c r="C639" s="26"/>
      <c r="D639" s="26"/>
    </row>
    <row r="640" spans="3:4" ht="15.75" customHeight="1" x14ac:dyDescent="0.25">
      <c r="C640" s="26"/>
      <c r="D640" s="26"/>
    </row>
    <row r="641" spans="3:4" ht="15.75" customHeight="1" x14ac:dyDescent="0.25">
      <c r="C641" s="26"/>
      <c r="D641" s="26"/>
    </row>
    <row r="642" spans="3:4" ht="15.75" customHeight="1" x14ac:dyDescent="0.25">
      <c r="C642" s="26"/>
      <c r="D642" s="26"/>
    </row>
    <row r="643" spans="3:4" ht="15.75" customHeight="1" x14ac:dyDescent="0.25">
      <c r="C643" s="26"/>
      <c r="D643" s="26"/>
    </row>
    <row r="644" spans="3:4" ht="15.75" customHeight="1" x14ac:dyDescent="0.25">
      <c r="C644" s="26"/>
      <c r="D644" s="26"/>
    </row>
    <row r="645" spans="3:4" ht="15.75" customHeight="1" x14ac:dyDescent="0.25">
      <c r="C645" s="26"/>
      <c r="D645" s="26"/>
    </row>
    <row r="646" spans="3:4" ht="15.75" customHeight="1" x14ac:dyDescent="0.25">
      <c r="C646" s="26"/>
      <c r="D646" s="26"/>
    </row>
    <row r="647" spans="3:4" ht="15.75" customHeight="1" x14ac:dyDescent="0.25">
      <c r="C647" s="26"/>
      <c r="D647" s="26"/>
    </row>
    <row r="648" spans="3:4" ht="15.75" customHeight="1" x14ac:dyDescent="0.25">
      <c r="C648" s="26"/>
      <c r="D648" s="26"/>
    </row>
    <row r="649" spans="3:4" ht="15.75" customHeight="1" x14ac:dyDescent="0.25">
      <c r="C649" s="26"/>
      <c r="D649" s="26"/>
    </row>
    <row r="650" spans="3:4" ht="15.75" customHeight="1" x14ac:dyDescent="0.25">
      <c r="C650" s="26"/>
      <c r="D650" s="26"/>
    </row>
    <row r="651" spans="3:4" ht="15.75" customHeight="1" x14ac:dyDescent="0.25">
      <c r="C651" s="26"/>
      <c r="D651" s="26"/>
    </row>
    <row r="652" spans="3:4" ht="15.75" customHeight="1" x14ac:dyDescent="0.25">
      <c r="C652" s="26"/>
      <c r="D652" s="26"/>
    </row>
    <row r="653" spans="3:4" ht="15.75" customHeight="1" x14ac:dyDescent="0.25">
      <c r="C653" s="26"/>
      <c r="D653" s="26"/>
    </row>
    <row r="654" spans="3:4" ht="15.75" customHeight="1" x14ac:dyDescent="0.25">
      <c r="C654" s="26"/>
      <c r="D654" s="26"/>
    </row>
    <row r="655" spans="3:4" ht="15.75" customHeight="1" x14ac:dyDescent="0.25">
      <c r="C655" s="26"/>
      <c r="D655" s="26"/>
    </row>
    <row r="656" spans="3:4" ht="15.75" customHeight="1" x14ac:dyDescent="0.25">
      <c r="C656" s="26"/>
      <c r="D656" s="26"/>
    </row>
    <row r="657" spans="3:4" ht="15.75" customHeight="1" x14ac:dyDescent="0.25">
      <c r="C657" s="26"/>
      <c r="D657" s="26"/>
    </row>
    <row r="658" spans="3:4" ht="15.75" customHeight="1" x14ac:dyDescent="0.25">
      <c r="C658" s="26"/>
      <c r="D658" s="26"/>
    </row>
    <row r="659" spans="3:4" ht="15.75" customHeight="1" x14ac:dyDescent="0.25">
      <c r="C659" s="26"/>
      <c r="D659" s="26"/>
    </row>
    <row r="660" spans="3:4" ht="15.75" customHeight="1" x14ac:dyDescent="0.25">
      <c r="C660" s="26"/>
      <c r="D660" s="26"/>
    </row>
    <row r="661" spans="3:4" ht="15.75" customHeight="1" x14ac:dyDescent="0.25">
      <c r="C661" s="26"/>
      <c r="D661" s="26"/>
    </row>
    <row r="662" spans="3:4" ht="15.75" customHeight="1" x14ac:dyDescent="0.25">
      <c r="C662" s="26"/>
      <c r="D662" s="26"/>
    </row>
    <row r="663" spans="3:4" ht="15.75" customHeight="1" x14ac:dyDescent="0.25">
      <c r="C663" s="26"/>
      <c r="D663" s="26"/>
    </row>
    <row r="664" spans="3:4" ht="15.75" customHeight="1" x14ac:dyDescent="0.25">
      <c r="C664" s="26"/>
      <c r="D664" s="26"/>
    </row>
    <row r="665" spans="3:4" ht="15.75" customHeight="1" x14ac:dyDescent="0.25">
      <c r="C665" s="26"/>
      <c r="D665" s="26"/>
    </row>
    <row r="666" spans="3:4" ht="15.75" customHeight="1" x14ac:dyDescent="0.25">
      <c r="C666" s="26"/>
      <c r="D666" s="26"/>
    </row>
    <row r="667" spans="3:4" ht="15.75" customHeight="1" x14ac:dyDescent="0.25">
      <c r="C667" s="26"/>
      <c r="D667" s="26"/>
    </row>
    <row r="668" spans="3:4" ht="15.75" customHeight="1" x14ac:dyDescent="0.25">
      <c r="C668" s="26"/>
      <c r="D668" s="26"/>
    </row>
    <row r="669" spans="3:4" ht="15.75" customHeight="1" x14ac:dyDescent="0.25">
      <c r="C669" s="26"/>
      <c r="D669" s="26"/>
    </row>
    <row r="670" spans="3:4" ht="15.75" customHeight="1" x14ac:dyDescent="0.25">
      <c r="C670" s="26"/>
      <c r="D670" s="26"/>
    </row>
    <row r="671" spans="3:4" ht="15.75" customHeight="1" x14ac:dyDescent="0.25">
      <c r="C671" s="26"/>
      <c r="D671" s="26"/>
    </row>
    <row r="672" spans="3:4" ht="15.75" customHeight="1" x14ac:dyDescent="0.25">
      <c r="C672" s="26"/>
      <c r="D672" s="26"/>
    </row>
    <row r="673" spans="3:4" ht="15.75" customHeight="1" x14ac:dyDescent="0.25">
      <c r="C673" s="26"/>
      <c r="D673" s="26"/>
    </row>
    <row r="674" spans="3:4" ht="15.75" customHeight="1" x14ac:dyDescent="0.25">
      <c r="C674" s="26"/>
      <c r="D674" s="26"/>
    </row>
    <row r="675" spans="3:4" ht="15.75" customHeight="1" x14ac:dyDescent="0.25">
      <c r="C675" s="26"/>
      <c r="D675" s="26"/>
    </row>
    <row r="676" spans="3:4" ht="15.75" customHeight="1" x14ac:dyDescent="0.25">
      <c r="C676" s="26"/>
      <c r="D676" s="26"/>
    </row>
    <row r="677" spans="3:4" ht="15.75" customHeight="1" x14ac:dyDescent="0.25">
      <c r="C677" s="26"/>
      <c r="D677" s="26"/>
    </row>
    <row r="678" spans="3:4" ht="15.75" customHeight="1" x14ac:dyDescent="0.25">
      <c r="C678" s="26"/>
      <c r="D678" s="26"/>
    </row>
    <row r="679" spans="3:4" ht="15.75" customHeight="1" x14ac:dyDescent="0.25">
      <c r="C679" s="26"/>
      <c r="D679" s="26"/>
    </row>
    <row r="680" spans="3:4" ht="15.75" customHeight="1" x14ac:dyDescent="0.25">
      <c r="C680" s="26"/>
      <c r="D680" s="26"/>
    </row>
    <row r="681" spans="3:4" ht="15.75" customHeight="1" x14ac:dyDescent="0.25">
      <c r="C681" s="26"/>
      <c r="D681" s="26"/>
    </row>
    <row r="682" spans="3:4" ht="15.75" customHeight="1" x14ac:dyDescent="0.25">
      <c r="C682" s="26"/>
      <c r="D682" s="26"/>
    </row>
    <row r="683" spans="3:4" ht="15.75" customHeight="1" x14ac:dyDescent="0.25">
      <c r="C683" s="26"/>
      <c r="D683" s="26"/>
    </row>
    <row r="684" spans="3:4" ht="15.75" customHeight="1" x14ac:dyDescent="0.25">
      <c r="C684" s="26"/>
      <c r="D684" s="26"/>
    </row>
    <row r="685" spans="3:4" ht="15.75" customHeight="1" x14ac:dyDescent="0.25">
      <c r="C685" s="26"/>
      <c r="D685" s="26"/>
    </row>
    <row r="686" spans="3:4" ht="15.75" customHeight="1" x14ac:dyDescent="0.25">
      <c r="C686" s="26"/>
      <c r="D686" s="26"/>
    </row>
    <row r="687" spans="3:4" ht="15.75" customHeight="1" x14ac:dyDescent="0.25">
      <c r="C687" s="26"/>
      <c r="D687" s="26"/>
    </row>
    <row r="688" spans="3:4" ht="15.75" customHeight="1" x14ac:dyDescent="0.25">
      <c r="C688" s="26"/>
      <c r="D688" s="26"/>
    </row>
    <row r="689" spans="3:4" ht="15.75" customHeight="1" x14ac:dyDescent="0.25">
      <c r="C689" s="26"/>
      <c r="D689" s="26"/>
    </row>
    <row r="690" spans="3:4" ht="15.75" customHeight="1" x14ac:dyDescent="0.25">
      <c r="C690" s="26"/>
      <c r="D690" s="26"/>
    </row>
    <row r="691" spans="3:4" ht="15.75" customHeight="1" x14ac:dyDescent="0.25">
      <c r="C691" s="26"/>
      <c r="D691" s="26"/>
    </row>
    <row r="692" spans="3:4" ht="15.75" customHeight="1" x14ac:dyDescent="0.25">
      <c r="C692" s="26"/>
      <c r="D692" s="26"/>
    </row>
    <row r="693" spans="3:4" ht="15.75" customHeight="1" x14ac:dyDescent="0.25">
      <c r="C693" s="26"/>
      <c r="D693" s="26"/>
    </row>
    <row r="694" spans="3:4" ht="15.75" customHeight="1" x14ac:dyDescent="0.25">
      <c r="C694" s="26"/>
      <c r="D694" s="26"/>
    </row>
    <row r="695" spans="3:4" ht="15.75" customHeight="1" x14ac:dyDescent="0.25">
      <c r="C695" s="26"/>
      <c r="D695" s="26"/>
    </row>
    <row r="696" spans="3:4" ht="15.75" customHeight="1" x14ac:dyDescent="0.25">
      <c r="C696" s="26"/>
      <c r="D696" s="26"/>
    </row>
    <row r="697" spans="3:4" ht="15.75" customHeight="1" x14ac:dyDescent="0.25">
      <c r="C697" s="26"/>
      <c r="D697" s="26"/>
    </row>
    <row r="698" spans="3:4" ht="15.75" customHeight="1" x14ac:dyDescent="0.25">
      <c r="C698" s="26"/>
      <c r="D698" s="26"/>
    </row>
    <row r="699" spans="3:4" ht="15.75" customHeight="1" x14ac:dyDescent="0.25">
      <c r="C699" s="26"/>
      <c r="D699" s="26"/>
    </row>
    <row r="700" spans="3:4" ht="15.75" customHeight="1" x14ac:dyDescent="0.25">
      <c r="C700" s="26"/>
      <c r="D700" s="26"/>
    </row>
    <row r="701" spans="3:4" ht="15.75" customHeight="1" x14ac:dyDescent="0.25">
      <c r="C701" s="26"/>
      <c r="D701" s="26"/>
    </row>
    <row r="702" spans="3:4" ht="15.75" customHeight="1" x14ac:dyDescent="0.25">
      <c r="C702" s="26"/>
      <c r="D702" s="26"/>
    </row>
    <row r="703" spans="3:4" ht="15.75" customHeight="1" x14ac:dyDescent="0.25">
      <c r="C703" s="26"/>
      <c r="D703" s="26"/>
    </row>
    <row r="704" spans="3:4" ht="15.75" customHeight="1" x14ac:dyDescent="0.25">
      <c r="C704" s="26"/>
      <c r="D704" s="26"/>
    </row>
    <row r="705" spans="3:4" ht="15.75" customHeight="1" x14ac:dyDescent="0.25">
      <c r="C705" s="26"/>
      <c r="D705" s="26"/>
    </row>
    <row r="706" spans="3:4" ht="15.75" customHeight="1" x14ac:dyDescent="0.25">
      <c r="C706" s="26"/>
      <c r="D706" s="26"/>
    </row>
    <row r="707" spans="3:4" ht="15.75" customHeight="1" x14ac:dyDescent="0.25">
      <c r="C707" s="26"/>
      <c r="D707" s="26"/>
    </row>
    <row r="708" spans="3:4" ht="15.75" customHeight="1" x14ac:dyDescent="0.25">
      <c r="C708" s="26"/>
      <c r="D708" s="26"/>
    </row>
    <row r="709" spans="3:4" ht="15.75" customHeight="1" x14ac:dyDescent="0.25">
      <c r="C709" s="26"/>
      <c r="D709" s="26"/>
    </row>
    <row r="710" spans="3:4" ht="15.75" customHeight="1" x14ac:dyDescent="0.25">
      <c r="C710" s="26"/>
      <c r="D710" s="26"/>
    </row>
    <row r="711" spans="3:4" ht="15.75" customHeight="1" x14ac:dyDescent="0.25">
      <c r="C711" s="26"/>
      <c r="D711" s="26"/>
    </row>
    <row r="712" spans="3:4" ht="15.75" customHeight="1" x14ac:dyDescent="0.25">
      <c r="C712" s="26"/>
      <c r="D712" s="26"/>
    </row>
    <row r="713" spans="3:4" ht="15.75" customHeight="1" x14ac:dyDescent="0.25">
      <c r="C713" s="26"/>
      <c r="D713" s="26"/>
    </row>
    <row r="714" spans="3:4" ht="15.75" customHeight="1" x14ac:dyDescent="0.25">
      <c r="C714" s="26"/>
      <c r="D714" s="26"/>
    </row>
    <row r="715" spans="3:4" ht="15.75" customHeight="1" x14ac:dyDescent="0.25">
      <c r="C715" s="26"/>
      <c r="D715" s="26"/>
    </row>
    <row r="716" spans="3:4" ht="15.75" customHeight="1" x14ac:dyDescent="0.25">
      <c r="C716" s="26"/>
      <c r="D716" s="26"/>
    </row>
    <row r="717" spans="3:4" ht="15.75" customHeight="1" x14ac:dyDescent="0.25">
      <c r="C717" s="26"/>
      <c r="D717" s="26"/>
    </row>
    <row r="718" spans="3:4" ht="15.75" customHeight="1" x14ac:dyDescent="0.25">
      <c r="C718" s="26"/>
      <c r="D718" s="26"/>
    </row>
    <row r="719" spans="3:4" ht="15.75" customHeight="1" x14ac:dyDescent="0.25">
      <c r="C719" s="26"/>
      <c r="D719" s="26"/>
    </row>
    <row r="720" spans="3:4" ht="15.75" customHeight="1" x14ac:dyDescent="0.25">
      <c r="C720" s="26"/>
      <c r="D720" s="26"/>
    </row>
    <row r="721" spans="3:4" ht="15.75" customHeight="1" x14ac:dyDescent="0.25">
      <c r="C721" s="26"/>
      <c r="D721" s="26"/>
    </row>
    <row r="722" spans="3:4" ht="15.75" customHeight="1" x14ac:dyDescent="0.25">
      <c r="C722" s="26"/>
      <c r="D722" s="26"/>
    </row>
    <row r="723" spans="3:4" ht="15.75" customHeight="1" x14ac:dyDescent="0.25">
      <c r="C723" s="26"/>
      <c r="D723" s="26"/>
    </row>
    <row r="724" spans="3:4" ht="15.75" customHeight="1" x14ac:dyDescent="0.25">
      <c r="C724" s="26"/>
      <c r="D724" s="26"/>
    </row>
    <row r="725" spans="3:4" ht="15.75" customHeight="1" x14ac:dyDescent="0.25">
      <c r="C725" s="26"/>
      <c r="D725" s="26"/>
    </row>
    <row r="726" spans="3:4" ht="15.75" customHeight="1" x14ac:dyDescent="0.25">
      <c r="C726" s="26"/>
      <c r="D726" s="26"/>
    </row>
    <row r="727" spans="3:4" ht="15.75" customHeight="1" x14ac:dyDescent="0.25">
      <c r="C727" s="26"/>
      <c r="D727" s="26"/>
    </row>
    <row r="728" spans="3:4" ht="15.75" customHeight="1" x14ac:dyDescent="0.25">
      <c r="C728" s="26"/>
      <c r="D728" s="26"/>
    </row>
    <row r="729" spans="3:4" ht="15.75" customHeight="1" x14ac:dyDescent="0.25">
      <c r="C729" s="26"/>
      <c r="D729" s="26"/>
    </row>
    <row r="730" spans="3:4" ht="15.75" customHeight="1" x14ac:dyDescent="0.25">
      <c r="C730" s="26"/>
      <c r="D730" s="26"/>
    </row>
    <row r="731" spans="3:4" ht="15.75" customHeight="1" x14ac:dyDescent="0.25">
      <c r="C731" s="26"/>
      <c r="D731" s="26"/>
    </row>
    <row r="732" spans="3:4" ht="15.75" customHeight="1" x14ac:dyDescent="0.25">
      <c r="C732" s="26"/>
      <c r="D732" s="26"/>
    </row>
    <row r="733" spans="3:4" ht="15.75" customHeight="1" x14ac:dyDescent="0.25">
      <c r="C733" s="26"/>
      <c r="D733" s="26"/>
    </row>
    <row r="734" spans="3:4" ht="15.75" customHeight="1" x14ac:dyDescent="0.25">
      <c r="C734" s="26"/>
      <c r="D734" s="26"/>
    </row>
    <row r="735" spans="3:4" ht="15.75" customHeight="1" x14ac:dyDescent="0.25">
      <c r="C735" s="26"/>
      <c r="D735" s="26"/>
    </row>
    <row r="736" spans="3:4" ht="15.75" customHeight="1" x14ac:dyDescent="0.25">
      <c r="C736" s="26"/>
      <c r="D736" s="26"/>
    </row>
    <row r="737" spans="3:4" ht="15.75" customHeight="1" x14ac:dyDescent="0.25">
      <c r="C737" s="26"/>
      <c r="D737" s="26"/>
    </row>
    <row r="738" spans="3:4" ht="15.75" customHeight="1" x14ac:dyDescent="0.25">
      <c r="C738" s="26"/>
      <c r="D738" s="26"/>
    </row>
    <row r="739" spans="3:4" ht="15.75" customHeight="1" x14ac:dyDescent="0.25">
      <c r="C739" s="26"/>
      <c r="D739" s="26"/>
    </row>
    <row r="740" spans="3:4" ht="15.75" customHeight="1" x14ac:dyDescent="0.25">
      <c r="C740" s="26"/>
      <c r="D740" s="26"/>
    </row>
    <row r="741" spans="3:4" ht="15.75" customHeight="1" x14ac:dyDescent="0.25">
      <c r="C741" s="26"/>
      <c r="D741" s="26"/>
    </row>
    <row r="742" spans="3:4" ht="15.75" customHeight="1" x14ac:dyDescent="0.25">
      <c r="C742" s="26"/>
      <c r="D742" s="26"/>
    </row>
    <row r="743" spans="3:4" ht="15.75" customHeight="1" x14ac:dyDescent="0.25">
      <c r="C743" s="26"/>
      <c r="D743" s="26"/>
    </row>
    <row r="744" spans="3:4" ht="15.75" customHeight="1" x14ac:dyDescent="0.25">
      <c r="C744" s="26"/>
      <c r="D744" s="26"/>
    </row>
    <row r="745" spans="3:4" ht="15.75" customHeight="1" x14ac:dyDescent="0.25">
      <c r="C745" s="26"/>
      <c r="D745" s="26"/>
    </row>
    <row r="746" spans="3:4" ht="15.75" customHeight="1" x14ac:dyDescent="0.25">
      <c r="C746" s="26"/>
      <c r="D746" s="26"/>
    </row>
    <row r="747" spans="3:4" ht="15.75" customHeight="1" x14ac:dyDescent="0.25">
      <c r="C747" s="26"/>
      <c r="D747" s="26"/>
    </row>
    <row r="748" spans="3:4" ht="15.75" customHeight="1" x14ac:dyDescent="0.25">
      <c r="C748" s="26"/>
      <c r="D748" s="26"/>
    </row>
    <row r="749" spans="3:4" ht="15.75" customHeight="1" x14ac:dyDescent="0.25">
      <c r="C749" s="26"/>
      <c r="D749" s="26"/>
    </row>
    <row r="750" spans="3:4" ht="15.75" customHeight="1" x14ac:dyDescent="0.25">
      <c r="C750" s="26"/>
      <c r="D750" s="26"/>
    </row>
    <row r="751" spans="3:4" ht="15.75" customHeight="1" x14ac:dyDescent="0.25">
      <c r="C751" s="26"/>
      <c r="D751" s="26"/>
    </row>
    <row r="752" spans="3:4" ht="15.75" customHeight="1" x14ac:dyDescent="0.25">
      <c r="C752" s="26"/>
      <c r="D752" s="26"/>
    </row>
    <row r="753" spans="3:4" ht="15.75" customHeight="1" x14ac:dyDescent="0.25">
      <c r="C753" s="26"/>
      <c r="D753" s="26"/>
    </row>
    <row r="754" spans="3:4" ht="15.75" customHeight="1" x14ac:dyDescent="0.25">
      <c r="C754" s="26"/>
      <c r="D754" s="26"/>
    </row>
    <row r="755" spans="3:4" ht="15.75" customHeight="1" x14ac:dyDescent="0.25">
      <c r="C755" s="26"/>
      <c r="D755" s="26"/>
    </row>
    <row r="756" spans="3:4" ht="15.75" customHeight="1" x14ac:dyDescent="0.25">
      <c r="C756" s="26"/>
      <c r="D756" s="26"/>
    </row>
    <row r="757" spans="3:4" ht="15.75" customHeight="1" x14ac:dyDescent="0.25">
      <c r="C757" s="26"/>
      <c r="D757" s="26"/>
    </row>
    <row r="758" spans="3:4" ht="15.75" customHeight="1" x14ac:dyDescent="0.25">
      <c r="C758" s="26"/>
      <c r="D758" s="26"/>
    </row>
    <row r="759" spans="3:4" ht="15.75" customHeight="1" x14ac:dyDescent="0.25">
      <c r="C759" s="26"/>
      <c r="D759" s="26"/>
    </row>
    <row r="760" spans="3:4" ht="15.75" customHeight="1" x14ac:dyDescent="0.25">
      <c r="C760" s="26"/>
      <c r="D760" s="26"/>
    </row>
    <row r="761" spans="3:4" ht="15.75" customHeight="1" x14ac:dyDescent="0.25">
      <c r="C761" s="26"/>
      <c r="D761" s="26"/>
    </row>
    <row r="762" spans="3:4" ht="15.75" customHeight="1" x14ac:dyDescent="0.25">
      <c r="C762" s="26"/>
      <c r="D762" s="26"/>
    </row>
    <row r="763" spans="3:4" ht="15.75" customHeight="1" x14ac:dyDescent="0.25">
      <c r="C763" s="26"/>
      <c r="D763" s="26"/>
    </row>
    <row r="764" spans="3:4" ht="15.75" customHeight="1" x14ac:dyDescent="0.25">
      <c r="C764" s="26"/>
      <c r="D764" s="26"/>
    </row>
    <row r="765" spans="3:4" ht="15.75" customHeight="1" x14ac:dyDescent="0.25">
      <c r="C765" s="26"/>
      <c r="D765" s="26"/>
    </row>
    <row r="766" spans="3:4" ht="15.75" customHeight="1" x14ac:dyDescent="0.25">
      <c r="C766" s="26"/>
      <c r="D766" s="26"/>
    </row>
    <row r="767" spans="3:4" ht="15.75" customHeight="1" x14ac:dyDescent="0.25">
      <c r="C767" s="26"/>
      <c r="D767" s="26"/>
    </row>
    <row r="768" spans="3:4" ht="15.75" customHeight="1" x14ac:dyDescent="0.25">
      <c r="C768" s="26"/>
      <c r="D768" s="26"/>
    </row>
    <row r="769" spans="3:4" ht="15.75" customHeight="1" x14ac:dyDescent="0.25">
      <c r="C769" s="26"/>
      <c r="D769" s="26"/>
    </row>
    <row r="770" spans="3:4" ht="15.75" customHeight="1" x14ac:dyDescent="0.25">
      <c r="C770" s="26"/>
      <c r="D770" s="26"/>
    </row>
    <row r="771" spans="3:4" ht="15.75" customHeight="1" x14ac:dyDescent="0.25">
      <c r="C771" s="26"/>
      <c r="D771" s="26"/>
    </row>
    <row r="772" spans="3:4" ht="15.75" customHeight="1" x14ac:dyDescent="0.25">
      <c r="C772" s="26"/>
      <c r="D772" s="26"/>
    </row>
    <row r="773" spans="3:4" ht="15.75" customHeight="1" x14ac:dyDescent="0.25">
      <c r="C773" s="26"/>
      <c r="D773" s="26"/>
    </row>
    <row r="774" spans="3:4" ht="15.75" customHeight="1" x14ac:dyDescent="0.25">
      <c r="C774" s="26"/>
      <c r="D774" s="26"/>
    </row>
    <row r="775" spans="3:4" ht="15.75" customHeight="1" x14ac:dyDescent="0.25">
      <c r="C775" s="26"/>
      <c r="D775" s="26"/>
    </row>
    <row r="776" spans="3:4" ht="15.75" customHeight="1" x14ac:dyDescent="0.25">
      <c r="C776" s="26"/>
      <c r="D776" s="26"/>
    </row>
    <row r="777" spans="3:4" ht="15.75" customHeight="1" x14ac:dyDescent="0.25">
      <c r="C777" s="26"/>
      <c r="D777" s="26"/>
    </row>
    <row r="778" spans="3:4" ht="15.75" customHeight="1" x14ac:dyDescent="0.25">
      <c r="C778" s="26"/>
      <c r="D778" s="26"/>
    </row>
    <row r="779" spans="3:4" ht="15.75" customHeight="1" x14ac:dyDescent="0.25">
      <c r="C779" s="26"/>
      <c r="D779" s="26"/>
    </row>
    <row r="780" spans="3:4" ht="15.75" customHeight="1" x14ac:dyDescent="0.25">
      <c r="C780" s="26"/>
      <c r="D780" s="26"/>
    </row>
    <row r="781" spans="3:4" ht="15.75" customHeight="1" x14ac:dyDescent="0.25">
      <c r="C781" s="26"/>
      <c r="D781" s="26"/>
    </row>
    <row r="782" spans="3:4" ht="15.75" customHeight="1" x14ac:dyDescent="0.25">
      <c r="C782" s="26"/>
      <c r="D782" s="26"/>
    </row>
    <row r="783" spans="3:4" ht="15.75" customHeight="1" x14ac:dyDescent="0.25">
      <c r="C783" s="26"/>
      <c r="D783" s="26"/>
    </row>
    <row r="784" spans="3:4" ht="15.75" customHeight="1" x14ac:dyDescent="0.25">
      <c r="C784" s="26"/>
      <c r="D784" s="26"/>
    </row>
    <row r="785" spans="3:4" ht="15.75" customHeight="1" x14ac:dyDescent="0.25">
      <c r="C785" s="26"/>
      <c r="D785" s="26"/>
    </row>
    <row r="786" spans="3:4" ht="15.75" customHeight="1" x14ac:dyDescent="0.25">
      <c r="C786" s="26"/>
      <c r="D786" s="26"/>
    </row>
    <row r="787" spans="3:4" ht="15.75" customHeight="1" x14ac:dyDescent="0.25">
      <c r="C787" s="26"/>
      <c r="D787" s="26"/>
    </row>
    <row r="788" spans="3:4" ht="15.75" customHeight="1" x14ac:dyDescent="0.25">
      <c r="C788" s="26"/>
      <c r="D788" s="26"/>
    </row>
    <row r="789" spans="3:4" ht="15.75" customHeight="1" x14ac:dyDescent="0.25">
      <c r="C789" s="26"/>
      <c r="D789" s="26"/>
    </row>
    <row r="790" spans="3:4" ht="15.75" customHeight="1" x14ac:dyDescent="0.25">
      <c r="C790" s="26"/>
      <c r="D790" s="26"/>
    </row>
    <row r="791" spans="3:4" ht="15.75" customHeight="1" x14ac:dyDescent="0.25">
      <c r="C791" s="26"/>
      <c r="D791" s="26"/>
    </row>
    <row r="792" spans="3:4" ht="15.75" customHeight="1" x14ac:dyDescent="0.25">
      <c r="C792" s="26"/>
      <c r="D792" s="26"/>
    </row>
    <row r="793" spans="3:4" ht="15.75" customHeight="1" x14ac:dyDescent="0.25">
      <c r="C793" s="26"/>
      <c r="D793" s="26"/>
    </row>
    <row r="794" spans="3:4" ht="15.75" customHeight="1" x14ac:dyDescent="0.25">
      <c r="C794" s="26"/>
      <c r="D794" s="26"/>
    </row>
    <row r="795" spans="3:4" ht="15.75" customHeight="1" x14ac:dyDescent="0.25">
      <c r="C795" s="26"/>
      <c r="D795" s="26"/>
    </row>
    <row r="796" spans="3:4" ht="15.75" customHeight="1" x14ac:dyDescent="0.25">
      <c r="C796" s="26"/>
      <c r="D796" s="26"/>
    </row>
    <row r="797" spans="3:4" ht="15.75" customHeight="1" x14ac:dyDescent="0.25">
      <c r="C797" s="26"/>
      <c r="D797" s="26"/>
    </row>
    <row r="798" spans="3:4" ht="15.75" customHeight="1" x14ac:dyDescent="0.25">
      <c r="C798" s="26"/>
      <c r="D798" s="26"/>
    </row>
    <row r="799" spans="3:4" ht="15.75" customHeight="1" x14ac:dyDescent="0.25">
      <c r="C799" s="26"/>
      <c r="D799" s="26"/>
    </row>
    <row r="800" spans="3:4" ht="15.75" customHeight="1" x14ac:dyDescent="0.25">
      <c r="C800" s="26"/>
      <c r="D800" s="26"/>
    </row>
    <row r="801" spans="3:4" ht="15.75" customHeight="1" x14ac:dyDescent="0.25">
      <c r="C801" s="26"/>
      <c r="D801" s="26"/>
    </row>
    <row r="802" spans="3:4" ht="15.75" customHeight="1" x14ac:dyDescent="0.25">
      <c r="C802" s="26"/>
      <c r="D802" s="26"/>
    </row>
    <row r="803" spans="3:4" ht="15.75" customHeight="1" x14ac:dyDescent="0.25">
      <c r="C803" s="26"/>
      <c r="D803" s="26"/>
    </row>
    <row r="804" spans="3:4" ht="15.75" customHeight="1" x14ac:dyDescent="0.25">
      <c r="C804" s="26"/>
      <c r="D804" s="26"/>
    </row>
    <row r="805" spans="3:4" ht="15.75" customHeight="1" x14ac:dyDescent="0.25">
      <c r="C805" s="26"/>
      <c r="D805" s="26"/>
    </row>
    <row r="806" spans="3:4" ht="15.75" customHeight="1" x14ac:dyDescent="0.25">
      <c r="C806" s="26"/>
      <c r="D806" s="26"/>
    </row>
    <row r="807" spans="3:4" ht="15.75" customHeight="1" x14ac:dyDescent="0.25">
      <c r="C807" s="26"/>
      <c r="D807" s="26"/>
    </row>
    <row r="808" spans="3:4" ht="15.75" customHeight="1" x14ac:dyDescent="0.25">
      <c r="C808" s="26"/>
      <c r="D808" s="26"/>
    </row>
    <row r="809" spans="3:4" ht="15.75" customHeight="1" x14ac:dyDescent="0.25">
      <c r="C809" s="26"/>
      <c r="D809" s="26"/>
    </row>
    <row r="810" spans="3:4" ht="15.75" customHeight="1" x14ac:dyDescent="0.25">
      <c r="C810" s="26"/>
      <c r="D810" s="26"/>
    </row>
    <row r="811" spans="3:4" ht="15.75" customHeight="1" x14ac:dyDescent="0.25">
      <c r="C811" s="26"/>
      <c r="D811" s="26"/>
    </row>
    <row r="812" spans="3:4" ht="15.75" customHeight="1" x14ac:dyDescent="0.25">
      <c r="C812" s="26"/>
      <c r="D812" s="26"/>
    </row>
    <row r="813" spans="3:4" ht="15.75" customHeight="1" x14ac:dyDescent="0.25">
      <c r="C813" s="26"/>
      <c r="D813" s="26"/>
    </row>
    <row r="814" spans="3:4" ht="15.75" customHeight="1" x14ac:dyDescent="0.25">
      <c r="C814" s="26"/>
      <c r="D814" s="26"/>
    </row>
    <row r="815" spans="3:4" ht="15.75" customHeight="1" x14ac:dyDescent="0.25">
      <c r="C815" s="26"/>
      <c r="D815" s="26"/>
    </row>
    <row r="816" spans="3:4" ht="15.75" customHeight="1" x14ac:dyDescent="0.25">
      <c r="C816" s="26"/>
      <c r="D816" s="26"/>
    </row>
    <row r="817" spans="3:4" ht="15.75" customHeight="1" x14ac:dyDescent="0.25">
      <c r="C817" s="26"/>
      <c r="D817" s="26"/>
    </row>
    <row r="818" spans="3:4" ht="15.75" customHeight="1" x14ac:dyDescent="0.25">
      <c r="C818" s="26"/>
      <c r="D818" s="26"/>
    </row>
    <row r="819" spans="3:4" ht="15.75" customHeight="1" x14ac:dyDescent="0.25">
      <c r="C819" s="26"/>
      <c r="D819" s="26"/>
    </row>
    <row r="820" spans="3:4" ht="15.75" customHeight="1" x14ac:dyDescent="0.25">
      <c r="C820" s="26"/>
      <c r="D820" s="26"/>
    </row>
    <row r="821" spans="3:4" ht="15.75" customHeight="1" x14ac:dyDescent="0.25">
      <c r="C821" s="26"/>
      <c r="D821" s="26"/>
    </row>
    <row r="822" spans="3:4" ht="15.75" customHeight="1" x14ac:dyDescent="0.25">
      <c r="C822" s="26"/>
      <c r="D822" s="26"/>
    </row>
    <row r="823" spans="3:4" ht="15.75" customHeight="1" x14ac:dyDescent="0.25">
      <c r="C823" s="26"/>
      <c r="D823" s="26"/>
    </row>
    <row r="824" spans="3:4" ht="15.75" customHeight="1" x14ac:dyDescent="0.25">
      <c r="C824" s="26"/>
      <c r="D824" s="26"/>
    </row>
    <row r="825" spans="3:4" ht="15.75" customHeight="1" x14ac:dyDescent="0.25">
      <c r="C825" s="26"/>
      <c r="D825" s="26"/>
    </row>
    <row r="826" spans="3:4" ht="15.75" customHeight="1" x14ac:dyDescent="0.25">
      <c r="C826" s="26"/>
      <c r="D826" s="26"/>
    </row>
    <row r="827" spans="3:4" ht="15.75" customHeight="1" x14ac:dyDescent="0.25">
      <c r="C827" s="26"/>
      <c r="D827" s="26"/>
    </row>
    <row r="828" spans="3:4" ht="15.75" customHeight="1" x14ac:dyDescent="0.25">
      <c r="C828" s="26"/>
      <c r="D828" s="26"/>
    </row>
    <row r="829" spans="3:4" ht="15.75" customHeight="1" x14ac:dyDescent="0.25">
      <c r="C829" s="26"/>
      <c r="D829" s="26"/>
    </row>
    <row r="830" spans="3:4" ht="15.75" customHeight="1" x14ac:dyDescent="0.25">
      <c r="C830" s="26"/>
      <c r="D830" s="26"/>
    </row>
    <row r="831" spans="3:4" ht="15.75" customHeight="1" x14ac:dyDescent="0.25">
      <c r="C831" s="26"/>
      <c r="D831" s="26"/>
    </row>
    <row r="832" spans="3:4" ht="15.75" customHeight="1" x14ac:dyDescent="0.25">
      <c r="C832" s="26"/>
      <c r="D832" s="26"/>
    </row>
    <row r="833" spans="3:4" ht="15.75" customHeight="1" x14ac:dyDescent="0.25">
      <c r="C833" s="26"/>
      <c r="D833" s="26"/>
    </row>
    <row r="834" spans="3:4" ht="15.75" customHeight="1" x14ac:dyDescent="0.25">
      <c r="C834" s="26"/>
      <c r="D834" s="26"/>
    </row>
    <row r="835" spans="3:4" ht="15.75" customHeight="1" x14ac:dyDescent="0.25">
      <c r="C835" s="26"/>
      <c r="D835" s="26"/>
    </row>
    <row r="836" spans="3:4" ht="15.75" customHeight="1" x14ac:dyDescent="0.25">
      <c r="C836" s="26"/>
      <c r="D836" s="26"/>
    </row>
    <row r="837" spans="3:4" ht="15.75" customHeight="1" x14ac:dyDescent="0.25">
      <c r="C837" s="26"/>
      <c r="D837" s="26"/>
    </row>
    <row r="838" spans="3:4" ht="15.75" customHeight="1" x14ac:dyDescent="0.25">
      <c r="C838" s="26"/>
      <c r="D838" s="26"/>
    </row>
    <row r="839" spans="3:4" ht="15.75" customHeight="1" x14ac:dyDescent="0.25">
      <c r="C839" s="26"/>
      <c r="D839" s="26"/>
    </row>
    <row r="840" spans="3:4" ht="15.75" customHeight="1" x14ac:dyDescent="0.25">
      <c r="C840" s="26"/>
      <c r="D840" s="26"/>
    </row>
    <row r="841" spans="3:4" ht="15.75" customHeight="1" x14ac:dyDescent="0.25">
      <c r="C841" s="26"/>
      <c r="D841" s="26"/>
    </row>
    <row r="842" spans="3:4" ht="15.75" customHeight="1" x14ac:dyDescent="0.25">
      <c r="C842" s="26"/>
      <c r="D842" s="26"/>
    </row>
    <row r="843" spans="3:4" ht="15.75" customHeight="1" x14ac:dyDescent="0.25">
      <c r="C843" s="26"/>
      <c r="D843" s="26"/>
    </row>
    <row r="844" spans="3:4" ht="15.75" customHeight="1" x14ac:dyDescent="0.25">
      <c r="C844" s="26"/>
      <c r="D844" s="26"/>
    </row>
    <row r="845" spans="3:4" ht="15.75" customHeight="1" x14ac:dyDescent="0.25">
      <c r="C845" s="26"/>
      <c r="D845" s="26"/>
    </row>
    <row r="846" spans="3:4" ht="15.75" customHeight="1" x14ac:dyDescent="0.25">
      <c r="C846" s="26"/>
      <c r="D846" s="26"/>
    </row>
    <row r="847" spans="3:4" ht="15.75" customHeight="1" x14ac:dyDescent="0.25">
      <c r="C847" s="26"/>
      <c r="D847" s="26"/>
    </row>
    <row r="848" spans="3:4" ht="15.75" customHeight="1" x14ac:dyDescent="0.25">
      <c r="C848" s="26"/>
      <c r="D848" s="26"/>
    </row>
    <row r="849" spans="3:4" ht="15.75" customHeight="1" x14ac:dyDescent="0.25">
      <c r="C849" s="26"/>
      <c r="D849" s="26"/>
    </row>
    <row r="850" spans="3:4" ht="15.75" customHeight="1" x14ac:dyDescent="0.25">
      <c r="C850" s="26"/>
      <c r="D850" s="26"/>
    </row>
    <row r="851" spans="3:4" ht="15.75" customHeight="1" x14ac:dyDescent="0.25">
      <c r="C851" s="26"/>
      <c r="D851" s="26"/>
    </row>
    <row r="852" spans="3:4" ht="15.75" customHeight="1" x14ac:dyDescent="0.25">
      <c r="C852" s="26"/>
      <c r="D852" s="26"/>
    </row>
    <row r="853" spans="3:4" ht="15.75" customHeight="1" x14ac:dyDescent="0.25">
      <c r="C853" s="26"/>
      <c r="D853" s="26"/>
    </row>
    <row r="854" spans="3:4" ht="15.75" customHeight="1" x14ac:dyDescent="0.25">
      <c r="C854" s="26"/>
      <c r="D854" s="26"/>
    </row>
    <row r="855" spans="3:4" ht="15.75" customHeight="1" x14ac:dyDescent="0.25">
      <c r="C855" s="26"/>
      <c r="D855" s="26"/>
    </row>
    <row r="856" spans="3:4" ht="15.75" customHeight="1" x14ac:dyDescent="0.25">
      <c r="C856" s="26"/>
      <c r="D856" s="26"/>
    </row>
    <row r="857" spans="3:4" ht="15.75" customHeight="1" x14ac:dyDescent="0.25">
      <c r="C857" s="26"/>
      <c r="D857" s="26"/>
    </row>
    <row r="858" spans="3:4" ht="15.75" customHeight="1" x14ac:dyDescent="0.25">
      <c r="C858" s="26"/>
      <c r="D858" s="26"/>
    </row>
    <row r="859" spans="3:4" ht="15.75" customHeight="1" x14ac:dyDescent="0.25">
      <c r="C859" s="26"/>
      <c r="D859" s="26"/>
    </row>
    <row r="860" spans="3:4" ht="15.75" customHeight="1" x14ac:dyDescent="0.25">
      <c r="C860" s="26"/>
      <c r="D860" s="26"/>
    </row>
    <row r="861" spans="3:4" ht="15.75" customHeight="1" x14ac:dyDescent="0.25">
      <c r="C861" s="26"/>
      <c r="D861" s="26"/>
    </row>
    <row r="862" spans="3:4" ht="15.75" customHeight="1" x14ac:dyDescent="0.25">
      <c r="C862" s="26"/>
      <c r="D862" s="26"/>
    </row>
    <row r="863" spans="3:4" ht="15.75" customHeight="1" x14ac:dyDescent="0.25">
      <c r="C863" s="26"/>
      <c r="D863" s="26"/>
    </row>
    <row r="864" spans="3:4" ht="15.75" customHeight="1" x14ac:dyDescent="0.25">
      <c r="C864" s="26"/>
      <c r="D864" s="26"/>
    </row>
    <row r="865" spans="3:4" ht="15.75" customHeight="1" x14ac:dyDescent="0.25">
      <c r="C865" s="26"/>
      <c r="D865" s="26"/>
    </row>
    <row r="866" spans="3:4" ht="15.75" customHeight="1" x14ac:dyDescent="0.25">
      <c r="C866" s="26"/>
      <c r="D866" s="26"/>
    </row>
    <row r="867" spans="3:4" ht="15.75" customHeight="1" x14ac:dyDescent="0.25">
      <c r="C867" s="26"/>
      <c r="D867" s="26"/>
    </row>
    <row r="868" spans="3:4" ht="15.75" customHeight="1" x14ac:dyDescent="0.25">
      <c r="C868" s="26"/>
      <c r="D868" s="26"/>
    </row>
    <row r="869" spans="3:4" ht="15.75" customHeight="1" x14ac:dyDescent="0.25">
      <c r="C869" s="26"/>
      <c r="D869" s="26"/>
    </row>
    <row r="870" spans="3:4" ht="15.75" customHeight="1" x14ac:dyDescent="0.25">
      <c r="C870" s="26"/>
      <c r="D870" s="26"/>
    </row>
    <row r="871" spans="3:4" ht="15.75" customHeight="1" x14ac:dyDescent="0.25">
      <c r="C871" s="26"/>
      <c r="D871" s="26"/>
    </row>
    <row r="872" spans="3:4" ht="15.75" customHeight="1" x14ac:dyDescent="0.25">
      <c r="C872" s="26"/>
      <c r="D872" s="26"/>
    </row>
    <row r="873" spans="3:4" ht="15.75" customHeight="1" x14ac:dyDescent="0.25">
      <c r="C873" s="26"/>
      <c r="D873" s="26"/>
    </row>
    <row r="874" spans="3:4" ht="15.75" customHeight="1" x14ac:dyDescent="0.25">
      <c r="C874" s="26"/>
      <c r="D874" s="26"/>
    </row>
    <row r="875" spans="3:4" ht="15.75" customHeight="1" x14ac:dyDescent="0.25">
      <c r="C875" s="26"/>
      <c r="D875" s="26"/>
    </row>
    <row r="876" spans="3:4" ht="15.75" customHeight="1" x14ac:dyDescent="0.25">
      <c r="C876" s="26"/>
      <c r="D876" s="26"/>
    </row>
    <row r="877" spans="3:4" ht="15.75" customHeight="1" x14ac:dyDescent="0.25">
      <c r="C877" s="26"/>
      <c r="D877" s="26"/>
    </row>
    <row r="878" spans="3:4" ht="15.75" customHeight="1" x14ac:dyDescent="0.25">
      <c r="C878" s="26"/>
      <c r="D878" s="26"/>
    </row>
    <row r="879" spans="3:4" ht="15.75" customHeight="1" x14ac:dyDescent="0.25">
      <c r="C879" s="26"/>
      <c r="D879" s="26"/>
    </row>
    <row r="880" spans="3:4" ht="15.75" customHeight="1" x14ac:dyDescent="0.25">
      <c r="C880" s="26"/>
      <c r="D880" s="26"/>
    </row>
    <row r="881" spans="3:4" ht="15.75" customHeight="1" x14ac:dyDescent="0.25">
      <c r="C881" s="26"/>
      <c r="D881" s="26"/>
    </row>
    <row r="882" spans="3:4" ht="15.75" customHeight="1" x14ac:dyDescent="0.25">
      <c r="C882" s="26"/>
      <c r="D882" s="26"/>
    </row>
    <row r="883" spans="3:4" ht="15.75" customHeight="1" x14ac:dyDescent="0.25">
      <c r="C883" s="26"/>
      <c r="D883" s="26"/>
    </row>
    <row r="884" spans="3:4" ht="15.75" customHeight="1" x14ac:dyDescent="0.25">
      <c r="C884" s="26"/>
      <c r="D884" s="26"/>
    </row>
    <row r="885" spans="3:4" ht="15.75" customHeight="1" x14ac:dyDescent="0.25">
      <c r="C885" s="26"/>
      <c r="D885" s="26"/>
    </row>
    <row r="886" spans="3:4" ht="15.75" customHeight="1" x14ac:dyDescent="0.25">
      <c r="C886" s="26"/>
      <c r="D886" s="26"/>
    </row>
    <row r="887" spans="3:4" ht="15.75" customHeight="1" x14ac:dyDescent="0.25">
      <c r="C887" s="26"/>
      <c r="D887" s="26"/>
    </row>
    <row r="888" spans="3:4" ht="15.75" customHeight="1" x14ac:dyDescent="0.25">
      <c r="C888" s="26"/>
      <c r="D888" s="26"/>
    </row>
    <row r="889" spans="3:4" ht="15.75" customHeight="1" x14ac:dyDescent="0.25">
      <c r="C889" s="26"/>
      <c r="D889" s="26"/>
    </row>
    <row r="890" spans="3:4" ht="15.75" customHeight="1" x14ac:dyDescent="0.25">
      <c r="C890" s="26"/>
      <c r="D890" s="26"/>
    </row>
    <row r="891" spans="3:4" ht="15.75" customHeight="1" x14ac:dyDescent="0.25">
      <c r="C891" s="26"/>
      <c r="D891" s="26"/>
    </row>
    <row r="892" spans="3:4" ht="15.75" customHeight="1" x14ac:dyDescent="0.25">
      <c r="C892" s="26"/>
      <c r="D892" s="26"/>
    </row>
    <row r="893" spans="3:4" ht="15.75" customHeight="1" x14ac:dyDescent="0.25">
      <c r="C893" s="26"/>
      <c r="D893" s="26"/>
    </row>
    <row r="894" spans="3:4" ht="15.75" customHeight="1" x14ac:dyDescent="0.25">
      <c r="C894" s="26"/>
      <c r="D894" s="26"/>
    </row>
    <row r="895" spans="3:4" ht="15.75" customHeight="1" x14ac:dyDescent="0.25">
      <c r="C895" s="26"/>
      <c r="D895" s="26"/>
    </row>
    <row r="896" spans="3:4" ht="15.75" customHeight="1" x14ac:dyDescent="0.25">
      <c r="C896" s="26"/>
      <c r="D896" s="26"/>
    </row>
    <row r="897" spans="3:4" ht="15.75" customHeight="1" x14ac:dyDescent="0.25">
      <c r="C897" s="26"/>
      <c r="D897" s="26"/>
    </row>
    <row r="898" spans="3:4" ht="15.75" customHeight="1" x14ac:dyDescent="0.25">
      <c r="C898" s="26"/>
      <c r="D898" s="26"/>
    </row>
    <row r="899" spans="3:4" ht="15.75" customHeight="1" x14ac:dyDescent="0.25">
      <c r="C899" s="26"/>
      <c r="D899" s="26"/>
    </row>
    <row r="900" spans="3:4" ht="15.75" customHeight="1" x14ac:dyDescent="0.25">
      <c r="C900" s="26"/>
      <c r="D900" s="26"/>
    </row>
    <row r="901" spans="3:4" ht="15.75" customHeight="1" x14ac:dyDescent="0.25">
      <c r="C901" s="26"/>
      <c r="D901" s="26"/>
    </row>
    <row r="902" spans="3:4" ht="15.75" customHeight="1" x14ac:dyDescent="0.25">
      <c r="C902" s="26"/>
      <c r="D902" s="26"/>
    </row>
    <row r="903" spans="3:4" ht="15.75" customHeight="1" x14ac:dyDescent="0.25">
      <c r="C903" s="26"/>
      <c r="D903" s="26"/>
    </row>
    <row r="904" spans="3:4" ht="15.75" customHeight="1" x14ac:dyDescent="0.25">
      <c r="C904" s="26"/>
      <c r="D904" s="26"/>
    </row>
    <row r="905" spans="3:4" ht="15.75" customHeight="1" x14ac:dyDescent="0.25">
      <c r="C905" s="26"/>
      <c r="D905" s="26"/>
    </row>
    <row r="906" spans="3:4" ht="15.75" customHeight="1" x14ac:dyDescent="0.25">
      <c r="C906" s="26"/>
      <c r="D906" s="26"/>
    </row>
    <row r="907" spans="3:4" ht="15.75" customHeight="1" x14ac:dyDescent="0.25">
      <c r="C907" s="26"/>
      <c r="D907" s="26"/>
    </row>
    <row r="908" spans="3:4" ht="15.75" customHeight="1" x14ac:dyDescent="0.25">
      <c r="C908" s="26"/>
      <c r="D908" s="26"/>
    </row>
    <row r="909" spans="3:4" ht="15.75" customHeight="1" x14ac:dyDescent="0.25">
      <c r="C909" s="26"/>
      <c r="D909" s="26"/>
    </row>
    <row r="910" spans="3:4" ht="15.75" customHeight="1" x14ac:dyDescent="0.25">
      <c r="C910" s="26"/>
      <c r="D910" s="26"/>
    </row>
    <row r="911" spans="3:4" ht="15.75" customHeight="1" x14ac:dyDescent="0.25">
      <c r="C911" s="26"/>
      <c r="D911" s="26"/>
    </row>
    <row r="912" spans="3:4" ht="15.75" customHeight="1" x14ac:dyDescent="0.25">
      <c r="C912" s="26"/>
      <c r="D912" s="26"/>
    </row>
    <row r="913" spans="3:4" ht="15.75" customHeight="1" x14ac:dyDescent="0.25">
      <c r="C913" s="26"/>
      <c r="D913" s="26"/>
    </row>
    <row r="914" spans="3:4" ht="15.75" customHeight="1" x14ac:dyDescent="0.25">
      <c r="C914" s="26"/>
      <c r="D914" s="26"/>
    </row>
    <row r="915" spans="3:4" ht="15.75" customHeight="1" x14ac:dyDescent="0.25">
      <c r="C915" s="26"/>
      <c r="D915" s="26"/>
    </row>
    <row r="916" spans="3:4" ht="15.75" customHeight="1" x14ac:dyDescent="0.25">
      <c r="C916" s="26"/>
      <c r="D916" s="26"/>
    </row>
    <row r="917" spans="3:4" ht="15.75" customHeight="1" x14ac:dyDescent="0.25">
      <c r="C917" s="26"/>
      <c r="D917" s="26"/>
    </row>
    <row r="918" spans="3:4" ht="15.75" customHeight="1" x14ac:dyDescent="0.25">
      <c r="C918" s="26"/>
      <c r="D918" s="26"/>
    </row>
    <row r="919" spans="3:4" ht="15.75" customHeight="1" x14ac:dyDescent="0.25">
      <c r="C919" s="26"/>
      <c r="D919" s="26"/>
    </row>
    <row r="920" spans="3:4" ht="15.75" customHeight="1" x14ac:dyDescent="0.25">
      <c r="C920" s="26"/>
      <c r="D920" s="26"/>
    </row>
    <row r="921" spans="3:4" ht="15.75" customHeight="1" x14ac:dyDescent="0.25">
      <c r="C921" s="26"/>
      <c r="D921" s="26"/>
    </row>
    <row r="922" spans="3:4" ht="15.75" customHeight="1" x14ac:dyDescent="0.25">
      <c r="C922" s="26"/>
      <c r="D922" s="26"/>
    </row>
    <row r="923" spans="3:4" ht="15.75" customHeight="1" x14ac:dyDescent="0.25">
      <c r="C923" s="26"/>
      <c r="D923" s="26"/>
    </row>
    <row r="924" spans="3:4" ht="15.75" customHeight="1" x14ac:dyDescent="0.25">
      <c r="C924" s="26"/>
      <c r="D924" s="26"/>
    </row>
    <row r="925" spans="3:4" ht="15.75" customHeight="1" x14ac:dyDescent="0.25">
      <c r="C925" s="26"/>
      <c r="D925" s="26"/>
    </row>
    <row r="926" spans="3:4" ht="15.75" customHeight="1" x14ac:dyDescent="0.25">
      <c r="C926" s="26"/>
      <c r="D926" s="26"/>
    </row>
    <row r="927" spans="3:4" ht="15.75" customHeight="1" x14ac:dyDescent="0.25">
      <c r="C927" s="26"/>
      <c r="D927" s="26"/>
    </row>
    <row r="928" spans="3:4" ht="15.75" customHeight="1" x14ac:dyDescent="0.25">
      <c r="C928" s="26"/>
      <c r="D928" s="26"/>
    </row>
    <row r="929" spans="3:4" ht="15.75" customHeight="1" x14ac:dyDescent="0.25">
      <c r="C929" s="26"/>
      <c r="D929" s="26"/>
    </row>
    <row r="930" spans="3:4" ht="15.75" customHeight="1" x14ac:dyDescent="0.25">
      <c r="C930" s="26"/>
      <c r="D930" s="26"/>
    </row>
    <row r="931" spans="3:4" ht="15.75" customHeight="1" x14ac:dyDescent="0.25">
      <c r="C931" s="26"/>
      <c r="D931" s="26"/>
    </row>
    <row r="932" spans="3:4" ht="15.75" customHeight="1" x14ac:dyDescent="0.25">
      <c r="C932" s="26"/>
      <c r="D932" s="26"/>
    </row>
    <row r="933" spans="3:4" ht="15.75" customHeight="1" x14ac:dyDescent="0.25">
      <c r="C933" s="26"/>
      <c r="D933" s="26"/>
    </row>
    <row r="934" spans="3:4" ht="15.75" customHeight="1" x14ac:dyDescent="0.25">
      <c r="C934" s="26"/>
      <c r="D934" s="26"/>
    </row>
    <row r="935" spans="3:4" ht="15.75" customHeight="1" x14ac:dyDescent="0.25">
      <c r="C935" s="26"/>
      <c r="D935" s="26"/>
    </row>
    <row r="936" spans="3:4" ht="15.75" customHeight="1" x14ac:dyDescent="0.25">
      <c r="C936" s="26"/>
      <c r="D936" s="26"/>
    </row>
    <row r="937" spans="3:4" ht="15.75" customHeight="1" x14ac:dyDescent="0.25">
      <c r="C937" s="26"/>
      <c r="D937" s="26"/>
    </row>
    <row r="938" spans="3:4" ht="15.75" customHeight="1" x14ac:dyDescent="0.25">
      <c r="C938" s="26"/>
      <c r="D938" s="26"/>
    </row>
    <row r="939" spans="3:4" ht="15.75" customHeight="1" x14ac:dyDescent="0.25">
      <c r="C939" s="26"/>
      <c r="D939" s="26"/>
    </row>
    <row r="940" spans="3:4" ht="15.75" customHeight="1" x14ac:dyDescent="0.25">
      <c r="C940" s="26"/>
      <c r="D940" s="26"/>
    </row>
    <row r="941" spans="3:4" ht="15.75" customHeight="1" x14ac:dyDescent="0.25">
      <c r="C941" s="26"/>
      <c r="D941" s="26"/>
    </row>
    <row r="942" spans="3:4" ht="15.75" customHeight="1" x14ac:dyDescent="0.25">
      <c r="C942" s="26"/>
      <c r="D942" s="26"/>
    </row>
    <row r="943" spans="3:4" ht="15.75" customHeight="1" x14ac:dyDescent="0.25">
      <c r="C943" s="26"/>
      <c r="D943" s="26"/>
    </row>
    <row r="944" spans="3:4" ht="15.75" customHeight="1" x14ac:dyDescent="0.25">
      <c r="C944" s="26"/>
      <c r="D944" s="26"/>
    </row>
    <row r="945" spans="3:4" ht="15.75" customHeight="1" x14ac:dyDescent="0.25">
      <c r="C945" s="26"/>
      <c r="D945" s="26"/>
    </row>
    <row r="946" spans="3:4" ht="15.75" customHeight="1" x14ac:dyDescent="0.25">
      <c r="C946" s="26"/>
      <c r="D946" s="26"/>
    </row>
    <row r="947" spans="3:4" ht="15.75" customHeight="1" x14ac:dyDescent="0.25">
      <c r="C947" s="26"/>
      <c r="D947" s="26"/>
    </row>
    <row r="948" spans="3:4" ht="15.75" customHeight="1" x14ac:dyDescent="0.25">
      <c r="C948" s="26"/>
      <c r="D948" s="26"/>
    </row>
    <row r="949" spans="3:4" ht="15.75" customHeight="1" x14ac:dyDescent="0.25">
      <c r="C949" s="26"/>
      <c r="D949" s="26"/>
    </row>
    <row r="950" spans="3:4" ht="15.75" customHeight="1" x14ac:dyDescent="0.25">
      <c r="C950" s="26"/>
      <c r="D950" s="26"/>
    </row>
    <row r="951" spans="3:4" ht="15.75" customHeight="1" x14ac:dyDescent="0.25">
      <c r="C951" s="26"/>
      <c r="D951" s="26"/>
    </row>
    <row r="952" spans="3:4" ht="15.75" customHeight="1" x14ac:dyDescent="0.25">
      <c r="C952" s="26"/>
      <c r="D952" s="26"/>
    </row>
    <row r="953" spans="3:4" ht="15.75" customHeight="1" x14ac:dyDescent="0.25">
      <c r="C953" s="26"/>
      <c r="D953" s="26"/>
    </row>
    <row r="954" spans="3:4" ht="15.75" customHeight="1" x14ac:dyDescent="0.25">
      <c r="C954" s="26"/>
      <c r="D954" s="26"/>
    </row>
    <row r="955" spans="3:4" ht="15.75" customHeight="1" x14ac:dyDescent="0.25">
      <c r="C955" s="26"/>
      <c r="D955" s="26"/>
    </row>
    <row r="956" spans="3:4" ht="15.75" customHeight="1" x14ac:dyDescent="0.25">
      <c r="C956" s="26"/>
      <c r="D956" s="26"/>
    </row>
    <row r="957" spans="3:4" ht="15.75" customHeight="1" x14ac:dyDescent="0.25">
      <c r="C957" s="26"/>
      <c r="D957" s="26"/>
    </row>
    <row r="958" spans="3:4" ht="15.75" customHeight="1" x14ac:dyDescent="0.25">
      <c r="C958" s="26"/>
      <c r="D958" s="26"/>
    </row>
    <row r="959" spans="3:4" ht="15.75" customHeight="1" x14ac:dyDescent="0.25">
      <c r="C959" s="26"/>
      <c r="D959" s="26"/>
    </row>
    <row r="960" spans="3:4" ht="15.75" customHeight="1" x14ac:dyDescent="0.25">
      <c r="C960" s="26"/>
      <c r="D960" s="26"/>
    </row>
    <row r="961" spans="3:4" ht="15.75" customHeight="1" x14ac:dyDescent="0.25">
      <c r="C961" s="26"/>
      <c r="D961" s="26"/>
    </row>
    <row r="962" spans="3:4" ht="15.75" customHeight="1" x14ac:dyDescent="0.25">
      <c r="C962" s="26"/>
      <c r="D962" s="26"/>
    </row>
    <row r="963" spans="3:4" ht="15.75" customHeight="1" x14ac:dyDescent="0.25">
      <c r="C963" s="26"/>
      <c r="D963" s="26"/>
    </row>
    <row r="964" spans="3:4" ht="15.75" customHeight="1" x14ac:dyDescent="0.25">
      <c r="C964" s="26"/>
      <c r="D964" s="26"/>
    </row>
    <row r="965" spans="3:4" ht="15.75" customHeight="1" x14ac:dyDescent="0.25">
      <c r="C965" s="26"/>
      <c r="D965" s="26"/>
    </row>
    <row r="966" spans="3:4" ht="15.75" customHeight="1" x14ac:dyDescent="0.25">
      <c r="C966" s="26"/>
      <c r="D966" s="26"/>
    </row>
    <row r="967" spans="3:4" ht="15.75" customHeight="1" x14ac:dyDescent="0.25">
      <c r="C967" s="26"/>
      <c r="D967" s="26"/>
    </row>
    <row r="968" spans="3:4" ht="15.75" customHeight="1" x14ac:dyDescent="0.25">
      <c r="C968" s="26"/>
      <c r="D968" s="26"/>
    </row>
    <row r="969" spans="3:4" ht="15.75" customHeight="1" x14ac:dyDescent="0.25">
      <c r="C969" s="26"/>
      <c r="D969" s="26"/>
    </row>
    <row r="970" spans="3:4" ht="15.75" customHeight="1" x14ac:dyDescent="0.25">
      <c r="C970" s="26"/>
      <c r="D970" s="26"/>
    </row>
    <row r="971" spans="3:4" ht="15.75" customHeight="1" x14ac:dyDescent="0.25">
      <c r="C971" s="26"/>
      <c r="D971" s="26"/>
    </row>
    <row r="972" spans="3:4" ht="15.75" customHeight="1" x14ac:dyDescent="0.25">
      <c r="C972" s="26"/>
      <c r="D972" s="26"/>
    </row>
    <row r="973" spans="3:4" ht="15.75" customHeight="1" x14ac:dyDescent="0.25">
      <c r="C973" s="26"/>
      <c r="D973" s="26"/>
    </row>
    <row r="974" spans="3:4" ht="15.75" customHeight="1" x14ac:dyDescent="0.25">
      <c r="C974" s="26"/>
      <c r="D974" s="26"/>
    </row>
    <row r="975" spans="3:4" ht="15.75" customHeight="1" x14ac:dyDescent="0.25">
      <c r="C975" s="26"/>
      <c r="D975" s="26"/>
    </row>
    <row r="976" spans="3:4" ht="15.75" customHeight="1" x14ac:dyDescent="0.25">
      <c r="C976" s="26"/>
      <c r="D976" s="26"/>
    </row>
    <row r="977" spans="3:4" ht="15.75" customHeight="1" x14ac:dyDescent="0.25">
      <c r="C977" s="26"/>
      <c r="D977" s="26"/>
    </row>
    <row r="978" spans="3:4" ht="15.75" customHeight="1" x14ac:dyDescent="0.25">
      <c r="C978" s="26"/>
      <c r="D978" s="26"/>
    </row>
    <row r="979" spans="3:4" ht="15.75" customHeight="1" x14ac:dyDescent="0.25">
      <c r="C979" s="26"/>
      <c r="D979" s="26"/>
    </row>
    <row r="980" spans="3:4" ht="15.75" customHeight="1" x14ac:dyDescent="0.25">
      <c r="C980" s="26"/>
      <c r="D980" s="26"/>
    </row>
    <row r="981" spans="3:4" ht="15.75" customHeight="1" x14ac:dyDescent="0.25">
      <c r="C981" s="26"/>
      <c r="D981" s="26"/>
    </row>
    <row r="982" spans="3:4" ht="15.75" customHeight="1" x14ac:dyDescent="0.25">
      <c r="C982" s="26"/>
      <c r="D982" s="26"/>
    </row>
    <row r="983" spans="3:4" ht="15.75" customHeight="1" x14ac:dyDescent="0.25">
      <c r="C983" s="26"/>
      <c r="D983" s="26"/>
    </row>
    <row r="984" spans="3:4" ht="15.75" customHeight="1" x14ac:dyDescent="0.25">
      <c r="C984" s="26"/>
      <c r="D984" s="26"/>
    </row>
    <row r="985" spans="3:4" ht="15.75" customHeight="1" x14ac:dyDescent="0.25">
      <c r="C985" s="26"/>
      <c r="D985" s="26"/>
    </row>
    <row r="986" spans="3:4" ht="15.75" customHeight="1" x14ac:dyDescent="0.25">
      <c r="C986" s="26"/>
      <c r="D986" s="26"/>
    </row>
    <row r="987" spans="3:4" ht="15.75" customHeight="1" x14ac:dyDescent="0.25">
      <c r="C987" s="26"/>
      <c r="D987" s="26"/>
    </row>
    <row r="988" spans="3:4" ht="15.75" customHeight="1" x14ac:dyDescent="0.25">
      <c r="C988" s="26"/>
      <c r="D988" s="26"/>
    </row>
    <row r="989" spans="3:4" ht="15.75" customHeight="1" x14ac:dyDescent="0.25">
      <c r="C989" s="26"/>
      <c r="D989" s="26"/>
    </row>
    <row r="990" spans="3:4" ht="15.75" customHeight="1" x14ac:dyDescent="0.25">
      <c r="C990" s="26"/>
      <c r="D990" s="26"/>
    </row>
    <row r="991" spans="3:4" ht="15.75" customHeight="1" x14ac:dyDescent="0.25">
      <c r="C991" s="26"/>
      <c r="D991" s="26"/>
    </row>
    <row r="992" spans="3:4" ht="15.75" customHeight="1" x14ac:dyDescent="0.25">
      <c r="C992" s="26"/>
      <c r="D992" s="26"/>
    </row>
    <row r="993" spans="3:4" ht="15.75" customHeight="1" x14ac:dyDescent="0.25">
      <c r="C993" s="26"/>
      <c r="D993" s="26"/>
    </row>
    <row r="994" spans="3:4" ht="15.75" customHeight="1" x14ac:dyDescent="0.25">
      <c r="C994" s="26"/>
      <c r="D994" s="26"/>
    </row>
    <row r="995" spans="3:4" ht="15.75" customHeight="1" x14ac:dyDescent="0.25">
      <c r="C995" s="26"/>
      <c r="D995" s="26"/>
    </row>
    <row r="996" spans="3:4" ht="15.75" customHeight="1" x14ac:dyDescent="0.25">
      <c r="C996" s="26"/>
      <c r="D996" s="26"/>
    </row>
    <row r="997" spans="3:4" ht="15.75" customHeight="1" x14ac:dyDescent="0.25">
      <c r="C997" s="26"/>
      <c r="D997" s="26"/>
    </row>
    <row r="998" spans="3:4" ht="15.75" customHeight="1" x14ac:dyDescent="0.25">
      <c r="C998" s="26"/>
      <c r="D998" s="26"/>
    </row>
    <row r="999" spans="3:4" ht="15.75" customHeight="1" x14ac:dyDescent="0.25">
      <c r="C999" s="26"/>
      <c r="D999" s="26"/>
    </row>
    <row r="1000" spans="3:4" ht="15.75" customHeight="1" x14ac:dyDescent="0.25">
      <c r="C1000" s="26"/>
      <c r="D1000" s="26"/>
    </row>
  </sheetData>
  <mergeCells count="95">
    <mergeCell ref="C54:C55"/>
    <mergeCell ref="C57:C58"/>
    <mergeCell ref="C24:C26"/>
    <mergeCell ref="V24:V26"/>
    <mergeCell ref="AB28:AD28"/>
    <mergeCell ref="C48:C49"/>
    <mergeCell ref="C51:C52"/>
    <mergeCell ref="AB25:AE25"/>
    <mergeCell ref="E39:H39"/>
    <mergeCell ref="I39:L39"/>
    <mergeCell ref="N39:Q39"/>
    <mergeCell ref="C42:C43"/>
    <mergeCell ref="C45:C46"/>
    <mergeCell ref="C32:C35"/>
    <mergeCell ref="M34:O34"/>
    <mergeCell ref="P34:Q34"/>
    <mergeCell ref="AE5:AH5"/>
    <mergeCell ref="C9:C10"/>
    <mergeCell ref="C12:C13"/>
    <mergeCell ref="C15:C18"/>
    <mergeCell ref="AE15:AF18"/>
    <mergeCell ref="E37:Q37"/>
    <mergeCell ref="AI34:AK34"/>
    <mergeCell ref="AL34:AN34"/>
    <mergeCell ref="AO34:AQ34"/>
    <mergeCell ref="C20:C22"/>
    <mergeCell ref="P20:Q20"/>
    <mergeCell ref="N25:O25"/>
    <mergeCell ref="P25:Q25"/>
    <mergeCell ref="W25:AA25"/>
    <mergeCell ref="J20:K26"/>
    <mergeCell ref="N20:O20"/>
    <mergeCell ref="L21:M21"/>
    <mergeCell ref="L25:M25"/>
    <mergeCell ref="AE28:AG28"/>
    <mergeCell ref="U29:X29"/>
    <mergeCell ref="Y29:AA29"/>
    <mergeCell ref="U34:Z34"/>
    <mergeCell ref="AA34:AD34"/>
    <mergeCell ref="AE34:AH34"/>
    <mergeCell ref="L29:P29"/>
    <mergeCell ref="Q29:T29"/>
    <mergeCell ref="K32:P32"/>
    <mergeCell ref="M33:O33"/>
    <mergeCell ref="P33:Q33"/>
    <mergeCell ref="R33:T33"/>
    <mergeCell ref="R34:T34"/>
    <mergeCell ref="AB29:AD29"/>
    <mergeCell ref="AE29:AG29"/>
    <mergeCell ref="AI33:AK33"/>
    <mergeCell ref="AL33:AN33"/>
    <mergeCell ref="AO33:AQ33"/>
    <mergeCell ref="C28:C30"/>
    <mergeCell ref="H28:J28"/>
    <mergeCell ref="K28:K30"/>
    <mergeCell ref="L28:P28"/>
    <mergeCell ref="Q28:T28"/>
    <mergeCell ref="F29:G29"/>
    <mergeCell ref="H29:J29"/>
    <mergeCell ref="U33:Z33"/>
    <mergeCell ref="AA33:AD33"/>
    <mergeCell ref="AE33:AH33"/>
    <mergeCell ref="U28:X28"/>
    <mergeCell ref="Y28:AA28"/>
    <mergeCell ref="AM25:AO25"/>
    <mergeCell ref="AP25:AR25"/>
    <mergeCell ref="N24:O24"/>
    <mergeCell ref="P24:Q24"/>
    <mergeCell ref="W24:AA24"/>
    <mergeCell ref="AB24:AE24"/>
    <mergeCell ref="AJ24:AL24"/>
    <mergeCell ref="AM24:AO24"/>
    <mergeCell ref="AP24:AR24"/>
    <mergeCell ref="R20:U26"/>
    <mergeCell ref="N21:O21"/>
    <mergeCell ref="P21:Q21"/>
    <mergeCell ref="AF24:AI24"/>
    <mergeCell ref="AF25:AI25"/>
    <mergeCell ref="AJ25:AL25"/>
    <mergeCell ref="BC5:BF5"/>
    <mergeCell ref="BG5:BJ5"/>
    <mergeCell ref="BK5:BN5"/>
    <mergeCell ref="E3:V3"/>
    <mergeCell ref="W3:BN3"/>
    <mergeCell ref="E5:H5"/>
    <mergeCell ref="I5:M5"/>
    <mergeCell ref="N5:Q5"/>
    <mergeCell ref="R5:V5"/>
    <mergeCell ref="W5:Z5"/>
    <mergeCell ref="AI5:AL5"/>
    <mergeCell ref="AM5:AP5"/>
    <mergeCell ref="AQ5:AT5"/>
    <mergeCell ref="AU5:AX5"/>
    <mergeCell ref="AY5:BB5"/>
    <mergeCell ref="AA5:AD5"/>
  </mergeCells>
  <pageMargins left="0.7" right="0.7" top="0.75" bottom="0.75" header="0" footer="0"/>
  <pageSetup paperSize="9" fitToWidth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3:I1000"/>
  <sheetViews>
    <sheetView workbookViewId="0"/>
  </sheetViews>
  <sheetFormatPr baseColWidth="10" defaultColWidth="14.42578125" defaultRowHeight="15" customHeight="1" x14ac:dyDescent="0.25"/>
  <cols>
    <col min="1" max="3" width="10.7109375" customWidth="1"/>
    <col min="4" max="5" width="30.7109375" customWidth="1"/>
    <col min="6" max="6" width="3.42578125" customWidth="1"/>
    <col min="7" max="9" width="30.7109375" customWidth="1"/>
  </cols>
  <sheetData>
    <row r="3" spans="2:9" ht="21" x14ac:dyDescent="0.25">
      <c r="D3" s="576" t="s">
        <v>55</v>
      </c>
      <c r="E3" s="568"/>
      <c r="F3" s="568"/>
      <c r="G3" s="568"/>
      <c r="H3" s="568"/>
      <c r="I3" s="569"/>
    </row>
    <row r="5" spans="2:9" x14ac:dyDescent="0.25">
      <c r="D5" s="31" t="s">
        <v>31</v>
      </c>
      <c r="E5" s="12" t="s">
        <v>32</v>
      </c>
      <c r="F5" s="12"/>
      <c r="G5" s="12" t="s">
        <v>29</v>
      </c>
      <c r="H5" s="12" t="s">
        <v>30</v>
      </c>
      <c r="I5" s="12" t="s">
        <v>51</v>
      </c>
    </row>
    <row r="6" spans="2:9" ht="15.75" x14ac:dyDescent="0.25">
      <c r="B6" s="297"/>
      <c r="D6" s="13"/>
      <c r="E6" s="13"/>
      <c r="F6" s="13"/>
      <c r="G6" s="13"/>
      <c r="H6" s="13"/>
      <c r="I6" s="13"/>
    </row>
    <row r="7" spans="2:9" ht="49.5" customHeight="1" x14ac:dyDescent="0.25">
      <c r="B7" s="791" t="s">
        <v>69</v>
      </c>
      <c r="D7" s="13"/>
      <c r="E7" s="298" t="s">
        <v>412</v>
      </c>
      <c r="F7" s="299"/>
      <c r="G7" s="13"/>
      <c r="H7" s="13"/>
      <c r="I7" s="13"/>
    </row>
    <row r="8" spans="2:9" ht="49.5" customHeight="1" x14ac:dyDescent="0.25">
      <c r="B8" s="624"/>
      <c r="D8" s="13"/>
      <c r="E8" s="300" t="s">
        <v>413</v>
      </c>
      <c r="F8" s="299"/>
      <c r="G8" s="13"/>
      <c r="H8" s="13"/>
      <c r="I8" s="13"/>
    </row>
    <row r="9" spans="2:9" ht="49.5" customHeight="1" x14ac:dyDescent="0.25">
      <c r="B9" s="593"/>
      <c r="D9" s="13"/>
      <c r="E9" s="301"/>
      <c r="F9" s="13"/>
      <c r="G9" s="13"/>
      <c r="H9" s="13"/>
      <c r="I9" s="13"/>
    </row>
    <row r="10" spans="2:9" ht="15.75" x14ac:dyDescent="0.25">
      <c r="B10" s="15"/>
      <c r="D10" s="13"/>
      <c r="E10" s="13"/>
      <c r="F10" s="13"/>
      <c r="G10" s="13"/>
      <c r="H10" s="13"/>
      <c r="I10" s="13"/>
    </row>
    <row r="11" spans="2:9" ht="49.5" customHeight="1" x14ac:dyDescent="0.25">
      <c r="B11" s="789" t="s">
        <v>414</v>
      </c>
      <c r="D11" s="13"/>
      <c r="E11" s="302" t="s">
        <v>415</v>
      </c>
      <c r="F11" s="303"/>
      <c r="G11" s="302" t="s">
        <v>416</v>
      </c>
      <c r="H11" s="13"/>
      <c r="I11" s="13"/>
    </row>
    <row r="12" spans="2:9" ht="49.5" customHeight="1" x14ac:dyDescent="0.25">
      <c r="B12" s="624"/>
      <c r="D12" s="13"/>
      <c r="E12" s="304"/>
      <c r="F12" s="13"/>
      <c r="G12" s="305" t="s">
        <v>417</v>
      </c>
      <c r="H12" s="13"/>
      <c r="I12" s="13"/>
    </row>
    <row r="13" spans="2:9" ht="49.5" customHeight="1" x14ac:dyDescent="0.25">
      <c r="B13" s="624"/>
      <c r="D13" s="13"/>
      <c r="E13" s="304"/>
      <c r="F13" s="13"/>
      <c r="G13" s="304"/>
      <c r="H13" s="13"/>
      <c r="I13" s="13"/>
    </row>
    <row r="14" spans="2:9" ht="49.5" customHeight="1" x14ac:dyDescent="0.25">
      <c r="B14" s="593"/>
      <c r="D14" s="13"/>
      <c r="E14" s="301"/>
      <c r="F14" s="13"/>
      <c r="G14" s="301"/>
      <c r="H14" s="13"/>
      <c r="I14" s="13"/>
    </row>
    <row r="15" spans="2:9" ht="15.75" x14ac:dyDescent="0.25">
      <c r="B15" s="15"/>
      <c r="D15" s="13"/>
      <c r="E15" s="13"/>
      <c r="F15" s="13"/>
      <c r="G15" s="13"/>
      <c r="H15" s="13"/>
      <c r="I15" s="13"/>
    </row>
    <row r="16" spans="2:9" ht="49.5" customHeight="1" x14ac:dyDescent="0.25">
      <c r="B16" s="789" t="s">
        <v>418</v>
      </c>
      <c r="D16" s="13"/>
      <c r="E16" s="302" t="s">
        <v>419</v>
      </c>
      <c r="F16" s="303"/>
      <c r="G16" s="306" t="s">
        <v>420</v>
      </c>
      <c r="H16" s="13"/>
      <c r="I16" s="13"/>
    </row>
    <row r="17" spans="2:9" ht="49.5" customHeight="1" x14ac:dyDescent="0.25">
      <c r="B17" s="624"/>
      <c r="D17" s="13"/>
      <c r="E17" s="307" t="s">
        <v>421</v>
      </c>
      <c r="F17" s="308"/>
      <c r="G17" s="305" t="s">
        <v>422</v>
      </c>
      <c r="H17" s="13"/>
      <c r="I17" s="13"/>
    </row>
    <row r="18" spans="2:9" ht="49.5" customHeight="1" x14ac:dyDescent="0.25">
      <c r="B18" s="624"/>
      <c r="D18" s="13"/>
      <c r="E18" s="307" t="s">
        <v>423</v>
      </c>
      <c r="F18" s="299"/>
      <c r="G18" s="309" t="s">
        <v>424</v>
      </c>
      <c r="H18" s="13"/>
      <c r="I18" s="13"/>
    </row>
    <row r="19" spans="2:9" ht="49.5" customHeight="1" x14ac:dyDescent="0.25">
      <c r="B19" s="593"/>
      <c r="D19" s="13"/>
      <c r="E19" s="301"/>
      <c r="F19" s="13"/>
      <c r="G19" s="301"/>
      <c r="H19" s="13"/>
      <c r="I19" s="13"/>
    </row>
    <row r="20" spans="2:9" ht="15.75" x14ac:dyDescent="0.25">
      <c r="B20" s="117"/>
      <c r="D20" s="13"/>
      <c r="E20" s="13"/>
      <c r="F20" s="13"/>
      <c r="G20" s="13"/>
      <c r="H20" s="13"/>
      <c r="I20" s="13"/>
    </row>
    <row r="21" spans="2:9" ht="49.5" customHeight="1" x14ac:dyDescent="0.25">
      <c r="B21" s="789" t="s">
        <v>425</v>
      </c>
      <c r="D21" s="13"/>
      <c r="E21" s="310"/>
      <c r="F21" s="13"/>
      <c r="G21" s="310"/>
      <c r="H21" s="13"/>
      <c r="I21" s="13"/>
    </row>
    <row r="22" spans="2:9" ht="49.5" customHeight="1" x14ac:dyDescent="0.25">
      <c r="B22" s="624"/>
      <c r="D22" s="13"/>
      <c r="E22" s="304"/>
      <c r="F22" s="13"/>
      <c r="G22" s="304"/>
      <c r="H22" s="13"/>
      <c r="I22" s="13"/>
    </row>
    <row r="23" spans="2:9" ht="49.5" customHeight="1" x14ac:dyDescent="0.25">
      <c r="B23" s="593"/>
      <c r="D23" s="13"/>
      <c r="E23" s="301"/>
      <c r="F23" s="13"/>
      <c r="G23" s="301"/>
      <c r="H23" s="13"/>
      <c r="I23" s="13"/>
    </row>
    <row r="24" spans="2:9" ht="15.75" customHeight="1" x14ac:dyDescent="0.25">
      <c r="B24" s="117"/>
      <c r="D24" s="13"/>
      <c r="E24" s="13"/>
      <c r="F24" s="13"/>
      <c r="G24" s="13"/>
      <c r="H24" s="13"/>
      <c r="I24" s="13"/>
    </row>
    <row r="25" spans="2:9" ht="49.5" customHeight="1" x14ac:dyDescent="0.25">
      <c r="B25" s="789" t="s">
        <v>354</v>
      </c>
      <c r="D25" s="13"/>
      <c r="E25" s="302" t="s">
        <v>419</v>
      </c>
      <c r="F25" s="13"/>
      <c r="G25" s="310"/>
      <c r="H25" s="13"/>
      <c r="I25" s="13"/>
    </row>
    <row r="26" spans="2:9" ht="49.5" customHeight="1" x14ac:dyDescent="0.25">
      <c r="B26" s="624"/>
      <c r="D26" s="13"/>
      <c r="E26" s="304"/>
      <c r="F26" s="13"/>
      <c r="G26" s="304"/>
      <c r="H26" s="13"/>
      <c r="I26" s="13"/>
    </row>
    <row r="27" spans="2:9" ht="49.5" customHeight="1" x14ac:dyDescent="0.25">
      <c r="B27" s="624"/>
      <c r="D27" s="13"/>
      <c r="E27" s="304"/>
      <c r="F27" s="13"/>
      <c r="G27" s="304"/>
      <c r="H27" s="13"/>
      <c r="I27" s="13"/>
    </row>
    <row r="28" spans="2:9" ht="49.5" customHeight="1" x14ac:dyDescent="0.25">
      <c r="B28" s="624"/>
      <c r="D28" s="13"/>
      <c r="E28" s="304"/>
      <c r="F28" s="13"/>
      <c r="G28" s="304"/>
      <c r="H28" s="13"/>
      <c r="I28" s="13"/>
    </row>
    <row r="29" spans="2:9" ht="49.5" customHeight="1" x14ac:dyDescent="0.25">
      <c r="B29" s="593"/>
      <c r="D29" s="13"/>
      <c r="E29" s="301"/>
      <c r="F29" s="13"/>
      <c r="G29" s="301"/>
      <c r="H29" s="13"/>
      <c r="I29" s="13"/>
    </row>
    <row r="30" spans="2:9" ht="15.75" customHeight="1" x14ac:dyDescent="0.25">
      <c r="B30" s="117"/>
      <c r="D30" s="13"/>
      <c r="E30" s="13"/>
      <c r="F30" s="13"/>
      <c r="G30" s="13"/>
      <c r="H30" s="13"/>
      <c r="I30" s="13"/>
    </row>
    <row r="31" spans="2:9" ht="49.5" customHeight="1" x14ac:dyDescent="0.25">
      <c r="B31" s="789" t="s">
        <v>355</v>
      </c>
      <c r="D31" s="13"/>
      <c r="E31" s="302" t="s">
        <v>426</v>
      </c>
      <c r="F31" s="13"/>
      <c r="G31" s="311" t="s">
        <v>427</v>
      </c>
      <c r="H31" s="13"/>
      <c r="I31" s="13"/>
    </row>
    <row r="32" spans="2:9" ht="49.5" customHeight="1" x14ac:dyDescent="0.25">
      <c r="B32" s="624"/>
      <c r="D32" s="13"/>
      <c r="E32" s="305" t="s">
        <v>428</v>
      </c>
      <c r="F32" s="13"/>
      <c r="G32" s="305" t="s">
        <v>428</v>
      </c>
      <c r="H32" s="13"/>
      <c r="I32" s="13"/>
    </row>
    <row r="33" spans="2:9" ht="49.5" customHeight="1" x14ac:dyDescent="0.25">
      <c r="B33" s="593"/>
      <c r="D33" s="13"/>
      <c r="E33" s="312" t="s">
        <v>429</v>
      </c>
      <c r="F33" s="13"/>
      <c r="G33" s="312" t="s">
        <v>429</v>
      </c>
      <c r="H33" s="13"/>
      <c r="I33" s="13"/>
    </row>
    <row r="34" spans="2:9" ht="15.75" customHeight="1" x14ac:dyDescent="0.25">
      <c r="B34" s="78"/>
      <c r="D34" s="13"/>
      <c r="E34" s="13"/>
      <c r="F34" s="13"/>
      <c r="G34" s="13"/>
      <c r="H34" s="13"/>
      <c r="I34" s="13"/>
    </row>
    <row r="35" spans="2:9" ht="49.5" customHeight="1" x14ac:dyDescent="0.25">
      <c r="B35" s="789" t="s">
        <v>356</v>
      </c>
      <c r="D35" s="19"/>
      <c r="E35" s="302" t="s">
        <v>426</v>
      </c>
      <c r="F35" s="13"/>
      <c r="G35" s="311" t="s">
        <v>427</v>
      </c>
    </row>
    <row r="36" spans="2:9" ht="49.5" customHeight="1" x14ac:dyDescent="0.25">
      <c r="B36" s="624"/>
      <c r="D36" s="19"/>
      <c r="E36" s="305" t="s">
        <v>428</v>
      </c>
      <c r="F36" s="13"/>
      <c r="G36" s="305" t="s">
        <v>428</v>
      </c>
    </row>
    <row r="37" spans="2:9" ht="49.5" customHeight="1" x14ac:dyDescent="0.25">
      <c r="B37" s="593"/>
      <c r="D37" s="19"/>
      <c r="E37" s="312" t="s">
        <v>429</v>
      </c>
      <c r="F37" s="13"/>
      <c r="G37" s="312" t="s">
        <v>429</v>
      </c>
    </row>
    <row r="38" spans="2:9" ht="15.75" customHeight="1" x14ac:dyDescent="0.25"/>
    <row r="39" spans="2:9" ht="49.5" customHeight="1" x14ac:dyDescent="0.25">
      <c r="B39" s="789" t="s">
        <v>430</v>
      </c>
      <c r="D39" s="19"/>
      <c r="E39" s="302" t="s">
        <v>431</v>
      </c>
      <c r="F39" s="19"/>
      <c r="G39" s="313"/>
    </row>
    <row r="40" spans="2:9" ht="49.5" customHeight="1" x14ac:dyDescent="0.25">
      <c r="B40" s="624"/>
      <c r="D40" s="19"/>
      <c r="E40" s="314"/>
      <c r="F40" s="19"/>
      <c r="G40" s="314"/>
    </row>
    <row r="41" spans="2:9" ht="49.5" customHeight="1" x14ac:dyDescent="0.25">
      <c r="B41" s="624"/>
      <c r="D41" s="19"/>
      <c r="E41" s="314"/>
      <c r="F41" s="19"/>
      <c r="G41" s="314"/>
    </row>
    <row r="42" spans="2:9" ht="49.5" customHeight="1" x14ac:dyDescent="0.25">
      <c r="B42" s="593"/>
      <c r="D42" s="19"/>
      <c r="E42" s="315"/>
      <c r="F42" s="19"/>
      <c r="G42" s="315"/>
    </row>
    <row r="43" spans="2:9" ht="15.75" customHeight="1" x14ac:dyDescent="0.25"/>
    <row r="44" spans="2:9" ht="49.5" customHeight="1" x14ac:dyDescent="0.25">
      <c r="B44" s="789" t="s">
        <v>358</v>
      </c>
      <c r="D44" s="19"/>
      <c r="E44" s="302" t="s">
        <v>432</v>
      </c>
      <c r="F44" s="19"/>
      <c r="G44" s="313"/>
    </row>
    <row r="45" spans="2:9" ht="49.5" customHeight="1" x14ac:dyDescent="0.25">
      <c r="B45" s="624"/>
      <c r="D45" s="19"/>
      <c r="E45" s="314"/>
      <c r="F45" s="19"/>
      <c r="G45" s="314"/>
    </row>
    <row r="46" spans="2:9" ht="49.5" customHeight="1" x14ac:dyDescent="0.25">
      <c r="B46" s="624"/>
      <c r="D46" s="19"/>
      <c r="E46" s="314"/>
      <c r="F46" s="19"/>
      <c r="G46" s="314"/>
    </row>
    <row r="47" spans="2:9" ht="49.5" customHeight="1" x14ac:dyDescent="0.25">
      <c r="B47" s="593"/>
      <c r="D47" s="19"/>
      <c r="E47" s="315"/>
      <c r="F47" s="19"/>
      <c r="G47" s="315"/>
    </row>
    <row r="48" spans="2:9" ht="15.75" customHeight="1" x14ac:dyDescent="0.25"/>
    <row r="49" spans="2:7" ht="49.5" customHeight="1" x14ac:dyDescent="0.25">
      <c r="B49" s="789" t="s">
        <v>359</v>
      </c>
      <c r="D49" s="19"/>
      <c r="E49" s="302" t="s">
        <v>432</v>
      </c>
      <c r="F49" s="19"/>
      <c r="G49" s="313"/>
    </row>
    <row r="50" spans="2:7" ht="49.5" customHeight="1" x14ac:dyDescent="0.25">
      <c r="B50" s="624"/>
      <c r="D50" s="19"/>
      <c r="E50" s="314"/>
      <c r="F50" s="19"/>
      <c r="G50" s="314"/>
    </row>
    <row r="51" spans="2:7" ht="49.5" customHeight="1" x14ac:dyDescent="0.25">
      <c r="B51" s="593"/>
      <c r="D51" s="19"/>
      <c r="E51" s="315"/>
      <c r="F51" s="19"/>
      <c r="G51" s="315"/>
    </row>
    <row r="52" spans="2:7" ht="15.75" customHeight="1" x14ac:dyDescent="0.25"/>
    <row r="53" spans="2:7" ht="49.5" customHeight="1" x14ac:dyDescent="0.25">
      <c r="B53" s="790" t="s">
        <v>89</v>
      </c>
      <c r="D53" s="19"/>
      <c r="E53" s="302" t="s">
        <v>433</v>
      </c>
      <c r="F53" s="19"/>
      <c r="G53" s="306" t="s">
        <v>434</v>
      </c>
    </row>
    <row r="54" spans="2:7" ht="49.5" customHeight="1" x14ac:dyDescent="0.25">
      <c r="B54" s="624"/>
      <c r="D54" s="19"/>
      <c r="E54" s="314"/>
      <c r="F54" s="19"/>
      <c r="G54" s="314"/>
    </row>
    <row r="55" spans="2:7" ht="49.5" customHeight="1" x14ac:dyDescent="0.25">
      <c r="B55" s="593"/>
      <c r="D55" s="19"/>
      <c r="E55" s="315"/>
      <c r="F55" s="19"/>
      <c r="G55" s="315"/>
    </row>
    <row r="56" spans="2:7" ht="15.75" customHeight="1" x14ac:dyDescent="0.25"/>
    <row r="57" spans="2:7" ht="15.75" customHeight="1" x14ac:dyDescent="0.25"/>
    <row r="58" spans="2:7" ht="59.25" customHeight="1" x14ac:dyDescent="0.25"/>
    <row r="59" spans="2:7" ht="15.75" customHeight="1" x14ac:dyDescent="0.25"/>
    <row r="60" spans="2:7" ht="15.75" customHeight="1" x14ac:dyDescent="0.25"/>
    <row r="61" spans="2:7" ht="15.75" customHeight="1" x14ac:dyDescent="0.25"/>
    <row r="62" spans="2:7" ht="15.75" customHeight="1" x14ac:dyDescent="0.25"/>
    <row r="63" spans="2:7" ht="15.75" customHeight="1" x14ac:dyDescent="0.25"/>
    <row r="64" spans="2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B25:B29"/>
    <mergeCell ref="B31:B33"/>
    <mergeCell ref="D3:I3"/>
    <mergeCell ref="B7:B9"/>
    <mergeCell ref="B11:B14"/>
    <mergeCell ref="B16:B19"/>
    <mergeCell ref="B21:B23"/>
    <mergeCell ref="B35:B37"/>
    <mergeCell ref="B39:B42"/>
    <mergeCell ref="B44:B47"/>
    <mergeCell ref="B49:B51"/>
    <mergeCell ref="B53:B55"/>
  </mergeCells>
  <pageMargins left="0.7" right="0.7" top="0.75" bottom="0.75" header="0" footer="0"/>
  <pageSetup paperSize="8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3:P1000"/>
  <sheetViews>
    <sheetView workbookViewId="0"/>
  </sheetViews>
  <sheetFormatPr baseColWidth="10" defaultColWidth="14.42578125" defaultRowHeight="15" customHeight="1" x14ac:dyDescent="0.25"/>
  <cols>
    <col min="1" max="3" width="10.7109375" customWidth="1"/>
    <col min="4" max="4" width="30.7109375" customWidth="1"/>
    <col min="5" max="5" width="3.7109375" customWidth="1"/>
    <col min="6" max="6" width="30.7109375" customWidth="1"/>
    <col min="7" max="7" width="3.7109375" customWidth="1"/>
    <col min="8" max="8" width="30.7109375" customWidth="1"/>
    <col min="9" max="9" width="3.7109375" customWidth="1"/>
    <col min="10" max="10" width="30.7109375" customWidth="1"/>
    <col min="11" max="11" width="3.7109375" customWidth="1"/>
    <col min="12" max="16" width="30.7109375" customWidth="1"/>
    <col min="17" max="26" width="10.7109375" customWidth="1"/>
  </cols>
  <sheetData>
    <row r="3" spans="2:16" ht="21" x14ac:dyDescent="0.25">
      <c r="D3" s="575" t="s">
        <v>60</v>
      </c>
      <c r="E3" s="568"/>
      <c r="F3" s="568"/>
      <c r="G3" s="568"/>
      <c r="H3" s="568"/>
      <c r="I3" s="568"/>
      <c r="J3" s="569"/>
      <c r="K3" s="279"/>
      <c r="L3" s="576" t="s">
        <v>55</v>
      </c>
      <c r="M3" s="568"/>
      <c r="N3" s="568"/>
      <c r="O3" s="568"/>
      <c r="P3" s="569"/>
    </row>
    <row r="4" spans="2:16" x14ac:dyDescent="0.25">
      <c r="J4" s="21"/>
    </row>
    <row r="5" spans="2:16" x14ac:dyDescent="0.25">
      <c r="D5" s="12" t="s">
        <v>435</v>
      </c>
      <c r="E5" s="12"/>
      <c r="F5" s="12" t="s">
        <v>436</v>
      </c>
      <c r="G5" s="12"/>
      <c r="H5" s="12" t="s">
        <v>437</v>
      </c>
      <c r="I5" s="316"/>
      <c r="J5" s="264" t="s">
        <v>438</v>
      </c>
      <c r="K5" s="317"/>
      <c r="L5" s="31" t="s">
        <v>31</v>
      </c>
      <c r="M5" s="12" t="s">
        <v>32</v>
      </c>
      <c r="N5" s="12" t="s">
        <v>29</v>
      </c>
      <c r="O5" s="12" t="s">
        <v>30</v>
      </c>
      <c r="P5" s="12" t="s">
        <v>51</v>
      </c>
    </row>
    <row r="6" spans="2:16" ht="15.75" x14ac:dyDescent="0.25">
      <c r="B6" s="29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2:16" ht="49.5" customHeight="1" x14ac:dyDescent="0.25">
      <c r="B7" s="792" t="s">
        <v>69</v>
      </c>
      <c r="D7" s="13"/>
      <c r="E7" s="13"/>
      <c r="F7" s="298" t="s">
        <v>412</v>
      </c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2:16" ht="49.5" customHeight="1" x14ac:dyDescent="0.25">
      <c r="B8" s="624"/>
      <c r="D8" s="13"/>
      <c r="E8" s="13"/>
      <c r="F8" s="298" t="s">
        <v>413</v>
      </c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ht="49.5" customHeight="1" x14ac:dyDescent="0.25">
      <c r="B9" s="593"/>
      <c r="D9" s="13"/>
      <c r="E9" s="13"/>
      <c r="F9" s="298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ht="15.75" x14ac:dyDescent="0.25">
      <c r="B10" s="18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ht="49.5" customHeight="1" x14ac:dyDescent="0.25">
      <c r="B11" s="790" t="s">
        <v>414</v>
      </c>
      <c r="D11" s="13"/>
      <c r="E11" s="793" t="s">
        <v>439</v>
      </c>
      <c r="F11" s="318" t="s">
        <v>440</v>
      </c>
      <c r="G11" s="793" t="s">
        <v>439</v>
      </c>
      <c r="H11" s="319" t="s">
        <v>441</v>
      </c>
      <c r="J11" s="302" t="s">
        <v>416</v>
      </c>
      <c r="K11" s="13"/>
      <c r="L11" s="13"/>
      <c r="M11" s="13"/>
      <c r="N11" s="13"/>
      <c r="O11" s="13"/>
      <c r="P11" s="13"/>
    </row>
    <row r="12" spans="2:16" ht="49.5" customHeight="1" x14ac:dyDescent="0.25">
      <c r="B12" s="624"/>
      <c r="D12" s="13"/>
      <c r="E12" s="624"/>
      <c r="F12" s="320" t="s">
        <v>415</v>
      </c>
      <c r="G12" s="624"/>
      <c r="H12" s="321" t="s">
        <v>442</v>
      </c>
      <c r="J12" s="305" t="s">
        <v>417</v>
      </c>
      <c r="K12" s="13"/>
      <c r="L12" s="13"/>
      <c r="M12" s="13"/>
      <c r="N12" s="13"/>
      <c r="O12" s="13"/>
      <c r="P12" s="13"/>
    </row>
    <row r="13" spans="2:16" ht="49.5" customHeight="1" x14ac:dyDescent="0.25">
      <c r="B13" s="624"/>
      <c r="D13" s="13"/>
      <c r="E13" s="624"/>
      <c r="F13" s="308"/>
      <c r="G13" s="624"/>
      <c r="H13" s="322" t="s">
        <v>443</v>
      </c>
      <c r="J13" s="13"/>
      <c r="K13" s="13"/>
      <c r="L13" s="13"/>
      <c r="M13" s="13"/>
      <c r="N13" s="13"/>
      <c r="O13" s="13"/>
      <c r="P13" s="13"/>
    </row>
    <row r="14" spans="2:16" ht="49.5" customHeight="1" x14ac:dyDescent="0.25">
      <c r="B14" s="593"/>
      <c r="D14" s="13"/>
      <c r="E14" s="624"/>
      <c r="F14" s="323"/>
      <c r="G14" s="624"/>
      <c r="H14" s="259"/>
      <c r="J14" s="13"/>
      <c r="K14" s="13"/>
      <c r="L14" s="13"/>
      <c r="M14" s="13"/>
      <c r="N14" s="13"/>
      <c r="O14" s="13"/>
      <c r="P14" s="13"/>
    </row>
    <row r="15" spans="2:16" ht="15.75" x14ac:dyDescent="0.25">
      <c r="B15" s="18"/>
      <c r="D15" s="13"/>
      <c r="E15" s="624"/>
      <c r="F15" s="299"/>
      <c r="G15" s="624"/>
      <c r="H15" s="299"/>
      <c r="J15" s="13"/>
      <c r="K15" s="13"/>
      <c r="L15" s="13"/>
      <c r="M15" s="13"/>
      <c r="N15" s="13"/>
      <c r="O15" s="13"/>
      <c r="P15" s="13"/>
    </row>
    <row r="16" spans="2:16" ht="49.5" customHeight="1" x14ac:dyDescent="0.25">
      <c r="B16" s="790" t="s">
        <v>418</v>
      </c>
      <c r="D16" s="13"/>
      <c r="E16" s="624"/>
      <c r="F16" s="324" t="s">
        <v>423</v>
      </c>
      <c r="G16" s="624"/>
      <c r="H16" s="319" t="s">
        <v>444</v>
      </c>
      <c r="J16" s="13"/>
      <c r="K16" s="13"/>
      <c r="L16" s="13"/>
      <c r="M16" s="13"/>
      <c r="N16" s="13"/>
      <c r="O16" s="13"/>
      <c r="P16" s="13"/>
    </row>
    <row r="17" spans="2:16" ht="49.5" customHeight="1" x14ac:dyDescent="0.25">
      <c r="B17" s="624"/>
      <c r="D17" s="13"/>
      <c r="E17" s="624"/>
      <c r="F17" s="320" t="s">
        <v>419</v>
      </c>
      <c r="G17" s="624"/>
      <c r="H17" s="325" t="s">
        <v>421</v>
      </c>
      <c r="J17" s="13"/>
      <c r="K17" s="13"/>
      <c r="L17" s="13"/>
      <c r="M17" s="13"/>
      <c r="N17" s="13"/>
      <c r="O17" s="13"/>
      <c r="P17" s="13"/>
    </row>
    <row r="18" spans="2:16" ht="49.5" customHeight="1" x14ac:dyDescent="0.25">
      <c r="B18" s="624"/>
      <c r="D18" s="13"/>
      <c r="E18" s="624"/>
      <c r="F18" s="326"/>
      <c r="G18" s="624"/>
      <c r="H18" s="321" t="s">
        <v>445</v>
      </c>
      <c r="J18" s="13"/>
      <c r="K18" s="13"/>
      <c r="L18" s="13"/>
      <c r="M18" s="13"/>
      <c r="N18" s="13"/>
      <c r="O18" s="13"/>
      <c r="P18" s="13"/>
    </row>
    <row r="19" spans="2:16" ht="49.5" customHeight="1" x14ac:dyDescent="0.25">
      <c r="B19" s="593"/>
      <c r="D19" s="13"/>
      <c r="E19" s="624"/>
      <c r="F19" s="327"/>
      <c r="G19" s="624"/>
      <c r="H19" s="328" t="s">
        <v>424</v>
      </c>
      <c r="J19" s="13"/>
      <c r="K19" s="13"/>
      <c r="L19" s="13"/>
      <c r="M19" s="13"/>
      <c r="N19" s="13"/>
      <c r="O19" s="13"/>
      <c r="P19" s="13"/>
    </row>
    <row r="20" spans="2:16" ht="15.75" x14ac:dyDescent="0.25">
      <c r="B20" s="117"/>
      <c r="D20" s="13"/>
      <c r="E20" s="624"/>
      <c r="G20" s="624"/>
      <c r="J20" s="13"/>
      <c r="K20" s="13"/>
      <c r="L20" s="13"/>
      <c r="M20" s="13"/>
      <c r="N20" s="13"/>
      <c r="O20" s="13"/>
      <c r="P20" s="13"/>
    </row>
    <row r="21" spans="2:16" ht="49.5" customHeight="1" x14ac:dyDescent="0.25">
      <c r="B21" s="790" t="s">
        <v>425</v>
      </c>
      <c r="D21" s="13"/>
      <c r="E21" s="624"/>
      <c r="F21" s="329"/>
      <c r="G21" s="624"/>
      <c r="H21" s="330" t="s">
        <v>446</v>
      </c>
      <c r="J21" s="13"/>
      <c r="K21" s="13"/>
      <c r="L21" s="13"/>
      <c r="M21" s="13"/>
      <c r="N21" s="13"/>
      <c r="O21" s="13"/>
      <c r="P21" s="13"/>
    </row>
    <row r="22" spans="2:16" ht="49.5" customHeight="1" x14ac:dyDescent="0.25">
      <c r="B22" s="624"/>
      <c r="D22" s="13"/>
      <c r="E22" s="624"/>
      <c r="F22" s="308"/>
      <c r="G22" s="624"/>
      <c r="H22" s="331"/>
      <c r="J22" s="13"/>
      <c r="K22" s="13"/>
      <c r="L22" s="13"/>
      <c r="M22" s="13"/>
      <c r="N22" s="13"/>
      <c r="O22" s="13"/>
      <c r="P22" s="13"/>
    </row>
    <row r="23" spans="2:16" ht="49.5" customHeight="1" x14ac:dyDescent="0.25">
      <c r="B23" s="593"/>
      <c r="D23" s="13"/>
      <c r="E23" s="624"/>
      <c r="F23" s="323"/>
      <c r="G23" s="624"/>
      <c r="H23" s="332"/>
      <c r="J23" s="13"/>
      <c r="K23" s="13"/>
      <c r="L23" s="13"/>
      <c r="M23" s="13"/>
      <c r="N23" s="13"/>
      <c r="O23" s="13"/>
      <c r="P23" s="13"/>
    </row>
    <row r="24" spans="2:16" ht="15.75" customHeight="1" x14ac:dyDescent="0.25">
      <c r="B24" s="117"/>
      <c r="D24" s="13"/>
      <c r="E24" s="624"/>
      <c r="F24" s="299"/>
      <c r="G24" s="624"/>
      <c r="H24" s="299"/>
      <c r="J24" s="13"/>
      <c r="K24" s="13"/>
      <c r="L24" s="13"/>
      <c r="M24" s="13"/>
      <c r="N24" s="13"/>
      <c r="O24" s="13"/>
      <c r="P24" s="13"/>
    </row>
    <row r="25" spans="2:16" ht="49.5" customHeight="1" x14ac:dyDescent="0.25">
      <c r="B25" s="790" t="s">
        <v>354</v>
      </c>
      <c r="D25" s="13"/>
      <c r="E25" s="624"/>
      <c r="F25" s="324" t="s">
        <v>419</v>
      </c>
      <c r="G25" s="624"/>
      <c r="H25" s="333" t="s">
        <v>447</v>
      </c>
      <c r="J25" s="13"/>
      <c r="K25" s="13"/>
      <c r="L25" s="13"/>
      <c r="M25" s="13"/>
      <c r="N25" s="13"/>
      <c r="O25" s="13"/>
      <c r="P25" s="13"/>
    </row>
    <row r="26" spans="2:16" ht="49.5" customHeight="1" x14ac:dyDescent="0.25">
      <c r="B26" s="624"/>
      <c r="D26" s="13"/>
      <c r="E26" s="624"/>
      <c r="F26" s="308"/>
      <c r="G26" s="624"/>
      <c r="H26" s="325" t="s">
        <v>446</v>
      </c>
      <c r="J26" s="13"/>
      <c r="K26" s="13"/>
      <c r="L26" s="13"/>
      <c r="M26" s="13"/>
      <c r="N26" s="13"/>
      <c r="O26" s="13"/>
      <c r="P26" s="13"/>
    </row>
    <row r="27" spans="2:16" ht="49.5" customHeight="1" x14ac:dyDescent="0.25">
      <c r="B27" s="624"/>
      <c r="D27" s="13"/>
      <c r="E27" s="624"/>
      <c r="F27" s="308"/>
      <c r="G27" s="624"/>
      <c r="H27" s="325" t="s">
        <v>421</v>
      </c>
      <c r="J27" s="13"/>
      <c r="K27" s="13"/>
      <c r="L27" s="13"/>
      <c r="M27" s="13"/>
      <c r="N27" s="13"/>
      <c r="O27" s="13"/>
      <c r="P27" s="13"/>
    </row>
    <row r="28" spans="2:16" ht="49.5" customHeight="1" x14ac:dyDescent="0.25">
      <c r="B28" s="624"/>
      <c r="D28" s="13"/>
      <c r="E28" s="624"/>
      <c r="F28" s="308"/>
      <c r="G28" s="624"/>
      <c r="H28" s="321" t="s">
        <v>445</v>
      </c>
      <c r="J28" s="13"/>
      <c r="K28" s="13"/>
      <c r="L28" s="13"/>
      <c r="M28" s="13"/>
      <c r="N28" s="13"/>
      <c r="O28" s="13"/>
      <c r="P28" s="13"/>
    </row>
    <row r="29" spans="2:16" ht="49.5" customHeight="1" x14ac:dyDescent="0.25">
      <c r="B29" s="593"/>
      <c r="D29" s="13"/>
      <c r="E29" s="593"/>
      <c r="F29" s="323"/>
      <c r="G29" s="593"/>
      <c r="H29" s="328" t="s">
        <v>424</v>
      </c>
      <c r="J29" s="13"/>
      <c r="K29" s="13"/>
      <c r="L29" s="13"/>
      <c r="M29" s="13"/>
      <c r="N29" s="13"/>
      <c r="O29" s="13"/>
      <c r="P29" s="13"/>
    </row>
    <row r="30" spans="2:16" ht="15.75" customHeight="1" x14ac:dyDescent="0.25">
      <c r="B30" s="117"/>
      <c r="D30" s="13"/>
      <c r="E30" s="299"/>
      <c r="F30" s="299"/>
      <c r="G30" s="13"/>
      <c r="H30" s="299"/>
      <c r="J30" s="13"/>
      <c r="K30" s="13"/>
      <c r="L30" s="13"/>
      <c r="M30" s="13"/>
      <c r="N30" s="13"/>
      <c r="O30" s="13"/>
      <c r="P30" s="13"/>
    </row>
    <row r="31" spans="2:16" ht="49.5" customHeight="1" x14ac:dyDescent="0.25">
      <c r="B31" s="790" t="s">
        <v>355</v>
      </c>
      <c r="D31" s="13"/>
      <c r="E31" s="797" t="s">
        <v>448</v>
      </c>
      <c r="F31" s="302" t="s">
        <v>426</v>
      </c>
      <c r="G31" s="798" t="s">
        <v>448</v>
      </c>
      <c r="H31" s="311" t="s">
        <v>449</v>
      </c>
      <c r="J31" s="13"/>
      <c r="K31" s="13"/>
      <c r="L31" s="13"/>
      <c r="M31" s="13"/>
      <c r="N31" s="13"/>
      <c r="O31" s="13"/>
      <c r="P31" s="13"/>
    </row>
    <row r="32" spans="2:16" ht="49.5" customHeight="1" x14ac:dyDescent="0.25">
      <c r="B32" s="624"/>
      <c r="D32" s="13"/>
      <c r="E32" s="795"/>
      <c r="F32" s="305" t="s">
        <v>428</v>
      </c>
      <c r="G32" s="610"/>
      <c r="H32" s="334"/>
      <c r="J32" s="13"/>
      <c r="K32" s="13"/>
      <c r="L32" s="13"/>
      <c r="M32" s="13"/>
      <c r="N32" s="13"/>
      <c r="O32" s="13"/>
      <c r="P32" s="13"/>
    </row>
    <row r="33" spans="2:16" ht="49.5" customHeight="1" x14ac:dyDescent="0.25">
      <c r="B33" s="593"/>
      <c r="D33" s="13"/>
      <c r="E33" s="795"/>
      <c r="F33" s="312" t="s">
        <v>429</v>
      </c>
      <c r="G33" s="610"/>
      <c r="H33" s="335"/>
      <c r="J33" s="13"/>
      <c r="K33" s="13"/>
      <c r="L33" s="13"/>
      <c r="M33" s="13"/>
      <c r="N33" s="13"/>
      <c r="O33" s="13"/>
      <c r="P33" s="13"/>
    </row>
    <row r="34" spans="2:16" ht="15.75" customHeight="1" x14ac:dyDescent="0.25">
      <c r="B34" s="117"/>
      <c r="D34" s="13"/>
      <c r="E34" s="795"/>
      <c r="F34" s="336"/>
      <c r="G34" s="610"/>
      <c r="H34" s="336"/>
      <c r="J34" s="13"/>
      <c r="K34" s="13"/>
      <c r="L34" s="13"/>
      <c r="M34" s="13"/>
      <c r="N34" s="13"/>
      <c r="O34" s="13"/>
      <c r="P34" s="13"/>
    </row>
    <row r="35" spans="2:16" ht="49.5" customHeight="1" x14ac:dyDescent="0.25">
      <c r="B35" s="790" t="s">
        <v>356</v>
      </c>
      <c r="E35" s="795"/>
      <c r="F35" s="302" t="s">
        <v>426</v>
      </c>
      <c r="G35" s="610"/>
      <c r="H35" s="311" t="s">
        <v>450</v>
      </c>
    </row>
    <row r="36" spans="2:16" ht="49.5" customHeight="1" x14ac:dyDescent="0.25">
      <c r="B36" s="624"/>
      <c r="E36" s="795"/>
      <c r="F36" s="305" t="s">
        <v>428</v>
      </c>
      <c r="G36" s="610"/>
      <c r="H36" s="337"/>
    </row>
    <row r="37" spans="2:16" ht="49.5" customHeight="1" x14ac:dyDescent="0.25">
      <c r="B37" s="593"/>
      <c r="E37" s="796"/>
      <c r="F37" s="312" t="s">
        <v>429</v>
      </c>
      <c r="G37" s="760"/>
      <c r="H37" s="338"/>
    </row>
    <row r="38" spans="2:16" ht="15.75" customHeight="1" x14ac:dyDescent="0.25">
      <c r="F38" s="14"/>
      <c r="G38" s="14"/>
      <c r="H38" s="14"/>
    </row>
    <row r="39" spans="2:16" ht="49.5" customHeight="1" x14ac:dyDescent="0.25">
      <c r="B39" s="339" t="s">
        <v>430</v>
      </c>
      <c r="E39" s="799" t="s">
        <v>451</v>
      </c>
      <c r="F39" s="330" t="s">
        <v>452</v>
      </c>
      <c r="H39" s="302" t="s">
        <v>453</v>
      </c>
    </row>
    <row r="40" spans="2:16" ht="49.5" customHeight="1" x14ac:dyDescent="0.25">
      <c r="B40" s="340"/>
      <c r="E40" s="624"/>
      <c r="F40" s="325" t="s">
        <v>454</v>
      </c>
      <c r="H40" s="341" t="s">
        <v>455</v>
      </c>
    </row>
    <row r="41" spans="2:16" ht="49.5" customHeight="1" x14ac:dyDescent="0.25">
      <c r="B41" s="342"/>
      <c r="E41" s="624"/>
      <c r="F41" s="325" t="s">
        <v>432</v>
      </c>
      <c r="H41" s="314"/>
    </row>
    <row r="42" spans="2:16" ht="49.5" customHeight="1" x14ac:dyDescent="0.25">
      <c r="B42" s="343"/>
      <c r="E42" s="624"/>
      <c r="F42" s="344" t="s">
        <v>456</v>
      </c>
      <c r="H42" s="315"/>
    </row>
    <row r="43" spans="2:16" ht="15.75" customHeight="1" x14ac:dyDescent="0.25">
      <c r="E43" s="624"/>
      <c r="F43" s="21"/>
    </row>
    <row r="44" spans="2:16" ht="49.5" customHeight="1" x14ac:dyDescent="0.25">
      <c r="B44" s="800" t="s">
        <v>358</v>
      </c>
      <c r="E44" s="624"/>
      <c r="F44" s="345" t="s">
        <v>457</v>
      </c>
      <c r="H44" s="346" t="s">
        <v>432</v>
      </c>
    </row>
    <row r="45" spans="2:16" ht="49.5" customHeight="1" x14ac:dyDescent="0.25">
      <c r="B45" s="709"/>
      <c r="E45" s="624"/>
      <c r="F45" s="347" t="s">
        <v>454</v>
      </c>
      <c r="H45" s="307" t="s">
        <v>453</v>
      </c>
    </row>
    <row r="46" spans="2:16" ht="49.5" customHeight="1" x14ac:dyDescent="0.25">
      <c r="B46" s="709"/>
      <c r="E46" s="624"/>
      <c r="F46" s="325" t="s">
        <v>458</v>
      </c>
      <c r="H46" s="341" t="s">
        <v>455</v>
      </c>
    </row>
    <row r="47" spans="2:16" ht="49.5" customHeight="1" x14ac:dyDescent="0.25">
      <c r="B47" s="608"/>
      <c r="E47" s="593"/>
      <c r="F47" s="348" t="s">
        <v>456</v>
      </c>
      <c r="H47" s="349"/>
    </row>
    <row r="48" spans="2:16" ht="15.75" customHeight="1" x14ac:dyDescent="0.25"/>
    <row r="49" spans="2:12" ht="49.5" customHeight="1" x14ac:dyDescent="0.25">
      <c r="B49" s="790" t="s">
        <v>359</v>
      </c>
      <c r="D49" s="350" t="s">
        <v>459</v>
      </c>
      <c r="E49" s="794" t="s">
        <v>460</v>
      </c>
      <c r="F49" s="302" t="s">
        <v>461</v>
      </c>
      <c r="H49" s="351" t="s">
        <v>455</v>
      </c>
      <c r="J49" s="302" t="s">
        <v>457</v>
      </c>
      <c r="L49" s="302" t="s">
        <v>432</v>
      </c>
    </row>
    <row r="50" spans="2:12" ht="49.5" customHeight="1" x14ac:dyDescent="0.25">
      <c r="B50" s="624"/>
      <c r="E50" s="795"/>
      <c r="F50" s="307" t="s">
        <v>454</v>
      </c>
      <c r="H50" s="314"/>
      <c r="J50" s="305" t="s">
        <v>456</v>
      </c>
    </row>
    <row r="51" spans="2:12" ht="49.5" customHeight="1" x14ac:dyDescent="0.25">
      <c r="B51" s="593"/>
      <c r="E51" s="796"/>
      <c r="F51" s="315"/>
      <c r="H51" s="315"/>
      <c r="J51" s="315"/>
    </row>
    <row r="52" spans="2:12" ht="15.75" customHeight="1" x14ac:dyDescent="0.25"/>
    <row r="53" spans="2:12" ht="49.5" customHeight="1" x14ac:dyDescent="0.25">
      <c r="B53" s="790" t="s">
        <v>89</v>
      </c>
      <c r="E53" s="794" t="s">
        <v>462</v>
      </c>
      <c r="F53" s="302" t="s">
        <v>463</v>
      </c>
      <c r="G53" s="14"/>
      <c r="H53" s="306" t="s">
        <v>434</v>
      </c>
    </row>
    <row r="54" spans="2:12" ht="49.5" customHeight="1" x14ac:dyDescent="0.25">
      <c r="B54" s="624"/>
      <c r="E54" s="795"/>
      <c r="F54" s="305" t="s">
        <v>464</v>
      </c>
      <c r="G54" s="14"/>
      <c r="H54" s="307" t="s">
        <v>433</v>
      </c>
    </row>
    <row r="55" spans="2:12" ht="49.5" customHeight="1" x14ac:dyDescent="0.25">
      <c r="B55" s="593"/>
      <c r="E55" s="796"/>
      <c r="F55" s="338"/>
      <c r="G55" s="14"/>
      <c r="H55" s="338"/>
    </row>
    <row r="56" spans="2:12" ht="15.75" customHeight="1" x14ac:dyDescent="0.25">
      <c r="E56" s="5"/>
    </row>
    <row r="57" spans="2:12" ht="15.75" customHeight="1" x14ac:dyDescent="0.25"/>
    <row r="58" spans="2:12" ht="59.25" customHeight="1" x14ac:dyDescent="0.25">
      <c r="F58" s="352" t="s">
        <v>465</v>
      </c>
    </row>
    <row r="59" spans="2:12" ht="15.75" customHeight="1" x14ac:dyDescent="0.25"/>
    <row r="60" spans="2:12" ht="15.75" customHeight="1" x14ac:dyDescent="0.25"/>
    <row r="61" spans="2:12" ht="15.75" customHeight="1" x14ac:dyDescent="0.25"/>
    <row r="62" spans="2:12" ht="15.75" customHeight="1" x14ac:dyDescent="0.25"/>
    <row r="63" spans="2:12" ht="15.75" customHeight="1" x14ac:dyDescent="0.25"/>
    <row r="64" spans="2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B49:B51"/>
    <mergeCell ref="B53:B55"/>
    <mergeCell ref="E49:E51"/>
    <mergeCell ref="E53:E55"/>
    <mergeCell ref="D3:J3"/>
    <mergeCell ref="B31:B33"/>
    <mergeCell ref="E31:E37"/>
    <mergeCell ref="G31:G37"/>
    <mergeCell ref="B35:B37"/>
    <mergeCell ref="E39:E47"/>
    <mergeCell ref="B44:B47"/>
    <mergeCell ref="L3:P3"/>
    <mergeCell ref="B7:B9"/>
    <mergeCell ref="B11:B14"/>
    <mergeCell ref="E11:E29"/>
    <mergeCell ref="G11:G29"/>
    <mergeCell ref="B16:B19"/>
    <mergeCell ref="B21:B23"/>
    <mergeCell ref="B25:B29"/>
  </mergeCells>
  <pageMargins left="0.7" right="0.7" top="0.75" bottom="0.75" header="0" footer="0"/>
  <pageSetup paperSize="8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P100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ColWidth="14.42578125" defaultRowHeight="15" customHeight="1" x14ac:dyDescent="0.25"/>
  <cols>
    <col min="1" max="1" width="2.140625" customWidth="1"/>
    <col min="2" max="2" width="33.42578125" customWidth="1"/>
    <col min="3" max="3" width="1.28515625" customWidth="1"/>
    <col min="4" max="5" width="43" customWidth="1"/>
    <col min="6" max="6" width="2.28515625" customWidth="1"/>
    <col min="7" max="8" width="43" customWidth="1"/>
    <col min="9" max="9" width="2.28515625" customWidth="1"/>
    <col min="10" max="13" width="60.7109375" customWidth="1"/>
    <col min="14" max="14" width="6.42578125" customWidth="1"/>
    <col min="15" max="18" width="30.7109375" customWidth="1"/>
    <col min="19" max="19" width="2" customWidth="1"/>
    <col min="20" max="20" width="30.7109375" customWidth="1"/>
    <col min="21" max="21" width="39.28515625" customWidth="1"/>
    <col min="22" max="22" width="30.7109375" customWidth="1"/>
    <col min="23" max="23" width="37.140625" customWidth="1"/>
    <col min="24" max="24" width="2" customWidth="1"/>
    <col min="25" max="28" width="30.7109375" customWidth="1"/>
    <col min="29" max="29" width="2" customWidth="1"/>
    <col min="30" max="33" width="30.7109375" customWidth="1"/>
    <col min="34" max="34" width="2" customWidth="1"/>
    <col min="35" max="38" width="30.7109375" customWidth="1"/>
    <col min="39" max="39" width="2" customWidth="1"/>
    <col min="40" max="43" width="30.7109375" customWidth="1"/>
    <col min="44" max="44" width="2" customWidth="1"/>
    <col min="45" max="48" width="30.7109375" customWidth="1"/>
    <col min="49" max="49" width="2" customWidth="1"/>
    <col min="50" max="53" width="30.7109375" customWidth="1"/>
    <col min="54" max="54" width="2" customWidth="1"/>
    <col min="55" max="58" width="30.7109375" customWidth="1"/>
    <col min="59" max="59" width="2" customWidth="1"/>
    <col min="60" max="63" width="30.7109375" customWidth="1"/>
    <col min="64" max="64" width="2" customWidth="1"/>
    <col min="65" max="68" width="30.7109375" customWidth="1"/>
  </cols>
  <sheetData>
    <row r="1" spans="2:68" ht="14.25" customHeight="1" x14ac:dyDescent="0.25">
      <c r="D1" s="49"/>
      <c r="E1" s="49"/>
      <c r="G1" s="49"/>
      <c r="H1" s="49"/>
      <c r="O1" s="13"/>
      <c r="P1" s="13"/>
      <c r="Q1" s="13"/>
      <c r="R1" s="13"/>
    </row>
    <row r="2" spans="2:68" ht="14.25" customHeight="1" x14ac:dyDescent="0.25">
      <c r="D2" s="49"/>
      <c r="E2" s="49"/>
      <c r="G2" s="49"/>
      <c r="H2" s="49"/>
      <c r="O2" s="13"/>
      <c r="P2" s="13"/>
      <c r="Q2" s="13"/>
      <c r="R2" s="13"/>
    </row>
    <row r="3" spans="2:68" ht="49.5" customHeight="1" x14ac:dyDescent="0.25">
      <c r="D3" s="619">
        <v>2024</v>
      </c>
      <c r="E3" s="568"/>
      <c r="F3" s="568"/>
      <c r="G3" s="568"/>
      <c r="H3" s="569"/>
      <c r="J3" s="825">
        <v>2025</v>
      </c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  <c r="AB3" s="574"/>
      <c r="AC3" s="574"/>
      <c r="AD3" s="574"/>
      <c r="AE3" s="574"/>
      <c r="AF3" s="574"/>
      <c r="AG3" s="574"/>
      <c r="AH3" s="574"/>
      <c r="AI3" s="574"/>
      <c r="AJ3" s="574"/>
      <c r="AK3" s="574"/>
      <c r="AL3" s="574"/>
      <c r="AM3" s="574"/>
      <c r="AN3" s="574"/>
      <c r="AO3" s="574"/>
      <c r="AP3" s="574"/>
      <c r="AQ3" s="574"/>
      <c r="AR3" s="574"/>
      <c r="AS3" s="574"/>
      <c r="AT3" s="574"/>
      <c r="AU3" s="574"/>
      <c r="AV3" s="574"/>
      <c r="AW3" s="574"/>
      <c r="AX3" s="574"/>
      <c r="AY3" s="574"/>
      <c r="AZ3" s="574"/>
      <c r="BA3" s="574"/>
      <c r="BB3" s="574"/>
      <c r="BC3" s="574"/>
      <c r="BD3" s="574"/>
      <c r="BE3" s="574"/>
      <c r="BF3" s="574"/>
      <c r="BG3" s="574"/>
      <c r="BH3" s="574"/>
      <c r="BI3" s="574"/>
      <c r="BJ3" s="574"/>
      <c r="BK3" s="574"/>
      <c r="BL3" s="574"/>
      <c r="BM3" s="574"/>
      <c r="BN3" s="574"/>
      <c r="BO3" s="574"/>
      <c r="BP3" s="573"/>
    </row>
    <row r="4" spans="2:68" ht="6" customHeight="1" x14ac:dyDescent="0.25">
      <c r="D4" s="49"/>
      <c r="E4" s="49"/>
      <c r="G4" s="49"/>
      <c r="H4" s="49"/>
      <c r="O4" s="13"/>
      <c r="P4" s="13"/>
      <c r="Q4" s="13"/>
      <c r="R4" s="13"/>
    </row>
    <row r="5" spans="2:68" ht="57.75" customHeight="1" x14ac:dyDescent="0.25">
      <c r="B5" s="11" t="s">
        <v>28</v>
      </c>
      <c r="C5" s="52"/>
      <c r="D5" s="622" t="s">
        <v>93</v>
      </c>
      <c r="E5" s="582"/>
      <c r="F5" s="582"/>
      <c r="G5" s="582"/>
      <c r="H5" s="572"/>
      <c r="J5" s="575" t="s">
        <v>56</v>
      </c>
      <c r="K5" s="568"/>
      <c r="L5" s="568"/>
      <c r="M5" s="569"/>
      <c r="O5" s="577" t="s">
        <v>57</v>
      </c>
      <c r="P5" s="568"/>
      <c r="Q5" s="568"/>
      <c r="R5" s="569"/>
      <c r="T5" s="575" t="s">
        <v>58</v>
      </c>
      <c r="U5" s="568"/>
      <c r="V5" s="568"/>
      <c r="W5" s="569"/>
      <c r="Y5" s="575" t="s">
        <v>59</v>
      </c>
      <c r="Z5" s="568"/>
      <c r="AA5" s="568"/>
      <c r="AB5" s="569"/>
      <c r="AD5" s="575" t="s">
        <v>1</v>
      </c>
      <c r="AE5" s="568"/>
      <c r="AF5" s="568"/>
      <c r="AG5" s="569"/>
      <c r="AI5" s="575" t="s">
        <v>19</v>
      </c>
      <c r="AJ5" s="568"/>
      <c r="AK5" s="568"/>
      <c r="AL5" s="569"/>
      <c r="AN5" s="575" t="s">
        <v>25</v>
      </c>
      <c r="AO5" s="568"/>
      <c r="AP5" s="568"/>
      <c r="AQ5" s="569"/>
      <c r="AS5" s="575" t="s">
        <v>26</v>
      </c>
      <c r="AT5" s="568"/>
      <c r="AU5" s="568"/>
      <c r="AV5" s="569"/>
      <c r="AX5" s="575" t="s">
        <v>27</v>
      </c>
      <c r="AY5" s="568"/>
      <c r="AZ5" s="568"/>
      <c r="BA5" s="569"/>
      <c r="BC5" s="575" t="s">
        <v>54</v>
      </c>
      <c r="BD5" s="568"/>
      <c r="BE5" s="568"/>
      <c r="BF5" s="569"/>
      <c r="BH5" s="575" t="s">
        <v>60</v>
      </c>
      <c r="BI5" s="568"/>
      <c r="BJ5" s="568"/>
      <c r="BK5" s="569"/>
      <c r="BM5" s="575" t="s">
        <v>55</v>
      </c>
      <c r="BN5" s="568"/>
      <c r="BO5" s="568"/>
      <c r="BP5" s="569"/>
    </row>
    <row r="6" spans="2:68" ht="6.75" customHeight="1" x14ac:dyDescent="0.25">
      <c r="B6" s="5"/>
      <c r="D6" s="49"/>
      <c r="E6" s="49"/>
      <c r="G6" s="49"/>
      <c r="H6" s="49"/>
      <c r="O6" s="13"/>
      <c r="P6" s="13"/>
      <c r="Q6" s="13"/>
      <c r="R6" s="13"/>
    </row>
    <row r="7" spans="2:68" ht="42" customHeight="1" x14ac:dyDescent="0.25">
      <c r="B7" s="5"/>
      <c r="D7" s="167" t="s">
        <v>198</v>
      </c>
      <c r="E7" s="167" t="s">
        <v>199</v>
      </c>
      <c r="G7" s="167" t="s">
        <v>200</v>
      </c>
      <c r="H7" s="167" t="s">
        <v>201</v>
      </c>
      <c r="J7" s="12" t="s">
        <v>61</v>
      </c>
      <c r="K7" s="12"/>
      <c r="L7" s="12"/>
      <c r="M7" s="12" t="s">
        <v>62</v>
      </c>
      <c r="O7" s="12" t="s">
        <v>65</v>
      </c>
      <c r="P7" s="12" t="s">
        <v>66</v>
      </c>
      <c r="Q7" s="12" t="s">
        <v>67</v>
      </c>
      <c r="R7" s="12" t="s">
        <v>68</v>
      </c>
      <c r="T7" s="4" t="s">
        <v>31</v>
      </c>
      <c r="U7" s="12" t="s">
        <v>32</v>
      </c>
      <c r="V7" s="12" t="s">
        <v>29</v>
      </c>
      <c r="W7" s="12" t="s">
        <v>30</v>
      </c>
      <c r="Y7" s="12" t="s">
        <v>31</v>
      </c>
      <c r="Z7" s="12" t="s">
        <v>32</v>
      </c>
      <c r="AA7" s="12" t="s">
        <v>29</v>
      </c>
      <c r="AB7" s="12" t="s">
        <v>30</v>
      </c>
      <c r="AD7" s="12" t="s">
        <v>31</v>
      </c>
      <c r="AE7" s="12" t="s">
        <v>32</v>
      </c>
      <c r="AF7" s="12" t="s">
        <v>29</v>
      </c>
      <c r="AG7" s="12" t="s">
        <v>30</v>
      </c>
      <c r="AI7" s="12" t="s">
        <v>31</v>
      </c>
      <c r="AJ7" s="12" t="s">
        <v>32</v>
      </c>
      <c r="AK7" s="12" t="s">
        <v>29</v>
      </c>
      <c r="AL7" s="12" t="s">
        <v>30</v>
      </c>
      <c r="AN7" s="12" t="s">
        <v>31</v>
      </c>
      <c r="AO7" s="12" t="s">
        <v>32</v>
      </c>
      <c r="AP7" s="12" t="s">
        <v>29</v>
      </c>
      <c r="AQ7" s="12" t="s">
        <v>30</v>
      </c>
      <c r="AS7" s="12" t="s">
        <v>31</v>
      </c>
      <c r="AT7" s="12" t="s">
        <v>32</v>
      </c>
      <c r="AU7" s="12" t="s">
        <v>29</v>
      </c>
      <c r="AV7" s="12" t="s">
        <v>30</v>
      </c>
      <c r="AX7" s="12" t="s">
        <v>31</v>
      </c>
      <c r="AY7" s="12" t="s">
        <v>32</v>
      </c>
      <c r="AZ7" s="12" t="s">
        <v>29</v>
      </c>
      <c r="BA7" s="12" t="s">
        <v>30</v>
      </c>
      <c r="BC7" s="12" t="s">
        <v>31</v>
      </c>
      <c r="BD7" s="12" t="s">
        <v>32</v>
      </c>
      <c r="BE7" s="12" t="s">
        <v>29</v>
      </c>
      <c r="BF7" s="12" t="s">
        <v>30</v>
      </c>
      <c r="BH7" s="12" t="s">
        <v>31</v>
      </c>
      <c r="BI7" s="12" t="s">
        <v>32</v>
      </c>
      <c r="BJ7" s="12" t="s">
        <v>29</v>
      </c>
      <c r="BK7" s="12" t="s">
        <v>30</v>
      </c>
      <c r="BM7" s="12" t="s">
        <v>31</v>
      </c>
      <c r="BN7" s="12" t="s">
        <v>32</v>
      </c>
      <c r="BO7" s="12" t="s">
        <v>29</v>
      </c>
      <c r="BP7" s="12" t="s">
        <v>30</v>
      </c>
    </row>
    <row r="8" spans="2:68" ht="13.5" customHeight="1" x14ac:dyDescent="0.25">
      <c r="D8" s="49"/>
      <c r="E8" s="49"/>
      <c r="G8" s="49"/>
      <c r="H8" s="5"/>
      <c r="M8" s="19" t="s">
        <v>94</v>
      </c>
      <c r="O8" s="13"/>
      <c r="P8" s="13"/>
      <c r="Q8" s="13"/>
      <c r="R8" s="13"/>
    </row>
    <row r="9" spans="2:68" ht="28.5" customHeight="1" x14ac:dyDescent="0.25">
      <c r="B9" s="773" t="s">
        <v>33</v>
      </c>
      <c r="D9" s="49"/>
      <c r="E9" s="49"/>
      <c r="G9" s="49"/>
      <c r="H9" s="5"/>
      <c r="J9" s="630" t="s">
        <v>95</v>
      </c>
      <c r="K9" s="582"/>
      <c r="L9" s="582"/>
      <c r="M9" s="572"/>
      <c r="O9" s="13"/>
      <c r="P9" s="631" t="s">
        <v>96</v>
      </c>
      <c r="Q9" s="572"/>
      <c r="R9" s="13"/>
      <c r="T9" s="53" t="s">
        <v>97</v>
      </c>
      <c r="U9" s="53" t="s">
        <v>96</v>
      </c>
    </row>
    <row r="10" spans="2:68" ht="6" customHeight="1" x14ac:dyDescent="0.25">
      <c r="B10" s="71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3"/>
      <c r="P10" s="13"/>
      <c r="Q10" s="13"/>
      <c r="R10" s="49"/>
      <c r="S10" s="5"/>
      <c r="T10" s="5"/>
      <c r="U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 spans="2:68" ht="42" customHeight="1" x14ac:dyDescent="0.25">
      <c r="B11" s="678"/>
      <c r="D11" s="5"/>
      <c r="E11" s="5"/>
      <c r="F11" s="5"/>
      <c r="G11" s="5"/>
      <c r="H11" s="5"/>
      <c r="I11" s="5"/>
      <c r="J11" s="167" t="s">
        <v>98</v>
      </c>
      <c r="K11" s="49"/>
      <c r="L11" s="49"/>
      <c r="M11" s="5"/>
      <c r="N11" s="5"/>
      <c r="O11" s="49"/>
      <c r="P11" s="712" t="s">
        <v>99</v>
      </c>
      <c r="Q11" s="572"/>
      <c r="R11" s="49"/>
      <c r="S11" s="5"/>
      <c r="T11" s="167" t="s">
        <v>100</v>
      </c>
      <c r="U11" s="167" t="s">
        <v>101</v>
      </c>
    </row>
    <row r="12" spans="2:68" ht="18.75" customHeight="1" x14ac:dyDescent="0.25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49"/>
      <c r="P12" s="49"/>
      <c r="Q12" s="49"/>
      <c r="R12" s="49"/>
      <c r="S12" s="5"/>
    </row>
    <row r="13" spans="2:68" ht="48.75" customHeight="1" x14ac:dyDescent="0.25">
      <c r="B13" s="774" t="s">
        <v>466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53" t="s">
        <v>210</v>
      </c>
      <c r="P13" s="49"/>
      <c r="Q13" s="49"/>
      <c r="R13" s="49"/>
      <c r="S13" s="5"/>
    </row>
    <row r="14" spans="2:68" ht="19.5" customHeight="1" x14ac:dyDescent="0.25">
      <c r="B14" s="624"/>
      <c r="D14" s="5"/>
      <c r="E14" s="5"/>
      <c r="G14" s="5"/>
      <c r="H14" s="5"/>
      <c r="O14" s="49"/>
      <c r="P14" s="49"/>
      <c r="Q14" s="49"/>
      <c r="R14" s="49"/>
    </row>
    <row r="15" spans="2:68" ht="50.25" customHeight="1" x14ac:dyDescent="0.25">
      <c r="B15" s="624"/>
      <c r="D15" s="5"/>
      <c r="E15" s="5"/>
      <c r="F15" s="5"/>
      <c r="G15" s="5"/>
      <c r="H15" s="5"/>
      <c r="I15" s="5"/>
      <c r="J15" s="354" t="s">
        <v>218</v>
      </c>
      <c r="K15" s="354"/>
      <c r="L15" s="354"/>
      <c r="M15" s="355" t="s">
        <v>219</v>
      </c>
      <c r="N15" s="5"/>
      <c r="O15" s="356" t="s">
        <v>467</v>
      </c>
      <c r="P15" s="804" t="s">
        <v>468</v>
      </c>
      <c r="Q15" s="568"/>
      <c r="R15" s="569"/>
      <c r="S15" s="5"/>
      <c r="AS15" s="357" t="s">
        <v>469</v>
      </c>
    </row>
    <row r="16" spans="2:68" ht="21" customHeight="1" x14ac:dyDescent="0.25">
      <c r="B16" s="624"/>
      <c r="D16" s="5"/>
      <c r="E16" s="5"/>
      <c r="F16" s="5"/>
      <c r="G16" s="5"/>
      <c r="H16" s="5"/>
      <c r="I16" s="5"/>
      <c r="J16" s="3"/>
      <c r="K16" s="5"/>
      <c r="L16" s="5"/>
      <c r="M16" s="358" t="s">
        <v>230</v>
      </c>
      <c r="N16" s="5"/>
      <c r="O16" s="49"/>
      <c r="P16" s="49"/>
      <c r="Q16" s="49"/>
      <c r="R16" s="49"/>
      <c r="S16" s="5"/>
    </row>
    <row r="17" spans="1:68" ht="33" customHeight="1" x14ac:dyDescent="0.25">
      <c r="B17" s="624"/>
      <c r="D17" s="5"/>
      <c r="E17" s="5"/>
      <c r="F17" s="5"/>
      <c r="G17" s="5"/>
      <c r="H17" s="5"/>
      <c r="I17" s="5"/>
      <c r="J17" s="5"/>
      <c r="K17" s="5"/>
      <c r="L17" s="5"/>
      <c r="M17" s="359"/>
      <c r="N17" s="5"/>
      <c r="O17" s="360" t="s">
        <v>470</v>
      </c>
      <c r="P17" s="13"/>
      <c r="Q17" s="49"/>
      <c r="R17" s="49"/>
      <c r="S17" s="5"/>
      <c r="T17" s="360" t="s">
        <v>471</v>
      </c>
      <c r="Y17" s="361" t="s">
        <v>472</v>
      </c>
      <c r="AQ17" s="823" t="s">
        <v>473</v>
      </c>
      <c r="AR17" s="582"/>
      <c r="AS17" s="572"/>
    </row>
    <row r="18" spans="1:68" ht="6" customHeight="1" x14ac:dyDescent="0.25">
      <c r="B18" s="624"/>
      <c r="D18" s="5"/>
      <c r="E18" s="5"/>
      <c r="G18" s="5"/>
      <c r="H18" s="5"/>
      <c r="O18" s="49"/>
      <c r="P18" s="49"/>
      <c r="Q18" s="49"/>
      <c r="R18" s="49"/>
    </row>
    <row r="19" spans="1:68" ht="57.75" customHeight="1" x14ac:dyDescent="0.25">
      <c r="A19" s="18"/>
      <c r="B19" s="624"/>
      <c r="C19" s="18"/>
      <c r="D19" s="207"/>
      <c r="E19" s="207"/>
      <c r="F19" s="18"/>
      <c r="G19" s="207"/>
      <c r="H19" s="297"/>
      <c r="I19" s="18"/>
      <c r="J19" s="362"/>
      <c r="K19" s="362"/>
      <c r="L19" s="362"/>
      <c r="M19" s="362" t="s">
        <v>474</v>
      </c>
      <c r="N19" s="18"/>
      <c r="O19" s="363" t="s">
        <v>475</v>
      </c>
      <c r="P19" s="805" t="s">
        <v>476</v>
      </c>
      <c r="Q19" s="572"/>
      <c r="R19" s="805" t="s">
        <v>477</v>
      </c>
      <c r="S19" s="582"/>
      <c r="T19" s="572"/>
      <c r="U19" s="364" t="s">
        <v>478</v>
      </c>
      <c r="V19" s="803" t="s">
        <v>479</v>
      </c>
      <c r="W19" s="568"/>
      <c r="X19" s="568"/>
      <c r="Y19" s="568"/>
      <c r="Z19" s="568"/>
      <c r="AA19" s="569"/>
      <c r="AB19" s="801" t="s">
        <v>480</v>
      </c>
      <c r="AC19" s="582"/>
      <c r="AD19" s="582"/>
      <c r="AE19" s="572"/>
      <c r="AF19" s="802" t="s">
        <v>481</v>
      </c>
      <c r="AG19" s="582"/>
      <c r="AH19" s="582"/>
      <c r="AI19" s="572"/>
      <c r="AJ19" s="802" t="s">
        <v>482</v>
      </c>
      <c r="AK19" s="572"/>
      <c r="AL19" s="802" t="s">
        <v>483</v>
      </c>
      <c r="AM19" s="582"/>
      <c r="AN19" s="572"/>
      <c r="AO19" s="802" t="s">
        <v>484</v>
      </c>
      <c r="AP19" s="572"/>
      <c r="AQ19" s="802" t="s">
        <v>485</v>
      </c>
      <c r="AR19" s="582"/>
      <c r="AS19" s="572"/>
      <c r="AT19" s="818" t="s">
        <v>486</v>
      </c>
      <c r="AU19" s="582"/>
      <c r="AV19" s="582"/>
      <c r="AW19" s="582"/>
      <c r="AX19" s="572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</row>
    <row r="20" spans="1:68" ht="13.5" customHeight="1" x14ac:dyDescent="0.25">
      <c r="B20" s="624"/>
      <c r="D20" s="49"/>
      <c r="E20" s="49"/>
      <c r="G20" s="49"/>
      <c r="H20" s="5"/>
      <c r="O20" s="49"/>
      <c r="P20" s="49"/>
      <c r="Q20" s="49"/>
      <c r="R20" s="49"/>
      <c r="AB20" s="365"/>
      <c r="AJ20" s="365"/>
      <c r="AK20" s="365"/>
      <c r="AO20" s="365"/>
      <c r="AP20" s="365"/>
    </row>
    <row r="21" spans="1:68" ht="57.75" customHeight="1" x14ac:dyDescent="0.25">
      <c r="B21" s="593"/>
      <c r="D21" s="49"/>
      <c r="E21" s="49"/>
      <c r="G21" s="49"/>
      <c r="H21" s="5"/>
      <c r="J21" s="5"/>
      <c r="K21" s="5"/>
      <c r="L21" s="5"/>
      <c r="M21" s="5"/>
      <c r="O21" s="49"/>
      <c r="P21" s="49"/>
      <c r="Q21" s="49"/>
      <c r="R21" s="366" t="s">
        <v>487</v>
      </c>
      <c r="T21" s="366" t="s">
        <v>488</v>
      </c>
      <c r="U21" s="366" t="s">
        <v>489</v>
      </c>
      <c r="AA21" s="366" t="s">
        <v>490</v>
      </c>
      <c r="AE21" s="367" t="s">
        <v>491</v>
      </c>
      <c r="AI21" s="367" t="s">
        <v>492</v>
      </c>
      <c r="AK21" s="367" t="s">
        <v>493</v>
      </c>
      <c r="AN21" s="367" t="s">
        <v>494</v>
      </c>
      <c r="AP21" s="367" t="s">
        <v>495</v>
      </c>
      <c r="AQ21" s="819" t="s">
        <v>496</v>
      </c>
      <c r="AR21" s="582"/>
      <c r="AS21" s="572"/>
      <c r="AX21" s="367" t="s">
        <v>497</v>
      </c>
    </row>
    <row r="22" spans="1:68" ht="40.5" customHeight="1" x14ac:dyDescent="0.25">
      <c r="B22" s="14"/>
      <c r="D22" s="49"/>
      <c r="E22" s="49"/>
      <c r="G22" s="49"/>
      <c r="H22" s="5"/>
      <c r="O22" s="49"/>
      <c r="P22" s="49"/>
      <c r="Q22" s="49"/>
      <c r="R22" s="49"/>
    </row>
    <row r="23" spans="1:68" ht="29.25" customHeight="1" x14ac:dyDescent="0.25">
      <c r="B23" s="772" t="s">
        <v>45</v>
      </c>
      <c r="D23" s="49"/>
      <c r="E23" s="49"/>
      <c r="G23" s="49"/>
      <c r="H23" s="5"/>
      <c r="O23" s="49"/>
      <c r="P23" s="49"/>
      <c r="Q23" s="49"/>
      <c r="R23" s="49"/>
      <c r="AU23" s="820" t="s">
        <v>498</v>
      </c>
      <c r="AV23" s="582"/>
      <c r="AW23" s="582"/>
      <c r="AX23" s="582"/>
      <c r="AY23" s="582"/>
      <c r="AZ23" s="572"/>
    </row>
    <row r="24" spans="1:68" ht="8.25" customHeight="1" x14ac:dyDescent="0.25">
      <c r="B24" s="624"/>
      <c r="D24" s="49"/>
      <c r="E24" s="49"/>
      <c r="G24" s="49"/>
      <c r="H24" s="5"/>
      <c r="O24" s="49"/>
      <c r="P24" s="49"/>
      <c r="Q24" s="49"/>
      <c r="R24" s="49"/>
    </row>
    <row r="25" spans="1:68" ht="63" customHeight="1" x14ac:dyDescent="0.25">
      <c r="B25" s="593"/>
      <c r="D25" s="49"/>
      <c r="E25" s="49"/>
      <c r="G25" s="49"/>
      <c r="H25" s="5"/>
      <c r="O25" s="49"/>
      <c r="P25" s="49"/>
      <c r="Q25" s="49"/>
      <c r="R25" s="49"/>
      <c r="AU25" s="821" t="s">
        <v>499</v>
      </c>
      <c r="AV25" s="582"/>
      <c r="AW25" s="582"/>
      <c r="AX25" s="582"/>
      <c r="AY25" s="582"/>
      <c r="AZ25" s="572"/>
    </row>
    <row r="26" spans="1:68" ht="35.25" customHeight="1" x14ac:dyDescent="0.25">
      <c r="B26" s="14"/>
      <c r="D26" s="49"/>
      <c r="E26" s="49"/>
      <c r="G26" s="49"/>
      <c r="H26" s="5"/>
      <c r="O26" s="49"/>
      <c r="P26" s="49"/>
      <c r="Q26" s="49"/>
      <c r="R26" s="49"/>
    </row>
    <row r="27" spans="1:68" ht="29.25" customHeight="1" x14ac:dyDescent="0.25">
      <c r="B27" s="772" t="s">
        <v>46</v>
      </c>
      <c r="D27" s="49"/>
      <c r="E27" s="49"/>
      <c r="G27" s="49"/>
      <c r="H27" s="5"/>
      <c r="O27" s="49"/>
      <c r="P27" s="49"/>
      <c r="Q27" s="49"/>
      <c r="R27" s="49"/>
      <c r="AD27" s="368" t="s">
        <v>253</v>
      </c>
      <c r="AF27" s="810" t="s">
        <v>253</v>
      </c>
      <c r="AG27" s="732"/>
      <c r="AJ27" s="810" t="s">
        <v>253</v>
      </c>
      <c r="AK27" s="732"/>
      <c r="AL27" s="810" t="s">
        <v>253</v>
      </c>
      <c r="AM27" s="824"/>
      <c r="AN27" s="732"/>
      <c r="AO27" s="810" t="s">
        <v>253</v>
      </c>
      <c r="AP27" s="732"/>
      <c r="AQ27" s="368" t="s">
        <v>253</v>
      </c>
      <c r="AV27" s="813" t="s">
        <v>254</v>
      </c>
      <c r="AW27" s="568"/>
      <c r="AX27" s="569"/>
    </row>
    <row r="28" spans="1:68" ht="8.25" customHeight="1" x14ac:dyDescent="0.25">
      <c r="B28" s="624"/>
      <c r="D28" s="49"/>
      <c r="E28" s="49"/>
      <c r="G28" s="49"/>
      <c r="H28" s="5"/>
      <c r="O28" s="49"/>
      <c r="P28" s="49"/>
      <c r="Q28" s="49"/>
      <c r="R28" s="49"/>
    </row>
    <row r="29" spans="1:68" ht="65.25" customHeight="1" x14ac:dyDescent="0.25">
      <c r="B29" s="593"/>
      <c r="D29" s="49"/>
      <c r="E29" s="49"/>
      <c r="G29" s="49"/>
      <c r="H29" s="5"/>
      <c r="O29" s="49"/>
      <c r="P29" s="49"/>
      <c r="Q29" s="49"/>
      <c r="R29" s="49"/>
      <c r="AD29" s="369" t="s">
        <v>117</v>
      </c>
      <c r="AF29" s="811" t="s">
        <v>118</v>
      </c>
      <c r="AG29" s="728"/>
      <c r="AJ29" s="811" t="s">
        <v>156</v>
      </c>
      <c r="AK29" s="728"/>
      <c r="AL29" s="811" t="s">
        <v>500</v>
      </c>
      <c r="AM29" s="636"/>
      <c r="AN29" s="728"/>
      <c r="AO29" s="811" t="s">
        <v>501</v>
      </c>
      <c r="AP29" s="728"/>
      <c r="AQ29" s="369" t="s">
        <v>257</v>
      </c>
      <c r="AV29" s="814" t="s">
        <v>258</v>
      </c>
      <c r="AW29" s="568"/>
      <c r="AX29" s="569"/>
    </row>
    <row r="30" spans="1:68" ht="35.25" customHeight="1" x14ac:dyDescent="0.25">
      <c r="B30" s="14"/>
      <c r="D30" s="49"/>
      <c r="E30" s="49"/>
      <c r="G30" s="49"/>
      <c r="H30" s="5"/>
      <c r="O30" s="49"/>
      <c r="P30" s="49"/>
      <c r="Q30" s="49"/>
      <c r="R30" s="49"/>
    </row>
    <row r="31" spans="1:68" ht="29.25" customHeight="1" x14ac:dyDescent="0.25">
      <c r="B31" s="772" t="s">
        <v>47</v>
      </c>
      <c r="D31" s="49"/>
      <c r="E31" s="49"/>
      <c r="G31" s="49"/>
      <c r="H31" s="5"/>
      <c r="O31" s="49"/>
      <c r="P31" s="49"/>
      <c r="Q31" s="49"/>
      <c r="R31" s="49"/>
      <c r="AD31" s="368" t="s">
        <v>263</v>
      </c>
      <c r="AG31" s="368" t="s">
        <v>253</v>
      </c>
      <c r="AK31" s="368" t="s">
        <v>253</v>
      </c>
      <c r="AN31" s="368" t="s">
        <v>253</v>
      </c>
      <c r="AO31" s="368" t="s">
        <v>253</v>
      </c>
      <c r="AQ31" s="368" t="s">
        <v>253</v>
      </c>
      <c r="AV31" s="813" t="s">
        <v>264</v>
      </c>
      <c r="AW31" s="568"/>
      <c r="AX31" s="569"/>
    </row>
    <row r="32" spans="1:68" ht="8.25" customHeight="1" x14ac:dyDescent="0.25">
      <c r="B32" s="624"/>
      <c r="D32" s="49"/>
      <c r="E32" s="49"/>
      <c r="G32" s="49"/>
      <c r="H32" s="5"/>
      <c r="O32" s="49"/>
      <c r="P32" s="49"/>
      <c r="Q32" s="49"/>
      <c r="R32" s="49"/>
    </row>
    <row r="33" spans="1:68" ht="63" customHeight="1" x14ac:dyDescent="0.25">
      <c r="B33" s="593"/>
      <c r="D33" s="49"/>
      <c r="E33" s="49"/>
      <c r="G33" s="49"/>
      <c r="H33" s="5"/>
      <c r="O33" s="49"/>
      <c r="P33" s="49"/>
      <c r="Q33" s="49"/>
      <c r="R33" s="49"/>
      <c r="AD33" s="369" t="s">
        <v>157</v>
      </c>
      <c r="AG33" s="369" t="s">
        <v>158</v>
      </c>
      <c r="AK33" s="369" t="s">
        <v>159</v>
      </c>
      <c r="AN33" s="370" t="s">
        <v>265</v>
      </c>
      <c r="AO33" s="371" t="s">
        <v>266</v>
      </c>
      <c r="AQ33" s="369" t="s">
        <v>257</v>
      </c>
      <c r="AV33" s="814" t="s">
        <v>502</v>
      </c>
      <c r="AW33" s="568"/>
      <c r="AX33" s="569"/>
    </row>
    <row r="34" spans="1:68" ht="35.25" customHeight="1" x14ac:dyDescent="0.25">
      <c r="B34" s="14"/>
      <c r="D34" s="49"/>
      <c r="E34" s="49"/>
      <c r="G34" s="49"/>
      <c r="H34" s="5"/>
      <c r="O34" s="49"/>
      <c r="P34" s="49"/>
      <c r="Q34" s="49"/>
      <c r="R34" s="49"/>
    </row>
    <row r="35" spans="1:68" ht="29.25" customHeight="1" x14ac:dyDescent="0.25">
      <c r="B35" s="772" t="s">
        <v>48</v>
      </c>
      <c r="D35" s="49"/>
      <c r="E35" s="49"/>
      <c r="G35" s="49"/>
      <c r="H35" s="5"/>
      <c r="O35" s="49"/>
      <c r="P35" s="49"/>
      <c r="Q35" s="49"/>
      <c r="R35" s="49"/>
      <c r="AP35" s="810" t="s">
        <v>253</v>
      </c>
      <c r="AQ35" s="732"/>
      <c r="AX35" s="368" t="s">
        <v>300</v>
      </c>
    </row>
    <row r="36" spans="1:68" ht="8.25" customHeight="1" x14ac:dyDescent="0.25">
      <c r="B36" s="624"/>
      <c r="D36" s="49"/>
      <c r="E36" s="49"/>
      <c r="G36" s="49"/>
      <c r="H36" s="5"/>
      <c r="O36" s="49"/>
      <c r="P36" s="49"/>
      <c r="Q36" s="49"/>
      <c r="R36" s="49"/>
    </row>
    <row r="37" spans="1:68" ht="63" customHeight="1" x14ac:dyDescent="0.25">
      <c r="B37" s="593"/>
      <c r="D37" s="49"/>
      <c r="E37" s="49"/>
      <c r="G37" s="49"/>
      <c r="H37" s="5"/>
      <c r="O37" s="49"/>
      <c r="P37" s="49"/>
      <c r="Q37" s="49"/>
      <c r="R37" s="49"/>
      <c r="AP37" s="811" t="s">
        <v>334</v>
      </c>
      <c r="AQ37" s="728"/>
      <c r="AX37" s="372" t="s">
        <v>163</v>
      </c>
    </row>
    <row r="38" spans="1:68" ht="13.5" customHeight="1" x14ac:dyDescent="0.25">
      <c r="D38" s="49"/>
      <c r="E38" s="49"/>
      <c r="G38" s="49"/>
      <c r="H38" s="5"/>
      <c r="O38" s="49"/>
      <c r="P38" s="49"/>
      <c r="Q38" s="49"/>
      <c r="R38" s="49"/>
    </row>
    <row r="39" spans="1:68" ht="54.75" customHeight="1" x14ac:dyDescent="0.25">
      <c r="D39" s="5"/>
      <c r="E39" s="5"/>
      <c r="F39" s="5"/>
      <c r="G39" s="5"/>
      <c r="H39" s="5"/>
      <c r="I39" s="5"/>
      <c r="J39" s="354" t="s">
        <v>218</v>
      </c>
      <c r="K39" s="354"/>
      <c r="L39" s="354"/>
      <c r="M39" s="355" t="s">
        <v>219</v>
      </c>
      <c r="N39" s="5"/>
      <c r="O39" s="373" t="s">
        <v>503</v>
      </c>
      <c r="P39" s="804" t="s">
        <v>504</v>
      </c>
      <c r="Q39" s="568"/>
      <c r="R39" s="569"/>
      <c r="S39" s="5"/>
      <c r="BA39" s="357" t="s">
        <v>469</v>
      </c>
    </row>
    <row r="40" spans="1:68" ht="13.5" customHeight="1" x14ac:dyDescent="0.25">
      <c r="B40" s="17"/>
      <c r="D40" s="49"/>
      <c r="E40" s="49"/>
      <c r="G40" s="49"/>
      <c r="H40" s="5"/>
      <c r="O40" s="49"/>
      <c r="P40" s="49"/>
      <c r="Q40" s="49"/>
      <c r="R40" s="49"/>
    </row>
    <row r="41" spans="1:68" ht="51" customHeight="1" x14ac:dyDescent="0.25">
      <c r="B41" s="17"/>
      <c r="D41" s="49"/>
      <c r="E41" s="49"/>
      <c r="G41" s="49"/>
      <c r="H41" s="5"/>
      <c r="O41" s="360" t="s">
        <v>470</v>
      </c>
      <c r="P41" s="49"/>
      <c r="U41" s="361" t="s">
        <v>505</v>
      </c>
      <c r="AB41" s="361" t="s">
        <v>472</v>
      </c>
      <c r="AS41" s="822" t="s">
        <v>506</v>
      </c>
      <c r="AT41" s="636"/>
      <c r="AU41" s="636"/>
      <c r="AV41" s="728"/>
      <c r="AZ41" s="823" t="s">
        <v>473</v>
      </c>
      <c r="BA41" s="572"/>
    </row>
    <row r="42" spans="1:68" ht="13.5" customHeight="1" x14ac:dyDescent="0.25">
      <c r="B42" s="17"/>
      <c r="D42" s="49"/>
      <c r="E42" s="49"/>
      <c r="G42" s="49"/>
      <c r="H42" s="5"/>
      <c r="O42" s="49"/>
      <c r="P42" s="49"/>
      <c r="Q42" s="49"/>
      <c r="R42" s="49"/>
    </row>
    <row r="43" spans="1:68" ht="70.5" customHeight="1" x14ac:dyDescent="0.25">
      <c r="A43" s="18"/>
      <c r="B43" s="17" t="s">
        <v>49</v>
      </c>
      <c r="C43" s="18"/>
      <c r="D43" s="207"/>
      <c r="E43" s="207"/>
      <c r="F43" s="18"/>
      <c r="G43" s="207"/>
      <c r="H43" s="297"/>
      <c r="I43" s="18"/>
      <c r="J43" s="18"/>
      <c r="K43" s="18"/>
      <c r="L43" s="18"/>
      <c r="M43" s="18"/>
      <c r="N43" s="18"/>
      <c r="O43" s="374" t="s">
        <v>507</v>
      </c>
      <c r="P43" s="812" t="s">
        <v>508</v>
      </c>
      <c r="Q43" s="808"/>
      <c r="R43" s="812" t="s">
        <v>509</v>
      </c>
      <c r="S43" s="807"/>
      <c r="T43" s="808"/>
      <c r="U43" s="375" t="s">
        <v>510</v>
      </c>
      <c r="V43" s="812" t="s">
        <v>511</v>
      </c>
      <c r="W43" s="808"/>
      <c r="X43" s="376"/>
      <c r="Y43" s="803" t="s">
        <v>512</v>
      </c>
      <c r="Z43" s="568"/>
      <c r="AA43" s="568"/>
      <c r="AB43" s="568"/>
      <c r="AC43" s="568"/>
      <c r="AD43" s="568"/>
      <c r="AE43" s="569"/>
      <c r="AF43" s="806" t="s">
        <v>513</v>
      </c>
      <c r="AG43" s="807"/>
      <c r="AH43" s="807"/>
      <c r="AI43" s="807"/>
      <c r="AJ43" s="808"/>
      <c r="AK43" s="809" t="s">
        <v>514</v>
      </c>
      <c r="AL43" s="807"/>
      <c r="AM43" s="807"/>
      <c r="AN43" s="808"/>
      <c r="AO43" s="809" t="s">
        <v>515</v>
      </c>
      <c r="AP43" s="807"/>
      <c r="AQ43" s="808"/>
      <c r="AR43" s="377"/>
      <c r="AS43" s="809" t="s">
        <v>516</v>
      </c>
      <c r="AT43" s="807"/>
      <c r="AU43" s="808"/>
      <c r="AV43" s="809" t="s">
        <v>517</v>
      </c>
      <c r="AW43" s="807"/>
      <c r="AX43" s="807"/>
      <c r="AY43" s="815"/>
      <c r="AZ43" s="816" t="s">
        <v>518</v>
      </c>
      <c r="BA43" s="817"/>
      <c r="BC43" s="818" t="s">
        <v>519</v>
      </c>
      <c r="BD43" s="582"/>
      <c r="BE43" s="582"/>
      <c r="BF43" s="572"/>
      <c r="BH43" s="18"/>
      <c r="BI43" s="18"/>
      <c r="BJ43" s="18"/>
      <c r="BK43" s="18"/>
      <c r="BL43" s="18"/>
      <c r="BM43" s="18"/>
      <c r="BN43" s="18"/>
      <c r="BO43" s="18"/>
      <c r="BP43" s="18"/>
    </row>
    <row r="44" spans="1:68" ht="14.25" customHeight="1" x14ac:dyDescent="0.25">
      <c r="B44" s="17"/>
      <c r="D44" s="49"/>
      <c r="E44" s="49"/>
      <c r="G44" s="49"/>
      <c r="H44" s="49"/>
      <c r="O44" s="13"/>
      <c r="P44" s="13"/>
      <c r="Q44" s="13"/>
      <c r="R44" s="13"/>
      <c r="AB44" s="365"/>
      <c r="AJ44" s="365"/>
      <c r="AK44" s="365"/>
      <c r="AL44" s="365"/>
      <c r="AO44" s="365"/>
      <c r="AP44" s="365"/>
      <c r="AT44" s="365"/>
      <c r="AV44" s="365"/>
      <c r="AW44" s="365"/>
    </row>
    <row r="45" spans="1:68" ht="58.5" customHeight="1" x14ac:dyDescent="0.25">
      <c r="B45" s="17"/>
      <c r="D45" s="5"/>
      <c r="E45" s="5"/>
      <c r="F45" s="5"/>
      <c r="G45" s="5"/>
      <c r="H45" s="5"/>
      <c r="I45" s="5"/>
      <c r="N45" s="5"/>
      <c r="O45" s="13"/>
      <c r="P45" s="13"/>
      <c r="R45" s="366" t="s">
        <v>487</v>
      </c>
      <c r="T45" s="366" t="s">
        <v>520</v>
      </c>
      <c r="U45" s="366" t="s">
        <v>521</v>
      </c>
      <c r="W45" s="378" t="s">
        <v>522</v>
      </c>
      <c r="AE45" s="367" t="s">
        <v>523</v>
      </c>
      <c r="AJ45" s="367" t="s">
        <v>524</v>
      </c>
      <c r="AN45" s="367" t="s">
        <v>525</v>
      </c>
      <c r="AQ45" s="367" t="s">
        <v>526</v>
      </c>
      <c r="AU45" s="367" t="s">
        <v>527</v>
      </c>
      <c r="AY45" s="367" t="s">
        <v>528</v>
      </c>
      <c r="AZ45" s="819" t="s">
        <v>529</v>
      </c>
      <c r="BA45" s="572"/>
      <c r="BF45" s="367" t="s">
        <v>530</v>
      </c>
    </row>
    <row r="46" spans="1:68" ht="70.5" customHeight="1" x14ac:dyDescent="0.25">
      <c r="B46" s="17"/>
      <c r="D46" s="5"/>
      <c r="E46" s="5"/>
      <c r="F46" s="5"/>
      <c r="G46" s="5"/>
      <c r="H46" s="5"/>
      <c r="I46" s="5"/>
      <c r="N46" s="5"/>
      <c r="O46" s="13"/>
      <c r="P46" s="13"/>
    </row>
    <row r="47" spans="1:68" ht="40.5" customHeight="1" x14ac:dyDescent="0.25">
      <c r="B47" s="17"/>
      <c r="D47" s="49"/>
      <c r="E47" s="49"/>
      <c r="G47" s="49"/>
      <c r="H47" s="49"/>
      <c r="O47" s="13"/>
      <c r="P47" s="13"/>
      <c r="BD47" s="820" t="s">
        <v>498</v>
      </c>
      <c r="BE47" s="582"/>
      <c r="BF47" s="582"/>
      <c r="BG47" s="582"/>
      <c r="BH47" s="582"/>
      <c r="BI47" s="572"/>
    </row>
    <row r="48" spans="1:68" ht="13.5" customHeight="1" x14ac:dyDescent="0.25">
      <c r="B48" s="17"/>
      <c r="D48" s="5"/>
      <c r="E48" s="5"/>
      <c r="G48" s="5"/>
      <c r="H48" s="49"/>
      <c r="O48" s="13"/>
      <c r="P48" s="13"/>
    </row>
    <row r="49" spans="2:61" ht="60" customHeight="1" x14ac:dyDescent="0.25">
      <c r="B49" s="17"/>
      <c r="D49" s="49"/>
      <c r="E49" s="49"/>
      <c r="G49" s="49"/>
      <c r="H49" s="49"/>
      <c r="O49" s="13"/>
      <c r="P49" s="13"/>
      <c r="BD49" s="821" t="s">
        <v>531</v>
      </c>
      <c r="BE49" s="582"/>
      <c r="BF49" s="582"/>
      <c r="BG49" s="582"/>
      <c r="BH49" s="582"/>
      <c r="BI49" s="572"/>
    </row>
    <row r="50" spans="2:61" ht="31.5" customHeight="1" x14ac:dyDescent="0.25">
      <c r="D50" s="49"/>
      <c r="E50" s="49"/>
      <c r="G50" s="49"/>
      <c r="H50" s="49"/>
      <c r="O50" s="13"/>
      <c r="P50" s="13"/>
    </row>
    <row r="51" spans="2:61" ht="39.75" customHeight="1" x14ac:dyDescent="0.25">
      <c r="D51" s="49"/>
      <c r="E51" s="49"/>
      <c r="G51" s="49"/>
      <c r="H51" s="49"/>
      <c r="O51" s="13"/>
      <c r="P51" s="13"/>
      <c r="BE51" s="813" t="s">
        <v>254</v>
      </c>
      <c r="BF51" s="568"/>
      <c r="BG51" s="569"/>
    </row>
    <row r="52" spans="2:61" ht="8.25" customHeight="1" x14ac:dyDescent="0.25">
      <c r="D52" s="49"/>
      <c r="E52" s="49"/>
      <c r="G52" s="49"/>
      <c r="H52" s="49"/>
      <c r="O52" s="13"/>
      <c r="P52" s="13"/>
    </row>
    <row r="53" spans="2:61" ht="60" customHeight="1" x14ac:dyDescent="0.25">
      <c r="D53" s="49"/>
      <c r="E53" s="49"/>
      <c r="G53" s="49"/>
      <c r="H53" s="49"/>
      <c r="O53" s="13"/>
      <c r="P53" s="13"/>
      <c r="Q53" s="13"/>
      <c r="R53" s="13"/>
      <c r="BE53" s="814" t="s">
        <v>258</v>
      </c>
      <c r="BF53" s="568"/>
      <c r="BG53" s="569"/>
    </row>
    <row r="54" spans="2:61" ht="33.75" customHeight="1" x14ac:dyDescent="0.25">
      <c r="D54" s="49"/>
      <c r="E54" s="49"/>
      <c r="G54" s="49"/>
      <c r="H54" s="49"/>
      <c r="O54" s="13"/>
      <c r="P54" s="13"/>
      <c r="Q54" s="13"/>
      <c r="R54" s="13"/>
    </row>
    <row r="55" spans="2:61" ht="39.75" customHeight="1" x14ac:dyDescent="0.25">
      <c r="D55" s="49"/>
      <c r="E55" s="49"/>
      <c r="G55" s="49"/>
      <c r="H55" s="49"/>
      <c r="O55" s="13"/>
      <c r="P55" s="13"/>
      <c r="Q55" s="13"/>
      <c r="R55" s="13"/>
      <c r="BE55" s="813" t="s">
        <v>264</v>
      </c>
      <c r="BF55" s="568"/>
      <c r="BG55" s="569"/>
    </row>
    <row r="56" spans="2:61" ht="15.75" customHeight="1" x14ac:dyDescent="0.25">
      <c r="D56" s="49"/>
      <c r="E56" s="49"/>
      <c r="G56" s="49"/>
      <c r="H56" s="49"/>
      <c r="O56" s="13"/>
      <c r="P56" s="13"/>
      <c r="Q56" s="13"/>
      <c r="R56" s="13"/>
    </row>
    <row r="57" spans="2:61" ht="60" customHeight="1" x14ac:dyDescent="0.25">
      <c r="D57" s="49"/>
      <c r="E57" s="49"/>
      <c r="G57" s="49"/>
      <c r="H57" s="49"/>
      <c r="O57" s="13"/>
      <c r="P57" s="13"/>
      <c r="Q57" s="13"/>
      <c r="R57" s="13"/>
      <c r="BE57" s="814" t="s">
        <v>502</v>
      </c>
      <c r="BF57" s="568"/>
      <c r="BG57" s="569"/>
    </row>
    <row r="58" spans="2:61" ht="14.25" customHeight="1" x14ac:dyDescent="0.25">
      <c r="D58" s="49"/>
      <c r="E58" s="49"/>
      <c r="G58" s="49"/>
      <c r="H58" s="49"/>
      <c r="O58" s="13"/>
      <c r="P58" s="13"/>
      <c r="Q58" s="13"/>
      <c r="R58" s="13"/>
    </row>
    <row r="59" spans="2:61" ht="59.25" customHeight="1" x14ac:dyDescent="0.25">
      <c r="D59" s="49"/>
      <c r="E59" s="49"/>
      <c r="G59" s="49"/>
      <c r="H59" s="49"/>
      <c r="O59" s="13"/>
      <c r="P59" s="13"/>
      <c r="Q59" s="13"/>
      <c r="R59" s="13"/>
    </row>
    <row r="60" spans="2:61" ht="14.25" customHeight="1" x14ac:dyDescent="0.25">
      <c r="D60" s="49"/>
      <c r="E60" s="49"/>
      <c r="G60" s="49"/>
      <c r="H60" s="49"/>
      <c r="O60" s="13"/>
      <c r="P60" s="13"/>
      <c r="Q60" s="13"/>
      <c r="R60" s="13"/>
    </row>
    <row r="61" spans="2:61" ht="43.5" customHeight="1" x14ac:dyDescent="0.25">
      <c r="D61" s="49"/>
      <c r="E61" s="49"/>
      <c r="G61" s="49"/>
      <c r="H61" s="49"/>
      <c r="O61" s="13"/>
      <c r="P61" s="13"/>
      <c r="Q61" s="13"/>
      <c r="R61" s="13"/>
    </row>
    <row r="62" spans="2:61" ht="28.5" customHeight="1" x14ac:dyDescent="0.25">
      <c r="D62" s="49"/>
      <c r="E62" s="49"/>
      <c r="G62" s="49"/>
      <c r="H62" s="49"/>
      <c r="O62" s="13"/>
      <c r="P62" s="13"/>
      <c r="Q62" s="13"/>
      <c r="R62" s="13"/>
    </row>
    <row r="63" spans="2:61" ht="14.25" customHeight="1" x14ac:dyDescent="0.25">
      <c r="D63" s="49"/>
      <c r="E63" s="49"/>
      <c r="G63" s="49"/>
      <c r="H63" s="49"/>
      <c r="O63" s="13"/>
      <c r="P63" s="13"/>
      <c r="Q63" s="13"/>
      <c r="R63" s="13"/>
    </row>
    <row r="64" spans="2:61" ht="51" customHeight="1" x14ac:dyDescent="0.25">
      <c r="D64" s="49"/>
      <c r="E64" s="49"/>
      <c r="G64" s="49"/>
      <c r="H64" s="49"/>
      <c r="O64" s="13"/>
      <c r="P64" s="13"/>
      <c r="Q64" s="13"/>
      <c r="R64" s="13"/>
    </row>
    <row r="65" spans="4:18" ht="25.5" customHeight="1" x14ac:dyDescent="0.25">
      <c r="D65" s="49"/>
      <c r="E65" s="49"/>
      <c r="G65" s="49"/>
      <c r="H65" s="49"/>
      <c r="O65" s="13"/>
      <c r="P65" s="13"/>
      <c r="Q65" s="13"/>
      <c r="R65" s="13"/>
    </row>
    <row r="66" spans="4:18" ht="37.5" customHeight="1" x14ac:dyDescent="0.25">
      <c r="D66" s="49"/>
      <c r="E66" s="49"/>
      <c r="G66" s="49"/>
      <c r="H66" s="49"/>
      <c r="O66" s="13"/>
      <c r="P66" s="13"/>
      <c r="Q66" s="13"/>
      <c r="R66" s="13"/>
    </row>
    <row r="67" spans="4:18" ht="35.25" customHeight="1" x14ac:dyDescent="0.25">
      <c r="D67" s="49"/>
      <c r="E67" s="49"/>
      <c r="G67" s="49"/>
      <c r="H67" s="49"/>
      <c r="O67" s="13"/>
      <c r="P67" s="13"/>
      <c r="Q67" s="13"/>
      <c r="R67" s="13"/>
    </row>
    <row r="68" spans="4:18" ht="12" customHeight="1" x14ac:dyDescent="0.25">
      <c r="D68" s="49"/>
      <c r="E68" s="49"/>
      <c r="G68" s="49"/>
      <c r="H68" s="49"/>
      <c r="O68" s="13"/>
      <c r="P68" s="13"/>
      <c r="Q68" s="13"/>
      <c r="R68" s="13"/>
    </row>
    <row r="69" spans="4:18" ht="66" customHeight="1" x14ac:dyDescent="0.25">
      <c r="D69" s="49"/>
      <c r="E69" s="49"/>
      <c r="G69" s="49"/>
      <c r="H69" s="49"/>
      <c r="O69" s="13"/>
      <c r="P69" s="13"/>
      <c r="Q69" s="13"/>
      <c r="R69" s="13"/>
    </row>
    <row r="70" spans="4:18" ht="14.25" customHeight="1" x14ac:dyDescent="0.25">
      <c r="D70" s="49"/>
      <c r="E70" s="49"/>
      <c r="G70" s="49"/>
      <c r="H70" s="49"/>
      <c r="O70" s="13"/>
      <c r="P70" s="13"/>
      <c r="Q70" s="13"/>
      <c r="R70" s="13"/>
    </row>
    <row r="71" spans="4:18" ht="14.25" customHeight="1" x14ac:dyDescent="0.25">
      <c r="D71" s="49"/>
      <c r="E71" s="49"/>
      <c r="G71" s="49"/>
      <c r="H71" s="49"/>
      <c r="O71" s="13"/>
      <c r="P71" s="13"/>
      <c r="Q71" s="13"/>
      <c r="R71" s="13"/>
    </row>
    <row r="72" spans="4:18" ht="14.25" customHeight="1" x14ac:dyDescent="0.25">
      <c r="D72" s="49"/>
      <c r="E72" s="49"/>
      <c r="G72" s="49"/>
      <c r="H72" s="49"/>
      <c r="O72" s="13"/>
      <c r="P72" s="13"/>
      <c r="Q72" s="13"/>
      <c r="R72" s="13"/>
    </row>
    <row r="73" spans="4:18" ht="14.25" customHeight="1" x14ac:dyDescent="0.25">
      <c r="D73" s="49"/>
      <c r="E73" s="49"/>
      <c r="G73" s="49"/>
      <c r="H73" s="49"/>
      <c r="O73" s="13"/>
      <c r="P73" s="13"/>
      <c r="Q73" s="13"/>
      <c r="R73" s="13"/>
    </row>
    <row r="74" spans="4:18" ht="14.25" customHeight="1" x14ac:dyDescent="0.25">
      <c r="D74" s="49"/>
      <c r="E74" s="49"/>
      <c r="G74" s="49"/>
      <c r="H74" s="49"/>
      <c r="O74" s="13"/>
      <c r="P74" s="13"/>
      <c r="Q74" s="13"/>
      <c r="R74" s="13"/>
    </row>
    <row r="75" spans="4:18" ht="14.25" customHeight="1" x14ac:dyDescent="0.25">
      <c r="D75" s="49"/>
      <c r="E75" s="49"/>
      <c r="G75" s="49"/>
      <c r="H75" s="49"/>
      <c r="O75" s="13"/>
      <c r="P75" s="13"/>
      <c r="Q75" s="13"/>
      <c r="R75" s="13"/>
    </row>
    <row r="76" spans="4:18" ht="14.25" customHeight="1" x14ac:dyDescent="0.25">
      <c r="D76" s="49"/>
      <c r="E76" s="49"/>
      <c r="G76" s="49"/>
      <c r="H76" s="49"/>
      <c r="O76" s="13"/>
      <c r="P76" s="13"/>
      <c r="Q76" s="13"/>
      <c r="R76" s="13"/>
    </row>
    <row r="77" spans="4:18" ht="14.25" customHeight="1" x14ac:dyDescent="0.25">
      <c r="D77" s="49"/>
      <c r="E77" s="49"/>
      <c r="G77" s="49"/>
      <c r="H77" s="49"/>
      <c r="O77" s="13"/>
      <c r="P77" s="13"/>
      <c r="Q77" s="13"/>
      <c r="R77" s="13"/>
    </row>
    <row r="78" spans="4:18" ht="14.25" customHeight="1" x14ac:dyDescent="0.25">
      <c r="D78" s="49"/>
      <c r="E78" s="49"/>
      <c r="G78" s="49"/>
      <c r="H78" s="49"/>
      <c r="O78" s="13"/>
      <c r="P78" s="13"/>
      <c r="Q78" s="13"/>
      <c r="R78" s="13"/>
    </row>
    <row r="79" spans="4:18" ht="14.25" customHeight="1" x14ac:dyDescent="0.25">
      <c r="D79" s="49"/>
      <c r="E79" s="49"/>
      <c r="G79" s="49"/>
      <c r="H79" s="49"/>
      <c r="O79" s="13"/>
      <c r="P79" s="13"/>
      <c r="Q79" s="13"/>
      <c r="R79" s="13"/>
    </row>
    <row r="80" spans="4:18" ht="14.25" customHeight="1" x14ac:dyDescent="0.25">
      <c r="D80" s="49"/>
      <c r="E80" s="49"/>
      <c r="G80" s="49"/>
      <c r="H80" s="49"/>
      <c r="O80" s="13"/>
      <c r="P80" s="13"/>
      <c r="Q80" s="13"/>
      <c r="R80" s="13"/>
    </row>
    <row r="81" spans="4:18" ht="14.25" customHeight="1" x14ac:dyDescent="0.25">
      <c r="D81" s="49"/>
      <c r="E81" s="49"/>
      <c r="G81" s="49"/>
      <c r="H81" s="49"/>
      <c r="O81" s="13"/>
      <c r="P81" s="13"/>
      <c r="Q81" s="13"/>
      <c r="R81" s="13"/>
    </row>
    <row r="82" spans="4:18" ht="14.25" customHeight="1" x14ac:dyDescent="0.25">
      <c r="D82" s="49"/>
      <c r="E82" s="49"/>
      <c r="G82" s="49"/>
      <c r="H82" s="49"/>
      <c r="O82" s="13"/>
      <c r="P82" s="13"/>
      <c r="Q82" s="13"/>
      <c r="R82" s="13"/>
    </row>
    <row r="83" spans="4:18" ht="14.25" customHeight="1" x14ac:dyDescent="0.25">
      <c r="D83" s="49"/>
      <c r="E83" s="49"/>
      <c r="G83" s="49"/>
      <c r="H83" s="49"/>
      <c r="O83" s="13"/>
      <c r="P83" s="13"/>
      <c r="Q83" s="13"/>
      <c r="R83" s="13"/>
    </row>
    <row r="84" spans="4:18" ht="14.25" customHeight="1" x14ac:dyDescent="0.25">
      <c r="D84" s="49"/>
      <c r="E84" s="49"/>
      <c r="G84" s="49"/>
      <c r="H84" s="49"/>
      <c r="O84" s="13"/>
      <c r="P84" s="13"/>
      <c r="Q84" s="13"/>
      <c r="R84" s="13"/>
    </row>
    <row r="85" spans="4:18" ht="14.25" customHeight="1" x14ac:dyDescent="0.25">
      <c r="D85" s="49"/>
      <c r="E85" s="49"/>
      <c r="G85" s="49"/>
      <c r="H85" s="49"/>
      <c r="O85" s="13"/>
      <c r="P85" s="13"/>
      <c r="Q85" s="13"/>
      <c r="R85" s="13"/>
    </row>
    <row r="86" spans="4:18" ht="14.25" customHeight="1" x14ac:dyDescent="0.25">
      <c r="D86" s="49"/>
      <c r="E86" s="49"/>
      <c r="G86" s="49"/>
      <c r="H86" s="49"/>
      <c r="O86" s="13"/>
      <c r="P86" s="13"/>
      <c r="Q86" s="13"/>
      <c r="R86" s="13"/>
    </row>
    <row r="87" spans="4:18" ht="14.25" customHeight="1" x14ac:dyDescent="0.25">
      <c r="D87" s="49"/>
      <c r="E87" s="49"/>
      <c r="G87" s="49"/>
      <c r="H87" s="49"/>
      <c r="O87" s="13"/>
      <c r="P87" s="13"/>
      <c r="Q87" s="13"/>
      <c r="R87" s="13"/>
    </row>
    <row r="88" spans="4:18" ht="14.25" customHeight="1" x14ac:dyDescent="0.25">
      <c r="D88" s="49"/>
      <c r="E88" s="49"/>
      <c r="G88" s="49"/>
      <c r="H88" s="49"/>
      <c r="O88" s="13"/>
      <c r="P88" s="13"/>
      <c r="Q88" s="13"/>
      <c r="R88" s="13"/>
    </row>
    <row r="89" spans="4:18" ht="14.25" customHeight="1" x14ac:dyDescent="0.25">
      <c r="D89" s="49"/>
      <c r="E89" s="49"/>
      <c r="G89" s="49"/>
      <c r="H89" s="49"/>
      <c r="O89" s="13"/>
      <c r="P89" s="13"/>
      <c r="Q89" s="13"/>
      <c r="R89" s="13"/>
    </row>
    <row r="90" spans="4:18" ht="14.25" customHeight="1" x14ac:dyDescent="0.25">
      <c r="D90" s="49"/>
      <c r="E90" s="49"/>
      <c r="G90" s="49"/>
      <c r="H90" s="49"/>
      <c r="O90" s="13"/>
      <c r="P90" s="13"/>
      <c r="Q90" s="13"/>
      <c r="R90" s="13"/>
    </row>
    <row r="91" spans="4:18" ht="14.25" customHeight="1" x14ac:dyDescent="0.25">
      <c r="D91" s="49"/>
      <c r="E91" s="49"/>
      <c r="G91" s="49"/>
      <c r="H91" s="49"/>
      <c r="O91" s="13"/>
      <c r="P91" s="13"/>
      <c r="Q91" s="13"/>
      <c r="R91" s="13"/>
    </row>
    <row r="92" spans="4:18" ht="14.25" customHeight="1" x14ac:dyDescent="0.25">
      <c r="D92" s="49"/>
      <c r="E92" s="49"/>
      <c r="G92" s="49"/>
      <c r="H92" s="49"/>
      <c r="O92" s="13"/>
      <c r="P92" s="13"/>
      <c r="Q92" s="13"/>
      <c r="R92" s="13"/>
    </row>
    <row r="93" spans="4:18" ht="14.25" customHeight="1" x14ac:dyDescent="0.25">
      <c r="D93" s="49"/>
      <c r="E93" s="49"/>
      <c r="G93" s="49"/>
      <c r="H93" s="49"/>
      <c r="O93" s="13"/>
      <c r="P93" s="13"/>
      <c r="Q93" s="13"/>
      <c r="R93" s="13"/>
    </row>
    <row r="94" spans="4:18" ht="14.25" customHeight="1" x14ac:dyDescent="0.25">
      <c r="D94" s="49"/>
      <c r="E94" s="49"/>
      <c r="G94" s="49"/>
      <c r="H94" s="49"/>
      <c r="O94" s="13"/>
      <c r="P94" s="13"/>
      <c r="Q94" s="13"/>
      <c r="R94" s="13"/>
    </row>
    <row r="95" spans="4:18" ht="14.25" customHeight="1" x14ac:dyDescent="0.25">
      <c r="D95" s="49"/>
      <c r="E95" s="49"/>
      <c r="G95" s="49"/>
      <c r="H95" s="49"/>
      <c r="O95" s="13"/>
      <c r="P95" s="13"/>
      <c r="Q95" s="13"/>
      <c r="R95" s="13"/>
    </row>
    <row r="96" spans="4:18" ht="14.25" customHeight="1" x14ac:dyDescent="0.25">
      <c r="D96" s="49"/>
      <c r="E96" s="49"/>
      <c r="G96" s="49"/>
      <c r="H96" s="49"/>
      <c r="O96" s="13"/>
      <c r="P96" s="13"/>
      <c r="Q96" s="13"/>
      <c r="R96" s="13"/>
    </row>
    <row r="97" spans="4:18" ht="14.25" customHeight="1" x14ac:dyDescent="0.25">
      <c r="D97" s="49"/>
      <c r="E97" s="49"/>
      <c r="G97" s="49"/>
      <c r="H97" s="49"/>
      <c r="O97" s="13"/>
      <c r="P97" s="13"/>
      <c r="Q97" s="13"/>
      <c r="R97" s="13"/>
    </row>
    <row r="98" spans="4:18" ht="14.25" customHeight="1" x14ac:dyDescent="0.25">
      <c r="D98" s="49"/>
      <c r="E98" s="49"/>
      <c r="G98" s="49"/>
      <c r="H98" s="49"/>
      <c r="O98" s="13"/>
      <c r="P98" s="13"/>
      <c r="Q98" s="13"/>
      <c r="R98" s="13"/>
    </row>
    <row r="99" spans="4:18" ht="14.25" customHeight="1" x14ac:dyDescent="0.25">
      <c r="D99" s="49"/>
      <c r="E99" s="49"/>
      <c r="G99" s="49"/>
      <c r="H99" s="49"/>
      <c r="O99" s="13"/>
      <c r="P99" s="13"/>
      <c r="Q99" s="13"/>
      <c r="R99" s="13"/>
    </row>
    <row r="100" spans="4:18" ht="14.25" customHeight="1" x14ac:dyDescent="0.25">
      <c r="D100" s="49"/>
      <c r="E100" s="49"/>
      <c r="G100" s="49"/>
      <c r="H100" s="49"/>
      <c r="O100" s="13"/>
      <c r="P100" s="13"/>
      <c r="Q100" s="13"/>
      <c r="R100" s="13"/>
    </row>
    <row r="101" spans="4:18" ht="14.25" customHeight="1" x14ac:dyDescent="0.25">
      <c r="D101" s="49"/>
      <c r="E101" s="49"/>
      <c r="G101" s="49"/>
      <c r="H101" s="49"/>
      <c r="O101" s="13"/>
      <c r="P101" s="13"/>
      <c r="Q101" s="13"/>
      <c r="R101" s="13"/>
    </row>
    <row r="102" spans="4:18" ht="14.25" customHeight="1" x14ac:dyDescent="0.25">
      <c r="D102" s="49"/>
      <c r="E102" s="49"/>
      <c r="G102" s="49"/>
      <c r="H102" s="49"/>
      <c r="O102" s="13"/>
      <c r="P102" s="13"/>
      <c r="Q102" s="13"/>
      <c r="R102" s="13"/>
    </row>
    <row r="103" spans="4:18" ht="14.25" customHeight="1" x14ac:dyDescent="0.25">
      <c r="D103" s="49"/>
      <c r="E103" s="49"/>
      <c r="G103" s="49"/>
      <c r="H103" s="49"/>
      <c r="O103" s="13"/>
      <c r="P103" s="13"/>
      <c r="Q103" s="13"/>
      <c r="R103" s="13"/>
    </row>
    <row r="104" spans="4:18" ht="14.25" customHeight="1" x14ac:dyDescent="0.25">
      <c r="D104" s="49"/>
      <c r="E104" s="49"/>
      <c r="G104" s="49"/>
      <c r="H104" s="49"/>
      <c r="O104" s="13"/>
      <c r="P104" s="13"/>
      <c r="Q104" s="13"/>
      <c r="R104" s="13"/>
    </row>
    <row r="105" spans="4:18" ht="14.25" customHeight="1" x14ac:dyDescent="0.25">
      <c r="D105" s="49"/>
      <c r="E105" s="49"/>
      <c r="G105" s="49"/>
      <c r="H105" s="49"/>
      <c r="O105" s="13"/>
      <c r="P105" s="13"/>
      <c r="Q105" s="13"/>
      <c r="R105" s="13"/>
    </row>
    <row r="106" spans="4:18" ht="14.25" customHeight="1" x14ac:dyDescent="0.25">
      <c r="D106" s="49"/>
      <c r="E106" s="49"/>
      <c r="G106" s="49"/>
      <c r="H106" s="49"/>
      <c r="O106" s="13"/>
      <c r="P106" s="13"/>
      <c r="Q106" s="13"/>
      <c r="R106" s="13"/>
    </row>
    <row r="107" spans="4:18" ht="14.25" customHeight="1" x14ac:dyDescent="0.25">
      <c r="D107" s="49"/>
      <c r="E107" s="49"/>
      <c r="G107" s="49"/>
      <c r="H107" s="49"/>
      <c r="O107" s="13"/>
      <c r="P107" s="13"/>
      <c r="Q107" s="13"/>
      <c r="R107" s="13"/>
    </row>
    <row r="108" spans="4:18" ht="14.25" customHeight="1" x14ac:dyDescent="0.25">
      <c r="D108" s="49"/>
      <c r="E108" s="49"/>
      <c r="G108" s="49"/>
      <c r="H108" s="49"/>
      <c r="O108" s="13"/>
      <c r="P108" s="13"/>
      <c r="Q108" s="13"/>
      <c r="R108" s="13"/>
    </row>
    <row r="109" spans="4:18" ht="14.25" customHeight="1" x14ac:dyDescent="0.25">
      <c r="D109" s="49"/>
      <c r="E109" s="49"/>
      <c r="G109" s="49"/>
      <c r="H109" s="49"/>
      <c r="O109" s="13"/>
      <c r="P109" s="13"/>
      <c r="Q109" s="13"/>
      <c r="R109" s="13"/>
    </row>
    <row r="110" spans="4:18" ht="14.25" customHeight="1" x14ac:dyDescent="0.25">
      <c r="D110" s="49"/>
      <c r="E110" s="49"/>
      <c r="G110" s="49"/>
      <c r="H110" s="49"/>
      <c r="O110" s="13"/>
      <c r="P110" s="13"/>
      <c r="Q110" s="13"/>
      <c r="R110" s="13"/>
    </row>
    <row r="111" spans="4:18" ht="14.25" customHeight="1" x14ac:dyDescent="0.25">
      <c r="D111" s="49"/>
      <c r="E111" s="49"/>
      <c r="G111" s="49"/>
      <c r="H111" s="49"/>
      <c r="O111" s="13"/>
      <c r="P111" s="13"/>
      <c r="Q111" s="13"/>
      <c r="R111" s="13"/>
    </row>
    <row r="112" spans="4:18" ht="14.25" customHeight="1" x14ac:dyDescent="0.25">
      <c r="D112" s="49"/>
      <c r="E112" s="49"/>
      <c r="G112" s="49"/>
      <c r="H112" s="49"/>
      <c r="O112" s="13"/>
      <c r="P112" s="13"/>
      <c r="Q112" s="13"/>
      <c r="R112" s="13"/>
    </row>
    <row r="113" spans="4:18" ht="14.25" customHeight="1" x14ac:dyDescent="0.25">
      <c r="D113" s="49"/>
      <c r="E113" s="49"/>
      <c r="G113" s="49"/>
      <c r="H113" s="49"/>
      <c r="O113" s="13"/>
      <c r="P113" s="13"/>
      <c r="Q113" s="13"/>
      <c r="R113" s="13"/>
    </row>
    <row r="114" spans="4:18" ht="14.25" customHeight="1" x14ac:dyDescent="0.25">
      <c r="D114" s="49"/>
      <c r="E114" s="49"/>
      <c r="G114" s="49"/>
      <c r="H114" s="49"/>
      <c r="O114" s="13"/>
      <c r="P114" s="13"/>
      <c r="Q114" s="13"/>
      <c r="R114" s="13"/>
    </row>
    <row r="115" spans="4:18" ht="14.25" customHeight="1" x14ac:dyDescent="0.25">
      <c r="D115" s="49"/>
      <c r="E115" s="49"/>
      <c r="G115" s="49"/>
      <c r="H115" s="49"/>
      <c r="O115" s="13"/>
      <c r="P115" s="13"/>
      <c r="Q115" s="13"/>
      <c r="R115" s="13"/>
    </row>
    <row r="116" spans="4:18" ht="14.25" customHeight="1" x14ac:dyDescent="0.25">
      <c r="D116" s="49"/>
      <c r="E116" s="49"/>
      <c r="G116" s="49"/>
      <c r="H116" s="49"/>
      <c r="O116" s="13"/>
      <c r="P116" s="13"/>
      <c r="Q116" s="13"/>
      <c r="R116" s="13"/>
    </row>
    <row r="117" spans="4:18" ht="14.25" customHeight="1" x14ac:dyDescent="0.25">
      <c r="D117" s="49"/>
      <c r="E117" s="49"/>
      <c r="G117" s="49"/>
      <c r="H117" s="49"/>
      <c r="O117" s="13"/>
      <c r="P117" s="13"/>
      <c r="Q117" s="13"/>
      <c r="R117" s="13"/>
    </row>
    <row r="118" spans="4:18" ht="14.25" customHeight="1" x14ac:dyDescent="0.25">
      <c r="D118" s="49"/>
      <c r="E118" s="49"/>
      <c r="G118" s="49"/>
      <c r="H118" s="49"/>
      <c r="O118" s="13"/>
      <c r="P118" s="13"/>
      <c r="Q118" s="13"/>
      <c r="R118" s="13"/>
    </row>
    <row r="119" spans="4:18" ht="14.25" customHeight="1" x14ac:dyDescent="0.25">
      <c r="D119" s="49"/>
      <c r="E119" s="49"/>
      <c r="G119" s="49"/>
      <c r="H119" s="49"/>
      <c r="O119" s="13"/>
      <c r="P119" s="13"/>
      <c r="Q119" s="13"/>
      <c r="R119" s="13"/>
    </row>
    <row r="120" spans="4:18" ht="14.25" customHeight="1" x14ac:dyDescent="0.25">
      <c r="D120" s="49"/>
      <c r="E120" s="49"/>
      <c r="G120" s="49"/>
      <c r="H120" s="49"/>
      <c r="O120" s="13"/>
      <c r="P120" s="13"/>
      <c r="Q120" s="13"/>
      <c r="R120" s="13"/>
    </row>
    <row r="121" spans="4:18" ht="14.25" customHeight="1" x14ac:dyDescent="0.25">
      <c r="D121" s="49"/>
      <c r="E121" s="49"/>
      <c r="G121" s="49"/>
      <c r="H121" s="49"/>
      <c r="O121" s="13"/>
      <c r="P121" s="13"/>
      <c r="Q121" s="13"/>
      <c r="R121" s="13"/>
    </row>
    <row r="122" spans="4:18" ht="14.25" customHeight="1" x14ac:dyDescent="0.25">
      <c r="D122" s="49"/>
      <c r="E122" s="49"/>
      <c r="G122" s="49"/>
      <c r="H122" s="49"/>
      <c r="O122" s="13"/>
      <c r="P122" s="13"/>
      <c r="Q122" s="13"/>
      <c r="R122" s="13"/>
    </row>
    <row r="123" spans="4:18" ht="14.25" customHeight="1" x14ac:dyDescent="0.25">
      <c r="D123" s="49"/>
      <c r="E123" s="49"/>
      <c r="G123" s="49"/>
      <c r="H123" s="49"/>
      <c r="O123" s="13"/>
      <c r="P123" s="13"/>
      <c r="Q123" s="13"/>
      <c r="R123" s="13"/>
    </row>
    <row r="124" spans="4:18" ht="14.25" customHeight="1" x14ac:dyDescent="0.25">
      <c r="D124" s="49"/>
      <c r="E124" s="49"/>
      <c r="G124" s="49"/>
      <c r="H124" s="49"/>
      <c r="O124" s="13"/>
      <c r="P124" s="13"/>
      <c r="Q124" s="13"/>
      <c r="R124" s="13"/>
    </row>
    <row r="125" spans="4:18" ht="14.25" customHeight="1" x14ac:dyDescent="0.25">
      <c r="D125" s="49"/>
      <c r="E125" s="49"/>
      <c r="G125" s="49"/>
      <c r="H125" s="49"/>
      <c r="O125" s="13"/>
      <c r="P125" s="13"/>
      <c r="Q125" s="13"/>
      <c r="R125" s="13"/>
    </row>
    <row r="126" spans="4:18" ht="14.25" customHeight="1" x14ac:dyDescent="0.25">
      <c r="D126" s="49"/>
      <c r="E126" s="49"/>
      <c r="G126" s="49"/>
      <c r="H126" s="49"/>
      <c r="O126" s="13"/>
      <c r="P126" s="13"/>
      <c r="Q126" s="13"/>
      <c r="R126" s="13"/>
    </row>
    <row r="127" spans="4:18" ht="14.25" customHeight="1" x14ac:dyDescent="0.25">
      <c r="D127" s="49"/>
      <c r="E127" s="49"/>
      <c r="G127" s="49"/>
      <c r="H127" s="49"/>
      <c r="O127" s="13"/>
      <c r="P127" s="13"/>
      <c r="Q127" s="13"/>
      <c r="R127" s="13"/>
    </row>
    <row r="128" spans="4:18" ht="14.25" customHeight="1" x14ac:dyDescent="0.25">
      <c r="D128" s="49"/>
      <c r="E128" s="49"/>
      <c r="G128" s="49"/>
      <c r="H128" s="49"/>
      <c r="O128" s="13"/>
      <c r="P128" s="13"/>
      <c r="Q128" s="13"/>
      <c r="R128" s="13"/>
    </row>
    <row r="129" spans="4:18" ht="14.25" customHeight="1" x14ac:dyDescent="0.25">
      <c r="D129" s="49"/>
      <c r="E129" s="49"/>
      <c r="G129" s="49"/>
      <c r="H129" s="49"/>
      <c r="O129" s="13"/>
      <c r="P129" s="13"/>
      <c r="Q129" s="13"/>
      <c r="R129" s="13"/>
    </row>
    <row r="130" spans="4:18" ht="14.25" customHeight="1" x14ac:dyDescent="0.25">
      <c r="D130" s="49"/>
      <c r="E130" s="49"/>
      <c r="G130" s="49"/>
      <c r="H130" s="49"/>
      <c r="O130" s="13"/>
      <c r="P130" s="13"/>
      <c r="Q130" s="13"/>
      <c r="R130" s="13"/>
    </row>
    <row r="131" spans="4:18" ht="14.25" customHeight="1" x14ac:dyDescent="0.25">
      <c r="D131" s="49"/>
      <c r="E131" s="49"/>
      <c r="G131" s="49"/>
      <c r="H131" s="49"/>
      <c r="O131" s="13"/>
      <c r="P131" s="13"/>
      <c r="Q131" s="13"/>
      <c r="R131" s="13"/>
    </row>
    <row r="132" spans="4:18" ht="14.25" customHeight="1" x14ac:dyDescent="0.25">
      <c r="D132" s="49"/>
      <c r="E132" s="49"/>
      <c r="G132" s="49"/>
      <c r="H132" s="49"/>
      <c r="O132" s="13"/>
      <c r="P132" s="13"/>
      <c r="Q132" s="13"/>
      <c r="R132" s="13"/>
    </row>
    <row r="133" spans="4:18" ht="14.25" customHeight="1" x14ac:dyDescent="0.25">
      <c r="D133" s="49"/>
      <c r="E133" s="49"/>
      <c r="G133" s="49"/>
      <c r="H133" s="49"/>
      <c r="O133" s="13"/>
      <c r="P133" s="13"/>
      <c r="Q133" s="13"/>
      <c r="R133" s="13"/>
    </row>
    <row r="134" spans="4:18" ht="14.25" customHeight="1" x14ac:dyDescent="0.25">
      <c r="D134" s="49"/>
      <c r="E134" s="49"/>
      <c r="G134" s="49"/>
      <c r="H134" s="49"/>
      <c r="O134" s="13"/>
      <c r="P134" s="13"/>
      <c r="Q134" s="13"/>
      <c r="R134" s="13"/>
    </row>
    <row r="135" spans="4:18" ht="14.25" customHeight="1" x14ac:dyDescent="0.25">
      <c r="D135" s="49"/>
      <c r="E135" s="49"/>
      <c r="G135" s="49"/>
      <c r="H135" s="49"/>
      <c r="O135" s="13"/>
      <c r="P135" s="13"/>
      <c r="Q135" s="13"/>
      <c r="R135" s="13"/>
    </row>
    <row r="136" spans="4:18" ht="14.25" customHeight="1" x14ac:dyDescent="0.25">
      <c r="D136" s="49"/>
      <c r="E136" s="49"/>
      <c r="G136" s="49"/>
      <c r="H136" s="49"/>
      <c r="O136" s="13"/>
      <c r="P136" s="13"/>
      <c r="Q136" s="13"/>
      <c r="R136" s="13"/>
    </row>
    <row r="137" spans="4:18" ht="14.25" customHeight="1" x14ac:dyDescent="0.25">
      <c r="D137" s="49"/>
      <c r="E137" s="49"/>
      <c r="G137" s="49"/>
      <c r="H137" s="49"/>
      <c r="O137" s="13"/>
      <c r="P137" s="13"/>
      <c r="Q137" s="13"/>
      <c r="R137" s="13"/>
    </row>
    <row r="138" spans="4:18" ht="14.25" customHeight="1" x14ac:dyDescent="0.25">
      <c r="D138" s="49"/>
      <c r="E138" s="49"/>
      <c r="G138" s="49"/>
      <c r="H138" s="49"/>
      <c r="O138" s="13"/>
      <c r="P138" s="13"/>
      <c r="Q138" s="13"/>
      <c r="R138" s="13"/>
    </row>
    <row r="139" spans="4:18" ht="14.25" customHeight="1" x14ac:dyDescent="0.25">
      <c r="D139" s="49"/>
      <c r="E139" s="49"/>
      <c r="G139" s="49"/>
      <c r="H139" s="49"/>
      <c r="O139" s="13"/>
      <c r="P139" s="13"/>
      <c r="Q139" s="13"/>
      <c r="R139" s="13"/>
    </row>
    <row r="140" spans="4:18" ht="14.25" customHeight="1" x14ac:dyDescent="0.25">
      <c r="D140" s="49"/>
      <c r="E140" s="49"/>
      <c r="G140" s="49"/>
      <c r="H140" s="49"/>
      <c r="O140" s="13"/>
      <c r="P140" s="13"/>
      <c r="Q140" s="13"/>
      <c r="R140" s="13"/>
    </row>
    <row r="141" spans="4:18" ht="14.25" customHeight="1" x14ac:dyDescent="0.25">
      <c r="D141" s="49"/>
      <c r="E141" s="49"/>
      <c r="G141" s="49"/>
      <c r="H141" s="49"/>
      <c r="O141" s="13"/>
      <c r="P141" s="13"/>
      <c r="Q141" s="13"/>
      <c r="R141" s="13"/>
    </row>
    <row r="142" spans="4:18" ht="14.25" customHeight="1" x14ac:dyDescent="0.25">
      <c r="D142" s="49"/>
      <c r="E142" s="49"/>
      <c r="G142" s="49"/>
      <c r="H142" s="49"/>
      <c r="O142" s="13"/>
      <c r="P142" s="13"/>
      <c r="Q142" s="13"/>
      <c r="R142" s="13"/>
    </row>
    <row r="143" spans="4:18" ht="14.25" customHeight="1" x14ac:dyDescent="0.25">
      <c r="D143" s="49"/>
      <c r="E143" s="49"/>
      <c r="G143" s="49"/>
      <c r="H143" s="49"/>
      <c r="O143" s="13"/>
      <c r="P143" s="13"/>
      <c r="Q143" s="13"/>
      <c r="R143" s="13"/>
    </row>
    <row r="144" spans="4:18" ht="14.25" customHeight="1" x14ac:dyDescent="0.25">
      <c r="D144" s="49"/>
      <c r="E144" s="49"/>
      <c r="G144" s="49"/>
      <c r="H144" s="49"/>
      <c r="O144" s="13"/>
      <c r="P144" s="13"/>
      <c r="Q144" s="13"/>
      <c r="R144" s="13"/>
    </row>
    <row r="145" spans="4:18" ht="14.25" customHeight="1" x14ac:dyDescent="0.25">
      <c r="D145" s="49"/>
      <c r="E145" s="49"/>
      <c r="G145" s="49"/>
      <c r="H145" s="49"/>
      <c r="O145" s="13"/>
      <c r="P145" s="13"/>
      <c r="Q145" s="13"/>
      <c r="R145" s="13"/>
    </row>
    <row r="146" spans="4:18" ht="14.25" customHeight="1" x14ac:dyDescent="0.25">
      <c r="D146" s="49"/>
      <c r="E146" s="49"/>
      <c r="G146" s="49"/>
      <c r="H146" s="49"/>
      <c r="O146" s="13"/>
      <c r="P146" s="13"/>
      <c r="Q146" s="13"/>
      <c r="R146" s="13"/>
    </row>
    <row r="147" spans="4:18" ht="14.25" customHeight="1" x14ac:dyDescent="0.25">
      <c r="D147" s="49"/>
      <c r="E147" s="49"/>
      <c r="G147" s="49"/>
      <c r="H147" s="49"/>
      <c r="O147" s="13"/>
      <c r="P147" s="13"/>
      <c r="Q147" s="13"/>
      <c r="R147" s="13"/>
    </row>
    <row r="148" spans="4:18" ht="14.25" customHeight="1" x14ac:dyDescent="0.25">
      <c r="D148" s="49"/>
      <c r="E148" s="49"/>
      <c r="G148" s="49"/>
      <c r="H148" s="49"/>
      <c r="O148" s="13"/>
      <c r="P148" s="13"/>
      <c r="Q148" s="13"/>
      <c r="R148" s="13"/>
    </row>
    <row r="149" spans="4:18" ht="14.25" customHeight="1" x14ac:dyDescent="0.25">
      <c r="D149" s="49"/>
      <c r="E149" s="49"/>
      <c r="G149" s="49"/>
      <c r="H149" s="49"/>
      <c r="O149" s="13"/>
      <c r="P149" s="13"/>
      <c r="Q149" s="13"/>
      <c r="R149" s="13"/>
    </row>
    <row r="150" spans="4:18" ht="14.25" customHeight="1" x14ac:dyDescent="0.25">
      <c r="D150" s="49"/>
      <c r="E150" s="49"/>
      <c r="G150" s="49"/>
      <c r="H150" s="49"/>
      <c r="O150" s="13"/>
      <c r="P150" s="13"/>
      <c r="Q150" s="13"/>
      <c r="R150" s="13"/>
    </row>
    <row r="151" spans="4:18" ht="14.25" customHeight="1" x14ac:dyDescent="0.25">
      <c r="D151" s="49"/>
      <c r="E151" s="49"/>
      <c r="G151" s="49"/>
      <c r="H151" s="49"/>
      <c r="O151" s="13"/>
      <c r="P151" s="13"/>
      <c r="Q151" s="13"/>
      <c r="R151" s="13"/>
    </row>
    <row r="152" spans="4:18" ht="14.25" customHeight="1" x14ac:dyDescent="0.25">
      <c r="D152" s="49"/>
      <c r="E152" s="49"/>
      <c r="G152" s="49"/>
      <c r="H152" s="49"/>
      <c r="O152" s="13"/>
      <c r="P152" s="13"/>
      <c r="Q152" s="13"/>
      <c r="R152" s="13"/>
    </row>
    <row r="153" spans="4:18" ht="14.25" customHeight="1" x14ac:dyDescent="0.25">
      <c r="D153" s="49"/>
      <c r="E153" s="49"/>
      <c r="G153" s="49"/>
      <c r="H153" s="49"/>
      <c r="O153" s="13"/>
      <c r="P153" s="13"/>
      <c r="Q153" s="13"/>
      <c r="R153" s="13"/>
    </row>
    <row r="154" spans="4:18" ht="14.25" customHeight="1" x14ac:dyDescent="0.25">
      <c r="D154" s="49"/>
      <c r="E154" s="49"/>
      <c r="G154" s="49"/>
      <c r="H154" s="49"/>
      <c r="O154" s="13"/>
      <c r="P154" s="13"/>
      <c r="Q154" s="13"/>
      <c r="R154" s="13"/>
    </row>
    <row r="155" spans="4:18" ht="14.25" customHeight="1" x14ac:dyDescent="0.25">
      <c r="D155" s="49"/>
      <c r="E155" s="49"/>
      <c r="G155" s="49"/>
      <c r="H155" s="49"/>
      <c r="O155" s="13"/>
      <c r="P155" s="13"/>
      <c r="Q155" s="13"/>
      <c r="R155" s="13"/>
    </row>
    <row r="156" spans="4:18" ht="14.25" customHeight="1" x14ac:dyDescent="0.25">
      <c r="D156" s="49"/>
      <c r="E156" s="49"/>
      <c r="G156" s="49"/>
      <c r="H156" s="49"/>
      <c r="O156" s="13"/>
      <c r="P156" s="13"/>
      <c r="Q156" s="13"/>
      <c r="R156" s="13"/>
    </row>
    <row r="157" spans="4:18" ht="14.25" customHeight="1" x14ac:dyDescent="0.25">
      <c r="D157" s="49"/>
      <c r="E157" s="49"/>
      <c r="G157" s="49"/>
      <c r="H157" s="49"/>
      <c r="O157" s="13"/>
      <c r="P157" s="13"/>
      <c r="Q157" s="13"/>
      <c r="R157" s="13"/>
    </row>
    <row r="158" spans="4:18" ht="14.25" customHeight="1" x14ac:dyDescent="0.25">
      <c r="D158" s="49"/>
      <c r="E158" s="49"/>
      <c r="G158" s="49"/>
      <c r="H158" s="49"/>
      <c r="O158" s="13"/>
      <c r="P158" s="13"/>
      <c r="Q158" s="13"/>
      <c r="R158" s="13"/>
    </row>
    <row r="159" spans="4:18" ht="14.25" customHeight="1" x14ac:dyDescent="0.25">
      <c r="D159" s="49"/>
      <c r="E159" s="49"/>
      <c r="G159" s="49"/>
      <c r="H159" s="49"/>
      <c r="O159" s="13"/>
      <c r="P159" s="13"/>
      <c r="Q159" s="13"/>
      <c r="R159" s="13"/>
    </row>
    <row r="160" spans="4:18" ht="14.25" customHeight="1" x14ac:dyDescent="0.25">
      <c r="D160" s="49"/>
      <c r="E160" s="49"/>
      <c r="G160" s="49"/>
      <c r="H160" s="49"/>
      <c r="O160" s="13"/>
      <c r="P160" s="13"/>
      <c r="Q160" s="13"/>
      <c r="R160" s="13"/>
    </row>
    <row r="161" spans="4:18" ht="14.25" customHeight="1" x14ac:dyDescent="0.25">
      <c r="D161" s="49"/>
      <c r="E161" s="49"/>
      <c r="G161" s="49"/>
      <c r="H161" s="49"/>
      <c r="O161" s="13"/>
      <c r="P161" s="13"/>
      <c r="Q161" s="13"/>
      <c r="R161" s="13"/>
    </row>
    <row r="162" spans="4:18" ht="14.25" customHeight="1" x14ac:dyDescent="0.25">
      <c r="D162" s="49"/>
      <c r="E162" s="49"/>
      <c r="G162" s="49"/>
      <c r="H162" s="49"/>
      <c r="O162" s="13"/>
      <c r="P162" s="13"/>
      <c r="Q162" s="13"/>
      <c r="R162" s="13"/>
    </row>
    <row r="163" spans="4:18" ht="14.25" customHeight="1" x14ac:dyDescent="0.25">
      <c r="D163" s="49"/>
      <c r="E163" s="49"/>
      <c r="G163" s="49"/>
      <c r="H163" s="49"/>
      <c r="O163" s="13"/>
      <c r="P163" s="13"/>
      <c r="Q163" s="13"/>
      <c r="R163" s="13"/>
    </row>
    <row r="164" spans="4:18" ht="14.25" customHeight="1" x14ac:dyDescent="0.25">
      <c r="D164" s="49"/>
      <c r="E164" s="49"/>
      <c r="G164" s="49"/>
      <c r="H164" s="49"/>
      <c r="O164" s="13"/>
      <c r="P164" s="13"/>
      <c r="Q164" s="13"/>
      <c r="R164" s="13"/>
    </row>
    <row r="165" spans="4:18" ht="14.25" customHeight="1" x14ac:dyDescent="0.25">
      <c r="D165" s="49"/>
      <c r="E165" s="49"/>
      <c r="G165" s="49"/>
      <c r="H165" s="49"/>
      <c r="O165" s="13"/>
      <c r="P165" s="13"/>
      <c r="Q165" s="13"/>
      <c r="R165" s="13"/>
    </row>
    <row r="166" spans="4:18" ht="14.25" customHeight="1" x14ac:dyDescent="0.25">
      <c r="D166" s="49"/>
      <c r="E166" s="49"/>
      <c r="G166" s="49"/>
      <c r="H166" s="49"/>
      <c r="O166" s="13"/>
      <c r="P166" s="13"/>
      <c r="Q166" s="13"/>
      <c r="R166" s="13"/>
    </row>
    <row r="167" spans="4:18" ht="14.25" customHeight="1" x14ac:dyDescent="0.25">
      <c r="D167" s="49"/>
      <c r="E167" s="49"/>
      <c r="G167" s="49"/>
      <c r="H167" s="49"/>
      <c r="O167" s="13"/>
      <c r="P167" s="13"/>
      <c r="Q167" s="13"/>
      <c r="R167" s="13"/>
    </row>
    <row r="168" spans="4:18" ht="14.25" customHeight="1" x14ac:dyDescent="0.25">
      <c r="D168" s="49"/>
      <c r="E168" s="49"/>
      <c r="G168" s="49"/>
      <c r="H168" s="49"/>
      <c r="O168" s="13"/>
      <c r="P168" s="13"/>
      <c r="Q168" s="13"/>
      <c r="R168" s="13"/>
    </row>
    <row r="169" spans="4:18" ht="14.25" customHeight="1" x14ac:dyDescent="0.25">
      <c r="D169" s="49"/>
      <c r="E169" s="49"/>
      <c r="G169" s="49"/>
      <c r="H169" s="49"/>
      <c r="O169" s="13"/>
      <c r="P169" s="13"/>
      <c r="Q169" s="13"/>
      <c r="R169" s="13"/>
    </row>
    <row r="170" spans="4:18" ht="14.25" customHeight="1" x14ac:dyDescent="0.25">
      <c r="D170" s="49"/>
      <c r="E170" s="49"/>
      <c r="G170" s="49"/>
      <c r="H170" s="49"/>
      <c r="O170" s="13"/>
      <c r="P170" s="13"/>
      <c r="Q170" s="13"/>
      <c r="R170" s="13"/>
    </row>
    <row r="171" spans="4:18" ht="14.25" customHeight="1" x14ac:dyDescent="0.25">
      <c r="D171" s="49"/>
      <c r="E171" s="49"/>
      <c r="G171" s="49"/>
      <c r="H171" s="49"/>
      <c r="O171" s="13"/>
      <c r="P171" s="13"/>
      <c r="Q171" s="13"/>
      <c r="R171" s="13"/>
    </row>
    <row r="172" spans="4:18" ht="14.25" customHeight="1" x14ac:dyDescent="0.25">
      <c r="D172" s="49"/>
      <c r="E172" s="49"/>
      <c r="G172" s="49"/>
      <c r="H172" s="49"/>
      <c r="O172" s="13"/>
      <c r="P172" s="13"/>
      <c r="Q172" s="13"/>
      <c r="R172" s="13"/>
    </row>
    <row r="173" spans="4:18" ht="14.25" customHeight="1" x14ac:dyDescent="0.25">
      <c r="D173" s="49"/>
      <c r="E173" s="49"/>
      <c r="G173" s="49"/>
      <c r="H173" s="49"/>
      <c r="O173" s="13"/>
      <c r="P173" s="13"/>
      <c r="Q173" s="13"/>
      <c r="R173" s="13"/>
    </row>
    <row r="174" spans="4:18" ht="14.25" customHeight="1" x14ac:dyDescent="0.25">
      <c r="D174" s="49"/>
      <c r="E174" s="49"/>
      <c r="G174" s="49"/>
      <c r="H174" s="49"/>
      <c r="O174" s="13"/>
      <c r="P174" s="13"/>
      <c r="Q174" s="13"/>
      <c r="R174" s="13"/>
    </row>
    <row r="175" spans="4:18" ht="14.25" customHeight="1" x14ac:dyDescent="0.25">
      <c r="D175" s="49"/>
      <c r="E175" s="49"/>
      <c r="G175" s="49"/>
      <c r="H175" s="49"/>
      <c r="O175" s="13"/>
      <c r="P175" s="13"/>
      <c r="Q175" s="13"/>
      <c r="R175" s="13"/>
    </row>
    <row r="176" spans="4:18" ht="14.25" customHeight="1" x14ac:dyDescent="0.25">
      <c r="D176" s="49"/>
      <c r="E176" s="49"/>
      <c r="G176" s="49"/>
      <c r="H176" s="49"/>
      <c r="O176" s="13"/>
      <c r="P176" s="13"/>
      <c r="Q176" s="13"/>
      <c r="R176" s="13"/>
    </row>
    <row r="177" spans="4:18" ht="14.25" customHeight="1" x14ac:dyDescent="0.25">
      <c r="D177" s="49"/>
      <c r="E177" s="49"/>
      <c r="G177" s="49"/>
      <c r="H177" s="49"/>
      <c r="O177" s="13"/>
      <c r="P177" s="13"/>
      <c r="Q177" s="13"/>
      <c r="R177" s="13"/>
    </row>
    <row r="178" spans="4:18" ht="14.25" customHeight="1" x14ac:dyDescent="0.25">
      <c r="D178" s="49"/>
      <c r="E178" s="49"/>
      <c r="G178" s="49"/>
      <c r="H178" s="49"/>
      <c r="O178" s="13"/>
      <c r="P178" s="13"/>
      <c r="Q178" s="13"/>
      <c r="R178" s="13"/>
    </row>
    <row r="179" spans="4:18" ht="14.25" customHeight="1" x14ac:dyDescent="0.25">
      <c r="D179" s="49"/>
      <c r="E179" s="49"/>
      <c r="G179" s="49"/>
      <c r="H179" s="49"/>
      <c r="O179" s="13"/>
      <c r="P179" s="13"/>
      <c r="Q179" s="13"/>
      <c r="R179" s="13"/>
    </row>
    <row r="180" spans="4:18" ht="14.25" customHeight="1" x14ac:dyDescent="0.25">
      <c r="D180" s="49"/>
      <c r="E180" s="49"/>
      <c r="G180" s="49"/>
      <c r="H180" s="49"/>
      <c r="O180" s="13"/>
      <c r="P180" s="13"/>
      <c r="Q180" s="13"/>
      <c r="R180" s="13"/>
    </row>
    <row r="181" spans="4:18" ht="14.25" customHeight="1" x14ac:dyDescent="0.25">
      <c r="D181" s="49"/>
      <c r="E181" s="49"/>
      <c r="G181" s="49"/>
      <c r="H181" s="49"/>
      <c r="O181" s="13"/>
      <c r="P181" s="13"/>
      <c r="Q181" s="13"/>
      <c r="R181" s="13"/>
    </row>
    <row r="182" spans="4:18" ht="14.25" customHeight="1" x14ac:dyDescent="0.25">
      <c r="D182" s="49"/>
      <c r="E182" s="49"/>
      <c r="G182" s="49"/>
      <c r="H182" s="49"/>
      <c r="O182" s="13"/>
      <c r="P182" s="13"/>
      <c r="Q182" s="13"/>
      <c r="R182" s="13"/>
    </row>
    <row r="183" spans="4:18" ht="14.25" customHeight="1" x14ac:dyDescent="0.25">
      <c r="D183" s="49"/>
      <c r="E183" s="49"/>
      <c r="G183" s="49"/>
      <c r="H183" s="49"/>
      <c r="O183" s="13"/>
      <c r="P183" s="13"/>
      <c r="Q183" s="13"/>
      <c r="R183" s="13"/>
    </row>
    <row r="184" spans="4:18" ht="14.25" customHeight="1" x14ac:dyDescent="0.25">
      <c r="D184" s="49"/>
      <c r="E184" s="49"/>
      <c r="G184" s="49"/>
      <c r="H184" s="49"/>
      <c r="O184" s="13"/>
      <c r="P184" s="13"/>
      <c r="Q184" s="13"/>
      <c r="R184" s="13"/>
    </row>
    <row r="185" spans="4:18" ht="14.25" customHeight="1" x14ac:dyDescent="0.25">
      <c r="D185" s="49"/>
      <c r="E185" s="49"/>
      <c r="G185" s="49"/>
      <c r="H185" s="49"/>
      <c r="O185" s="13"/>
      <c r="P185" s="13"/>
      <c r="Q185" s="13"/>
      <c r="R185" s="13"/>
    </row>
    <row r="186" spans="4:18" ht="14.25" customHeight="1" x14ac:dyDescent="0.25">
      <c r="D186" s="49"/>
      <c r="E186" s="49"/>
      <c r="G186" s="49"/>
      <c r="H186" s="49"/>
      <c r="O186" s="13"/>
      <c r="P186" s="13"/>
      <c r="Q186" s="13"/>
      <c r="R186" s="13"/>
    </row>
    <row r="187" spans="4:18" ht="14.25" customHeight="1" x14ac:dyDescent="0.25">
      <c r="D187" s="49"/>
      <c r="E187" s="49"/>
      <c r="G187" s="49"/>
      <c r="H187" s="49"/>
      <c r="O187" s="13"/>
      <c r="P187" s="13"/>
      <c r="Q187" s="13"/>
      <c r="R187" s="13"/>
    </row>
    <row r="188" spans="4:18" ht="14.25" customHeight="1" x14ac:dyDescent="0.25">
      <c r="D188" s="49"/>
      <c r="E188" s="49"/>
      <c r="G188" s="49"/>
      <c r="H188" s="49"/>
      <c r="O188" s="13"/>
      <c r="P188" s="13"/>
      <c r="Q188" s="13"/>
      <c r="R188" s="13"/>
    </row>
    <row r="189" spans="4:18" ht="14.25" customHeight="1" x14ac:dyDescent="0.25">
      <c r="D189" s="49"/>
      <c r="E189" s="49"/>
      <c r="G189" s="49"/>
      <c r="H189" s="49"/>
      <c r="O189" s="13"/>
      <c r="P189" s="13"/>
      <c r="Q189" s="13"/>
      <c r="R189" s="13"/>
    </row>
    <row r="190" spans="4:18" ht="14.25" customHeight="1" x14ac:dyDescent="0.25">
      <c r="D190" s="49"/>
      <c r="E190" s="49"/>
      <c r="G190" s="49"/>
      <c r="H190" s="49"/>
      <c r="O190" s="13"/>
      <c r="P190" s="13"/>
      <c r="Q190" s="13"/>
      <c r="R190" s="13"/>
    </row>
    <row r="191" spans="4:18" ht="14.25" customHeight="1" x14ac:dyDescent="0.25">
      <c r="D191" s="49"/>
      <c r="E191" s="49"/>
      <c r="G191" s="49"/>
      <c r="H191" s="49"/>
      <c r="O191" s="13"/>
      <c r="P191" s="13"/>
      <c r="Q191" s="13"/>
      <c r="R191" s="13"/>
    </row>
    <row r="192" spans="4:18" ht="14.25" customHeight="1" x14ac:dyDescent="0.25">
      <c r="D192" s="49"/>
      <c r="E192" s="49"/>
      <c r="G192" s="49"/>
      <c r="H192" s="49"/>
      <c r="O192" s="13"/>
      <c r="P192" s="13"/>
      <c r="Q192" s="13"/>
      <c r="R192" s="13"/>
    </row>
    <row r="193" spans="4:18" ht="14.25" customHeight="1" x14ac:dyDescent="0.25">
      <c r="D193" s="49"/>
      <c r="E193" s="49"/>
      <c r="G193" s="49"/>
      <c r="H193" s="49"/>
      <c r="O193" s="13"/>
      <c r="P193" s="13"/>
      <c r="Q193" s="13"/>
      <c r="R193" s="13"/>
    </row>
    <row r="194" spans="4:18" ht="14.25" customHeight="1" x14ac:dyDescent="0.25">
      <c r="D194" s="49"/>
      <c r="E194" s="49"/>
      <c r="G194" s="49"/>
      <c r="H194" s="49"/>
      <c r="O194" s="13"/>
      <c r="P194" s="13"/>
      <c r="Q194" s="13"/>
      <c r="R194" s="13"/>
    </row>
    <row r="195" spans="4:18" ht="14.25" customHeight="1" x14ac:dyDescent="0.25">
      <c r="D195" s="49"/>
      <c r="E195" s="49"/>
      <c r="G195" s="49"/>
      <c r="H195" s="49"/>
      <c r="O195" s="13"/>
      <c r="P195" s="13"/>
      <c r="Q195" s="13"/>
      <c r="R195" s="13"/>
    </row>
    <row r="196" spans="4:18" ht="14.25" customHeight="1" x14ac:dyDescent="0.25">
      <c r="D196" s="49"/>
      <c r="E196" s="49"/>
      <c r="G196" s="49"/>
      <c r="H196" s="49"/>
      <c r="O196" s="13"/>
      <c r="P196" s="13"/>
      <c r="Q196" s="13"/>
      <c r="R196" s="13"/>
    </row>
    <row r="197" spans="4:18" ht="14.25" customHeight="1" x14ac:dyDescent="0.25">
      <c r="D197" s="49"/>
      <c r="E197" s="49"/>
      <c r="G197" s="49"/>
      <c r="H197" s="49"/>
      <c r="O197" s="13"/>
      <c r="P197" s="13"/>
      <c r="Q197" s="13"/>
      <c r="R197" s="13"/>
    </row>
    <row r="198" spans="4:18" ht="14.25" customHeight="1" x14ac:dyDescent="0.25">
      <c r="D198" s="49"/>
      <c r="E198" s="49"/>
      <c r="G198" s="49"/>
      <c r="H198" s="49"/>
      <c r="O198" s="13"/>
      <c r="P198" s="13"/>
      <c r="Q198" s="13"/>
      <c r="R198" s="13"/>
    </row>
    <row r="199" spans="4:18" ht="14.25" customHeight="1" x14ac:dyDescent="0.25">
      <c r="D199" s="49"/>
      <c r="E199" s="49"/>
      <c r="G199" s="49"/>
      <c r="H199" s="49"/>
      <c r="O199" s="13"/>
      <c r="P199" s="13"/>
      <c r="Q199" s="13"/>
      <c r="R199" s="13"/>
    </row>
    <row r="200" spans="4:18" ht="14.25" customHeight="1" x14ac:dyDescent="0.25">
      <c r="D200" s="49"/>
      <c r="E200" s="49"/>
      <c r="G200" s="49"/>
      <c r="H200" s="49"/>
      <c r="O200" s="13"/>
      <c r="P200" s="13"/>
      <c r="Q200" s="13"/>
      <c r="R200" s="13"/>
    </row>
    <row r="201" spans="4:18" ht="14.25" customHeight="1" x14ac:dyDescent="0.25">
      <c r="D201" s="49"/>
      <c r="E201" s="49"/>
      <c r="G201" s="49"/>
      <c r="H201" s="49"/>
      <c r="O201" s="13"/>
      <c r="P201" s="13"/>
      <c r="Q201" s="13"/>
      <c r="R201" s="13"/>
    </row>
    <row r="202" spans="4:18" ht="14.25" customHeight="1" x14ac:dyDescent="0.25">
      <c r="D202" s="49"/>
      <c r="E202" s="49"/>
      <c r="G202" s="49"/>
      <c r="H202" s="49"/>
      <c r="O202" s="13"/>
      <c r="P202" s="13"/>
      <c r="Q202" s="13"/>
      <c r="R202" s="13"/>
    </row>
    <row r="203" spans="4:18" ht="14.25" customHeight="1" x14ac:dyDescent="0.25">
      <c r="D203" s="49"/>
      <c r="E203" s="49"/>
      <c r="G203" s="49"/>
      <c r="H203" s="49"/>
      <c r="O203" s="13"/>
      <c r="P203" s="13"/>
      <c r="Q203" s="13"/>
      <c r="R203" s="13"/>
    </row>
    <row r="204" spans="4:18" ht="14.25" customHeight="1" x14ac:dyDescent="0.25">
      <c r="D204" s="49"/>
      <c r="E204" s="49"/>
      <c r="G204" s="49"/>
      <c r="H204" s="49"/>
      <c r="O204" s="13"/>
      <c r="P204" s="13"/>
      <c r="Q204" s="13"/>
      <c r="R204" s="13"/>
    </row>
    <row r="205" spans="4:18" ht="14.25" customHeight="1" x14ac:dyDescent="0.25">
      <c r="D205" s="49"/>
      <c r="E205" s="49"/>
      <c r="G205" s="49"/>
      <c r="H205" s="49"/>
      <c r="O205" s="13"/>
      <c r="P205" s="13"/>
      <c r="Q205" s="13"/>
      <c r="R205" s="13"/>
    </row>
    <row r="206" spans="4:18" ht="14.25" customHeight="1" x14ac:dyDescent="0.25">
      <c r="D206" s="49"/>
      <c r="E206" s="49"/>
      <c r="G206" s="49"/>
      <c r="H206" s="49"/>
      <c r="O206" s="13"/>
      <c r="P206" s="13"/>
      <c r="Q206" s="13"/>
      <c r="R206" s="13"/>
    </row>
    <row r="207" spans="4:18" ht="14.25" customHeight="1" x14ac:dyDescent="0.25">
      <c r="D207" s="49"/>
      <c r="E207" s="49"/>
      <c r="G207" s="49"/>
      <c r="H207" s="49"/>
      <c r="O207" s="13"/>
      <c r="P207" s="13"/>
      <c r="Q207" s="13"/>
      <c r="R207" s="13"/>
    </row>
    <row r="208" spans="4:18" ht="14.25" customHeight="1" x14ac:dyDescent="0.25">
      <c r="D208" s="49"/>
      <c r="E208" s="49"/>
      <c r="G208" s="49"/>
      <c r="H208" s="49"/>
      <c r="O208" s="13"/>
      <c r="P208" s="13"/>
      <c r="Q208" s="13"/>
      <c r="R208" s="13"/>
    </row>
    <row r="209" spans="4:18" ht="14.25" customHeight="1" x14ac:dyDescent="0.25">
      <c r="D209" s="49"/>
      <c r="E209" s="49"/>
      <c r="G209" s="49"/>
      <c r="H209" s="49"/>
      <c r="O209" s="13"/>
      <c r="P209" s="13"/>
      <c r="Q209" s="13"/>
      <c r="R209" s="13"/>
    </row>
    <row r="210" spans="4:18" ht="14.25" customHeight="1" x14ac:dyDescent="0.25">
      <c r="D210" s="49"/>
      <c r="E210" s="49"/>
      <c r="G210" s="49"/>
      <c r="H210" s="49"/>
      <c r="O210" s="13"/>
      <c r="P210" s="13"/>
      <c r="Q210" s="13"/>
      <c r="R210" s="13"/>
    </row>
    <row r="211" spans="4:18" ht="14.25" customHeight="1" x14ac:dyDescent="0.25">
      <c r="D211" s="49"/>
      <c r="E211" s="49"/>
      <c r="G211" s="49"/>
      <c r="H211" s="49"/>
      <c r="O211" s="13"/>
      <c r="P211" s="13"/>
      <c r="Q211" s="13"/>
      <c r="R211" s="13"/>
    </row>
    <row r="212" spans="4:18" ht="14.25" customHeight="1" x14ac:dyDescent="0.25">
      <c r="D212" s="49"/>
      <c r="E212" s="49"/>
      <c r="G212" s="49"/>
      <c r="H212" s="49"/>
      <c r="O212" s="13"/>
      <c r="P212" s="13"/>
      <c r="Q212" s="13"/>
      <c r="R212" s="13"/>
    </row>
    <row r="213" spans="4:18" ht="14.25" customHeight="1" x14ac:dyDescent="0.25">
      <c r="D213" s="49"/>
      <c r="E213" s="49"/>
      <c r="G213" s="49"/>
      <c r="H213" s="49"/>
      <c r="O213" s="13"/>
      <c r="P213" s="13"/>
      <c r="Q213" s="13"/>
      <c r="R213" s="13"/>
    </row>
    <row r="214" spans="4:18" ht="14.25" customHeight="1" x14ac:dyDescent="0.25">
      <c r="D214" s="49"/>
      <c r="E214" s="49"/>
      <c r="G214" s="49"/>
      <c r="H214" s="49"/>
      <c r="O214" s="13"/>
      <c r="P214" s="13"/>
      <c r="Q214" s="13"/>
      <c r="R214" s="13"/>
    </row>
    <row r="215" spans="4:18" ht="14.25" customHeight="1" x14ac:dyDescent="0.25">
      <c r="D215" s="49"/>
      <c r="E215" s="49"/>
      <c r="G215" s="49"/>
      <c r="H215" s="49"/>
      <c r="O215" s="13"/>
      <c r="P215" s="13"/>
      <c r="Q215" s="13"/>
      <c r="R215" s="13"/>
    </row>
    <row r="216" spans="4:18" ht="14.25" customHeight="1" x14ac:dyDescent="0.25">
      <c r="D216" s="49"/>
      <c r="E216" s="49"/>
      <c r="G216" s="49"/>
      <c r="H216" s="49"/>
      <c r="O216" s="13"/>
      <c r="P216" s="13"/>
      <c r="Q216" s="13"/>
      <c r="R216" s="13"/>
    </row>
    <row r="217" spans="4:18" ht="14.25" customHeight="1" x14ac:dyDescent="0.25">
      <c r="D217" s="49"/>
      <c r="E217" s="49"/>
      <c r="G217" s="49"/>
      <c r="H217" s="49"/>
      <c r="O217" s="13"/>
      <c r="P217" s="13"/>
      <c r="Q217" s="13"/>
      <c r="R217" s="13"/>
    </row>
    <row r="218" spans="4:18" ht="14.25" customHeight="1" x14ac:dyDescent="0.25">
      <c r="D218" s="49"/>
      <c r="E218" s="49"/>
      <c r="G218" s="49"/>
      <c r="H218" s="49"/>
      <c r="O218" s="13"/>
      <c r="P218" s="13"/>
      <c r="Q218" s="13"/>
      <c r="R218" s="13"/>
    </row>
    <row r="219" spans="4:18" ht="14.25" customHeight="1" x14ac:dyDescent="0.25">
      <c r="D219" s="49"/>
      <c r="E219" s="49"/>
      <c r="G219" s="49"/>
      <c r="H219" s="49"/>
      <c r="O219" s="13"/>
      <c r="P219" s="13"/>
      <c r="Q219" s="13"/>
      <c r="R219" s="13"/>
    </row>
    <row r="220" spans="4:18" ht="14.25" customHeight="1" x14ac:dyDescent="0.25">
      <c r="D220" s="49"/>
      <c r="E220" s="49"/>
      <c r="G220" s="49"/>
      <c r="H220" s="49"/>
      <c r="O220" s="13"/>
      <c r="P220" s="13"/>
      <c r="Q220" s="13"/>
      <c r="R220" s="13"/>
    </row>
    <row r="221" spans="4:18" ht="14.25" customHeight="1" x14ac:dyDescent="0.25">
      <c r="D221" s="49"/>
      <c r="E221" s="49"/>
      <c r="G221" s="49"/>
      <c r="H221" s="49"/>
      <c r="O221" s="13"/>
      <c r="P221" s="13"/>
      <c r="Q221" s="13"/>
      <c r="R221" s="13"/>
    </row>
    <row r="222" spans="4:18" ht="14.25" customHeight="1" x14ac:dyDescent="0.25">
      <c r="D222" s="49"/>
      <c r="E222" s="49"/>
      <c r="G222" s="49"/>
      <c r="H222" s="49"/>
      <c r="O222" s="13"/>
      <c r="P222" s="13"/>
      <c r="Q222" s="13"/>
      <c r="R222" s="13"/>
    </row>
    <row r="223" spans="4:18" ht="14.25" customHeight="1" x14ac:dyDescent="0.25">
      <c r="D223" s="49"/>
      <c r="E223" s="49"/>
      <c r="G223" s="49"/>
      <c r="H223" s="49"/>
      <c r="O223" s="13"/>
      <c r="P223" s="13"/>
      <c r="Q223" s="13"/>
      <c r="R223" s="13"/>
    </row>
    <row r="224" spans="4:18" ht="14.25" customHeight="1" x14ac:dyDescent="0.25">
      <c r="D224" s="49"/>
      <c r="E224" s="49"/>
      <c r="G224" s="49"/>
      <c r="H224" s="49"/>
      <c r="O224" s="13"/>
      <c r="P224" s="13"/>
      <c r="Q224" s="13"/>
      <c r="R224" s="13"/>
    </row>
    <row r="225" spans="4:18" ht="14.25" customHeight="1" x14ac:dyDescent="0.25">
      <c r="D225" s="49"/>
      <c r="E225" s="49"/>
      <c r="G225" s="49"/>
      <c r="H225" s="49"/>
      <c r="O225" s="13"/>
      <c r="P225" s="13"/>
      <c r="Q225" s="13"/>
      <c r="R225" s="13"/>
    </row>
    <row r="226" spans="4:18" ht="14.25" customHeight="1" x14ac:dyDescent="0.25">
      <c r="D226" s="49"/>
      <c r="E226" s="49"/>
      <c r="G226" s="49"/>
      <c r="H226" s="49"/>
      <c r="O226" s="13"/>
      <c r="P226" s="13"/>
      <c r="Q226" s="13"/>
      <c r="R226" s="13"/>
    </row>
    <row r="227" spans="4:18" ht="14.25" customHeight="1" x14ac:dyDescent="0.25">
      <c r="D227" s="49"/>
      <c r="E227" s="49"/>
      <c r="G227" s="49"/>
      <c r="H227" s="49"/>
      <c r="O227" s="13"/>
      <c r="P227" s="13"/>
      <c r="Q227" s="13"/>
      <c r="R227" s="13"/>
    </row>
    <row r="228" spans="4:18" ht="14.25" customHeight="1" x14ac:dyDescent="0.25">
      <c r="D228" s="49"/>
      <c r="E228" s="49"/>
      <c r="G228" s="49"/>
      <c r="H228" s="49"/>
      <c r="O228" s="13"/>
      <c r="P228" s="13"/>
      <c r="Q228" s="13"/>
      <c r="R228" s="13"/>
    </row>
    <row r="229" spans="4:18" ht="14.25" customHeight="1" x14ac:dyDescent="0.25">
      <c r="D229" s="49"/>
      <c r="E229" s="49"/>
      <c r="G229" s="49"/>
      <c r="H229" s="49"/>
      <c r="O229" s="13"/>
      <c r="P229" s="13"/>
      <c r="Q229" s="13"/>
      <c r="R229" s="13"/>
    </row>
    <row r="230" spans="4:18" ht="14.25" customHeight="1" x14ac:dyDescent="0.25">
      <c r="D230" s="49"/>
      <c r="E230" s="49"/>
      <c r="G230" s="49"/>
      <c r="H230" s="49"/>
      <c r="O230" s="13"/>
      <c r="P230" s="13"/>
      <c r="Q230" s="13"/>
      <c r="R230" s="13"/>
    </row>
    <row r="231" spans="4:18" ht="14.25" customHeight="1" x14ac:dyDescent="0.25">
      <c r="D231" s="49"/>
      <c r="E231" s="49"/>
      <c r="G231" s="49"/>
      <c r="H231" s="49"/>
      <c r="O231" s="13"/>
      <c r="P231" s="13"/>
      <c r="Q231" s="13"/>
      <c r="R231" s="13"/>
    </row>
    <row r="232" spans="4:18" ht="14.25" customHeight="1" x14ac:dyDescent="0.25">
      <c r="D232" s="49"/>
      <c r="E232" s="49"/>
      <c r="G232" s="49"/>
      <c r="H232" s="49"/>
      <c r="O232" s="13"/>
      <c r="P232" s="13"/>
      <c r="Q232" s="13"/>
      <c r="R232" s="13"/>
    </row>
    <row r="233" spans="4:18" ht="14.25" customHeight="1" x14ac:dyDescent="0.25">
      <c r="D233" s="49"/>
      <c r="E233" s="49"/>
      <c r="G233" s="49"/>
      <c r="H233" s="49"/>
      <c r="O233" s="13"/>
      <c r="P233" s="13"/>
      <c r="Q233" s="13"/>
      <c r="R233" s="13"/>
    </row>
    <row r="234" spans="4:18" ht="14.25" customHeight="1" x14ac:dyDescent="0.25">
      <c r="D234" s="49"/>
      <c r="E234" s="49"/>
      <c r="G234" s="49"/>
      <c r="H234" s="49"/>
      <c r="O234" s="13"/>
      <c r="P234" s="13"/>
      <c r="Q234" s="13"/>
      <c r="R234" s="13"/>
    </row>
    <row r="235" spans="4:18" ht="14.25" customHeight="1" x14ac:dyDescent="0.25">
      <c r="D235" s="49"/>
      <c r="E235" s="49"/>
      <c r="G235" s="49"/>
      <c r="H235" s="49"/>
      <c r="O235" s="13"/>
      <c r="P235" s="13"/>
      <c r="Q235" s="13"/>
      <c r="R235" s="13"/>
    </row>
    <row r="236" spans="4:18" ht="14.25" customHeight="1" x14ac:dyDescent="0.25">
      <c r="D236" s="49"/>
      <c r="E236" s="49"/>
      <c r="G236" s="49"/>
      <c r="H236" s="49"/>
      <c r="O236" s="13"/>
      <c r="P236" s="13"/>
      <c r="Q236" s="13"/>
      <c r="R236" s="13"/>
    </row>
    <row r="237" spans="4:18" ht="14.25" customHeight="1" x14ac:dyDescent="0.25">
      <c r="D237" s="49"/>
      <c r="E237" s="49"/>
      <c r="G237" s="49"/>
      <c r="H237" s="49"/>
      <c r="O237" s="13"/>
      <c r="P237" s="13"/>
      <c r="Q237" s="13"/>
      <c r="R237" s="13"/>
    </row>
    <row r="238" spans="4:18" ht="14.25" customHeight="1" x14ac:dyDescent="0.25">
      <c r="D238" s="49"/>
      <c r="E238" s="49"/>
      <c r="G238" s="49"/>
      <c r="H238" s="49"/>
      <c r="O238" s="13"/>
      <c r="P238" s="13"/>
      <c r="Q238" s="13"/>
      <c r="R238" s="13"/>
    </row>
    <row r="239" spans="4:18" ht="14.25" customHeight="1" x14ac:dyDescent="0.25">
      <c r="D239" s="49"/>
      <c r="E239" s="49"/>
      <c r="G239" s="49"/>
      <c r="H239" s="49"/>
      <c r="O239" s="13"/>
      <c r="P239" s="13"/>
      <c r="Q239" s="13"/>
      <c r="R239" s="13"/>
    </row>
    <row r="240" spans="4:18" ht="14.25" customHeight="1" x14ac:dyDescent="0.25">
      <c r="D240" s="49"/>
      <c r="E240" s="49"/>
      <c r="G240" s="49"/>
      <c r="H240" s="49"/>
      <c r="O240" s="13"/>
      <c r="P240" s="13"/>
      <c r="Q240" s="13"/>
      <c r="R240" s="13"/>
    </row>
    <row r="241" spans="4:18" ht="14.25" customHeight="1" x14ac:dyDescent="0.25">
      <c r="D241" s="49"/>
      <c r="E241" s="49"/>
      <c r="G241" s="49"/>
      <c r="H241" s="49"/>
      <c r="O241" s="13"/>
      <c r="P241" s="13"/>
      <c r="Q241" s="13"/>
      <c r="R241" s="13"/>
    </row>
    <row r="242" spans="4:18" ht="14.25" customHeight="1" x14ac:dyDescent="0.25">
      <c r="D242" s="49"/>
      <c r="E242" s="49"/>
      <c r="G242" s="49"/>
      <c r="H242" s="49"/>
      <c r="O242" s="13"/>
      <c r="P242" s="13"/>
      <c r="Q242" s="13"/>
      <c r="R242" s="13"/>
    </row>
    <row r="243" spans="4:18" ht="14.25" customHeight="1" x14ac:dyDescent="0.25">
      <c r="D243" s="49"/>
      <c r="E243" s="49"/>
      <c r="G243" s="49"/>
      <c r="H243" s="49"/>
      <c r="O243" s="13"/>
      <c r="P243" s="13"/>
      <c r="Q243" s="13"/>
      <c r="R243" s="13"/>
    </row>
    <row r="244" spans="4:18" ht="14.25" customHeight="1" x14ac:dyDescent="0.25">
      <c r="D244" s="49"/>
      <c r="E244" s="49"/>
      <c r="G244" s="49"/>
      <c r="H244" s="49"/>
      <c r="O244" s="13"/>
      <c r="P244" s="13"/>
      <c r="Q244" s="13"/>
      <c r="R244" s="13"/>
    </row>
    <row r="245" spans="4:18" ht="14.25" customHeight="1" x14ac:dyDescent="0.25">
      <c r="D245" s="49"/>
      <c r="E245" s="49"/>
      <c r="G245" s="49"/>
      <c r="H245" s="49"/>
      <c r="O245" s="13"/>
      <c r="P245" s="13"/>
      <c r="Q245" s="13"/>
      <c r="R245" s="13"/>
    </row>
    <row r="246" spans="4:18" ht="14.25" customHeight="1" x14ac:dyDescent="0.25">
      <c r="D246" s="49"/>
      <c r="E246" s="49"/>
      <c r="G246" s="49"/>
      <c r="H246" s="49"/>
      <c r="O246" s="13"/>
      <c r="P246" s="13"/>
      <c r="Q246" s="13"/>
      <c r="R246" s="13"/>
    </row>
    <row r="247" spans="4:18" ht="14.25" customHeight="1" x14ac:dyDescent="0.25">
      <c r="D247" s="49"/>
      <c r="E247" s="49"/>
      <c r="G247" s="49"/>
      <c r="H247" s="49"/>
      <c r="O247" s="13"/>
      <c r="P247" s="13"/>
      <c r="Q247" s="13"/>
      <c r="R247" s="13"/>
    </row>
    <row r="248" spans="4:18" ht="14.25" customHeight="1" x14ac:dyDescent="0.25">
      <c r="D248" s="49"/>
      <c r="E248" s="49"/>
      <c r="G248" s="49"/>
      <c r="H248" s="49"/>
      <c r="O248" s="13"/>
      <c r="P248" s="13"/>
      <c r="Q248" s="13"/>
      <c r="R248" s="13"/>
    </row>
    <row r="249" spans="4:18" ht="14.25" customHeight="1" x14ac:dyDescent="0.25">
      <c r="D249" s="49"/>
      <c r="E249" s="49"/>
      <c r="G249" s="49"/>
      <c r="H249" s="49"/>
      <c r="O249" s="13"/>
      <c r="P249" s="13"/>
      <c r="Q249" s="13"/>
      <c r="R249" s="13"/>
    </row>
    <row r="250" spans="4:18" ht="14.25" customHeight="1" x14ac:dyDescent="0.25">
      <c r="D250" s="49"/>
      <c r="E250" s="49"/>
      <c r="G250" s="49"/>
      <c r="H250" s="49"/>
      <c r="O250" s="13"/>
      <c r="P250" s="13"/>
      <c r="Q250" s="13"/>
      <c r="R250" s="13"/>
    </row>
    <row r="251" spans="4:18" ht="14.25" customHeight="1" x14ac:dyDescent="0.25">
      <c r="D251" s="49"/>
      <c r="E251" s="49"/>
      <c r="G251" s="49"/>
      <c r="H251" s="49"/>
      <c r="O251" s="13"/>
      <c r="P251" s="13"/>
      <c r="Q251" s="13"/>
      <c r="R251" s="13"/>
    </row>
    <row r="252" spans="4:18" ht="14.25" customHeight="1" x14ac:dyDescent="0.25">
      <c r="D252" s="49"/>
      <c r="E252" s="49"/>
      <c r="G252" s="49"/>
      <c r="H252" s="49"/>
      <c r="O252" s="13"/>
      <c r="P252" s="13"/>
      <c r="Q252" s="13"/>
      <c r="R252" s="13"/>
    </row>
    <row r="253" spans="4:18" ht="14.25" customHeight="1" x14ac:dyDescent="0.25">
      <c r="D253" s="49"/>
      <c r="E253" s="49"/>
      <c r="G253" s="49"/>
      <c r="H253" s="49"/>
      <c r="O253" s="13"/>
      <c r="P253" s="13"/>
      <c r="Q253" s="13"/>
      <c r="R253" s="13"/>
    </row>
    <row r="254" spans="4:18" ht="14.25" customHeight="1" x14ac:dyDescent="0.25">
      <c r="D254" s="49"/>
      <c r="E254" s="49"/>
      <c r="G254" s="49"/>
      <c r="H254" s="49"/>
      <c r="O254" s="13"/>
      <c r="P254" s="13"/>
      <c r="Q254" s="13"/>
      <c r="R254" s="13"/>
    </row>
    <row r="255" spans="4:18" ht="14.25" customHeight="1" x14ac:dyDescent="0.25">
      <c r="D255" s="49"/>
      <c r="E255" s="49"/>
      <c r="G255" s="49"/>
      <c r="H255" s="49"/>
      <c r="O255" s="13"/>
      <c r="P255" s="13"/>
      <c r="Q255" s="13"/>
      <c r="R255" s="13"/>
    </row>
    <row r="256" spans="4:18" ht="14.25" customHeight="1" x14ac:dyDescent="0.25">
      <c r="D256" s="49"/>
      <c r="E256" s="49"/>
      <c r="G256" s="49"/>
      <c r="H256" s="49"/>
      <c r="O256" s="13"/>
      <c r="P256" s="13"/>
      <c r="Q256" s="13"/>
      <c r="R256" s="13"/>
    </row>
    <row r="257" spans="4:18" ht="14.25" customHeight="1" x14ac:dyDescent="0.25">
      <c r="D257" s="49"/>
      <c r="E257" s="49"/>
      <c r="G257" s="49"/>
      <c r="H257" s="49"/>
      <c r="O257" s="13"/>
      <c r="P257" s="13"/>
      <c r="Q257" s="13"/>
      <c r="R257" s="13"/>
    </row>
    <row r="258" spans="4:18" ht="15.75" customHeight="1" x14ac:dyDescent="0.25">
      <c r="O258" s="13"/>
      <c r="P258" s="13"/>
      <c r="Q258" s="13"/>
      <c r="R258" s="13"/>
    </row>
    <row r="259" spans="4:18" ht="15.75" customHeight="1" x14ac:dyDescent="0.25">
      <c r="O259" s="13"/>
      <c r="P259" s="13"/>
      <c r="Q259" s="13"/>
      <c r="R259" s="13"/>
    </row>
    <row r="260" spans="4:18" ht="15.75" customHeight="1" x14ac:dyDescent="0.25">
      <c r="O260" s="13"/>
      <c r="P260" s="13"/>
      <c r="Q260" s="13"/>
      <c r="R260" s="13"/>
    </row>
    <row r="261" spans="4:18" ht="15.75" customHeight="1" x14ac:dyDescent="0.25">
      <c r="O261" s="13"/>
      <c r="P261" s="13"/>
      <c r="Q261" s="13"/>
      <c r="R261" s="13"/>
    </row>
    <row r="262" spans="4:18" ht="15.75" customHeight="1" x14ac:dyDescent="0.25">
      <c r="O262" s="13"/>
      <c r="P262" s="13"/>
      <c r="Q262" s="13"/>
      <c r="R262" s="13"/>
    </row>
    <row r="263" spans="4:18" ht="15.75" customHeight="1" x14ac:dyDescent="0.25">
      <c r="O263" s="13"/>
      <c r="P263" s="13"/>
      <c r="Q263" s="13"/>
      <c r="R263" s="13"/>
    </row>
    <row r="264" spans="4:18" ht="15.75" customHeight="1" x14ac:dyDescent="0.25">
      <c r="O264" s="13"/>
      <c r="P264" s="13"/>
      <c r="Q264" s="13"/>
      <c r="R264" s="13"/>
    </row>
    <row r="265" spans="4:18" ht="15.75" customHeight="1" x14ac:dyDescent="0.25">
      <c r="O265" s="13"/>
      <c r="P265" s="13"/>
      <c r="Q265" s="13"/>
      <c r="R265" s="13"/>
    </row>
    <row r="266" spans="4:18" ht="15.75" customHeight="1" x14ac:dyDescent="0.25">
      <c r="O266" s="13"/>
      <c r="P266" s="13"/>
      <c r="Q266" s="13"/>
      <c r="R266" s="13"/>
    </row>
    <row r="267" spans="4:18" ht="15.75" customHeight="1" x14ac:dyDescent="0.25">
      <c r="O267" s="13"/>
      <c r="P267" s="13"/>
      <c r="Q267" s="13"/>
      <c r="R267" s="13"/>
    </row>
    <row r="268" spans="4:18" ht="15.75" customHeight="1" x14ac:dyDescent="0.25">
      <c r="O268" s="13"/>
      <c r="P268" s="13"/>
      <c r="Q268" s="13"/>
      <c r="R268" s="13"/>
    </row>
    <row r="269" spans="4:18" ht="15.75" customHeight="1" x14ac:dyDescent="0.25">
      <c r="O269" s="13"/>
      <c r="P269" s="13"/>
      <c r="Q269" s="13"/>
      <c r="R269" s="13"/>
    </row>
    <row r="270" spans="4:18" ht="15.75" customHeight="1" x14ac:dyDescent="0.25">
      <c r="O270" s="13"/>
      <c r="P270" s="13"/>
      <c r="Q270" s="13"/>
      <c r="R270" s="13"/>
    </row>
    <row r="271" spans="4:18" ht="15.75" customHeight="1" x14ac:dyDescent="0.25">
      <c r="O271" s="13"/>
      <c r="P271" s="13"/>
      <c r="Q271" s="13"/>
      <c r="R271" s="13"/>
    </row>
    <row r="272" spans="4:18" ht="15.75" customHeight="1" x14ac:dyDescent="0.25">
      <c r="O272" s="13"/>
      <c r="P272" s="13"/>
      <c r="Q272" s="13"/>
      <c r="R272" s="13"/>
    </row>
    <row r="273" spans="15:18" ht="15.75" customHeight="1" x14ac:dyDescent="0.25">
      <c r="O273" s="13"/>
      <c r="P273" s="13"/>
      <c r="Q273" s="13"/>
      <c r="R273" s="13"/>
    </row>
    <row r="274" spans="15:18" ht="15.75" customHeight="1" x14ac:dyDescent="0.25">
      <c r="O274" s="13"/>
      <c r="P274" s="13"/>
      <c r="Q274" s="13"/>
      <c r="R274" s="13"/>
    </row>
    <row r="275" spans="15:18" ht="15.75" customHeight="1" x14ac:dyDescent="0.25">
      <c r="O275" s="13"/>
      <c r="P275" s="13"/>
      <c r="Q275" s="13"/>
      <c r="R275" s="13"/>
    </row>
    <row r="276" spans="15:18" ht="15.75" customHeight="1" x14ac:dyDescent="0.25">
      <c r="O276" s="13"/>
      <c r="P276" s="13"/>
      <c r="Q276" s="13"/>
      <c r="R276" s="13"/>
    </row>
    <row r="277" spans="15:18" ht="15.75" customHeight="1" x14ac:dyDescent="0.25">
      <c r="O277" s="13"/>
      <c r="P277" s="13"/>
      <c r="Q277" s="13"/>
      <c r="R277" s="13"/>
    </row>
    <row r="278" spans="15:18" ht="15.75" customHeight="1" x14ac:dyDescent="0.25">
      <c r="O278" s="13"/>
      <c r="P278" s="13"/>
      <c r="Q278" s="13"/>
      <c r="R278" s="13"/>
    </row>
    <row r="279" spans="15:18" ht="15.75" customHeight="1" x14ac:dyDescent="0.25">
      <c r="O279" s="13"/>
      <c r="P279" s="13"/>
      <c r="Q279" s="13"/>
      <c r="R279" s="13"/>
    </row>
    <row r="280" spans="15:18" ht="15.75" customHeight="1" x14ac:dyDescent="0.25">
      <c r="O280" s="13"/>
      <c r="P280" s="13"/>
      <c r="Q280" s="13"/>
      <c r="R280" s="13"/>
    </row>
    <row r="281" spans="15:18" ht="15.75" customHeight="1" x14ac:dyDescent="0.25">
      <c r="O281" s="13"/>
      <c r="P281" s="13"/>
      <c r="Q281" s="13"/>
      <c r="R281" s="13"/>
    </row>
    <row r="282" spans="15:18" ht="15.75" customHeight="1" x14ac:dyDescent="0.25">
      <c r="O282" s="13"/>
      <c r="P282" s="13"/>
      <c r="Q282" s="13"/>
      <c r="R282" s="13"/>
    </row>
    <row r="283" spans="15:18" ht="15.75" customHeight="1" x14ac:dyDescent="0.25">
      <c r="O283" s="13"/>
      <c r="P283" s="13"/>
      <c r="Q283" s="13"/>
      <c r="R283" s="13"/>
    </row>
    <row r="284" spans="15:18" ht="15.75" customHeight="1" x14ac:dyDescent="0.25">
      <c r="O284" s="13"/>
      <c r="P284" s="13"/>
      <c r="Q284" s="13"/>
      <c r="R284" s="13"/>
    </row>
    <row r="285" spans="15:18" ht="15.75" customHeight="1" x14ac:dyDescent="0.25">
      <c r="O285" s="13"/>
      <c r="P285" s="13"/>
      <c r="Q285" s="13"/>
      <c r="R285" s="13"/>
    </row>
    <row r="286" spans="15:18" ht="15.75" customHeight="1" x14ac:dyDescent="0.25">
      <c r="O286" s="13"/>
      <c r="P286" s="13"/>
      <c r="Q286" s="13"/>
      <c r="R286" s="13"/>
    </row>
    <row r="287" spans="15:18" ht="15.75" customHeight="1" x14ac:dyDescent="0.25">
      <c r="O287" s="13"/>
      <c r="P287" s="13"/>
      <c r="Q287" s="13"/>
      <c r="R287" s="13"/>
    </row>
    <row r="288" spans="15:18" ht="15.75" customHeight="1" x14ac:dyDescent="0.25">
      <c r="O288" s="13"/>
      <c r="P288" s="13"/>
      <c r="Q288" s="13"/>
      <c r="R288" s="13"/>
    </row>
    <row r="289" spans="15:18" ht="15.75" customHeight="1" x14ac:dyDescent="0.25">
      <c r="O289" s="13"/>
      <c r="P289" s="13"/>
      <c r="Q289" s="13"/>
      <c r="R289" s="13"/>
    </row>
    <row r="290" spans="15:18" ht="15.75" customHeight="1" x14ac:dyDescent="0.25">
      <c r="O290" s="13"/>
      <c r="P290" s="13"/>
      <c r="Q290" s="13"/>
      <c r="R290" s="13"/>
    </row>
    <row r="291" spans="15:18" ht="15.75" customHeight="1" x14ac:dyDescent="0.25">
      <c r="O291" s="13"/>
      <c r="P291" s="13"/>
      <c r="Q291" s="13"/>
      <c r="R291" s="13"/>
    </row>
    <row r="292" spans="15:18" ht="15.75" customHeight="1" x14ac:dyDescent="0.25">
      <c r="O292" s="13"/>
      <c r="P292" s="13"/>
      <c r="Q292" s="13"/>
      <c r="R292" s="13"/>
    </row>
    <row r="293" spans="15:18" ht="15.75" customHeight="1" x14ac:dyDescent="0.25">
      <c r="O293" s="13"/>
      <c r="P293" s="13"/>
      <c r="Q293" s="13"/>
      <c r="R293" s="13"/>
    </row>
    <row r="294" spans="15:18" ht="15.75" customHeight="1" x14ac:dyDescent="0.25">
      <c r="O294" s="13"/>
      <c r="P294" s="13"/>
      <c r="Q294" s="13"/>
      <c r="R294" s="13"/>
    </row>
    <row r="295" spans="15:18" ht="15.75" customHeight="1" x14ac:dyDescent="0.25">
      <c r="O295" s="13"/>
      <c r="P295" s="13"/>
      <c r="Q295" s="13"/>
      <c r="R295" s="13"/>
    </row>
    <row r="296" spans="15:18" ht="15.75" customHeight="1" x14ac:dyDescent="0.25">
      <c r="O296" s="13"/>
      <c r="P296" s="13"/>
      <c r="Q296" s="13"/>
      <c r="R296" s="13"/>
    </row>
    <row r="297" spans="15:18" ht="15.75" customHeight="1" x14ac:dyDescent="0.25">
      <c r="O297" s="13"/>
      <c r="P297" s="13"/>
      <c r="Q297" s="13"/>
      <c r="R297" s="13"/>
    </row>
    <row r="298" spans="15:18" ht="15.75" customHeight="1" x14ac:dyDescent="0.25">
      <c r="O298" s="13"/>
      <c r="P298" s="13"/>
      <c r="Q298" s="13"/>
      <c r="R298" s="13"/>
    </row>
    <row r="299" spans="15:18" ht="15.75" customHeight="1" x14ac:dyDescent="0.25">
      <c r="O299" s="13"/>
      <c r="P299" s="13"/>
      <c r="Q299" s="13"/>
      <c r="R299" s="13"/>
    </row>
    <row r="300" spans="15:18" ht="15.75" customHeight="1" x14ac:dyDescent="0.25">
      <c r="O300" s="13"/>
      <c r="P300" s="13"/>
      <c r="Q300" s="13"/>
      <c r="R300" s="13"/>
    </row>
    <row r="301" spans="15:18" ht="15.75" customHeight="1" x14ac:dyDescent="0.25">
      <c r="O301" s="13"/>
      <c r="P301" s="13"/>
      <c r="Q301" s="13"/>
      <c r="R301" s="13"/>
    </row>
    <row r="302" spans="15:18" ht="15.75" customHeight="1" x14ac:dyDescent="0.25">
      <c r="O302" s="13"/>
      <c r="P302" s="13"/>
      <c r="Q302" s="13"/>
      <c r="R302" s="13"/>
    </row>
    <row r="303" spans="15:18" ht="15.75" customHeight="1" x14ac:dyDescent="0.25">
      <c r="O303" s="13"/>
      <c r="P303" s="13"/>
      <c r="Q303" s="13"/>
      <c r="R303" s="13"/>
    </row>
    <row r="304" spans="15:18" ht="15.75" customHeight="1" x14ac:dyDescent="0.25">
      <c r="O304" s="13"/>
      <c r="P304" s="13"/>
      <c r="Q304" s="13"/>
      <c r="R304" s="13"/>
    </row>
    <row r="305" spans="15:18" ht="15.75" customHeight="1" x14ac:dyDescent="0.25">
      <c r="O305" s="13"/>
      <c r="P305" s="13"/>
      <c r="Q305" s="13"/>
      <c r="R305" s="13"/>
    </row>
    <row r="306" spans="15:18" ht="15.75" customHeight="1" x14ac:dyDescent="0.25">
      <c r="O306" s="13"/>
      <c r="P306" s="13"/>
      <c r="Q306" s="13"/>
      <c r="R306" s="13"/>
    </row>
    <row r="307" spans="15:18" ht="15.75" customHeight="1" x14ac:dyDescent="0.25">
      <c r="O307" s="13"/>
      <c r="P307" s="13"/>
      <c r="Q307" s="13"/>
      <c r="R307" s="13"/>
    </row>
    <row r="308" spans="15:18" ht="15.75" customHeight="1" x14ac:dyDescent="0.25">
      <c r="O308" s="13"/>
      <c r="P308" s="13"/>
      <c r="Q308" s="13"/>
      <c r="R308" s="13"/>
    </row>
    <row r="309" spans="15:18" ht="15.75" customHeight="1" x14ac:dyDescent="0.25">
      <c r="O309" s="13"/>
      <c r="P309" s="13"/>
      <c r="Q309" s="13"/>
      <c r="R309" s="13"/>
    </row>
    <row r="310" spans="15:18" ht="15.75" customHeight="1" x14ac:dyDescent="0.25">
      <c r="O310" s="13"/>
      <c r="P310" s="13"/>
      <c r="Q310" s="13"/>
      <c r="R310" s="13"/>
    </row>
    <row r="311" spans="15:18" ht="15.75" customHeight="1" x14ac:dyDescent="0.25">
      <c r="O311" s="13"/>
      <c r="P311" s="13"/>
      <c r="Q311" s="13"/>
      <c r="R311" s="13"/>
    </row>
    <row r="312" spans="15:18" ht="15.75" customHeight="1" x14ac:dyDescent="0.25">
      <c r="O312" s="13"/>
      <c r="P312" s="13"/>
      <c r="Q312" s="13"/>
      <c r="R312" s="13"/>
    </row>
    <row r="313" spans="15:18" ht="15.75" customHeight="1" x14ac:dyDescent="0.25">
      <c r="O313" s="13"/>
      <c r="P313" s="13"/>
      <c r="Q313" s="13"/>
      <c r="R313" s="13"/>
    </row>
    <row r="314" spans="15:18" ht="15.75" customHeight="1" x14ac:dyDescent="0.25">
      <c r="O314" s="13"/>
      <c r="P314" s="13"/>
      <c r="Q314" s="13"/>
      <c r="R314" s="13"/>
    </row>
    <row r="315" spans="15:18" ht="15.75" customHeight="1" x14ac:dyDescent="0.25">
      <c r="O315" s="13"/>
      <c r="P315" s="13"/>
      <c r="Q315" s="13"/>
      <c r="R315" s="13"/>
    </row>
    <row r="316" spans="15:18" ht="15.75" customHeight="1" x14ac:dyDescent="0.25">
      <c r="O316" s="13"/>
      <c r="P316" s="13"/>
      <c r="Q316" s="13"/>
      <c r="R316" s="13"/>
    </row>
    <row r="317" spans="15:18" ht="15.75" customHeight="1" x14ac:dyDescent="0.25">
      <c r="O317" s="13"/>
      <c r="P317" s="13"/>
      <c r="Q317" s="13"/>
      <c r="R317" s="13"/>
    </row>
    <row r="318" spans="15:18" ht="15.75" customHeight="1" x14ac:dyDescent="0.25">
      <c r="O318" s="13"/>
      <c r="P318" s="13"/>
      <c r="Q318" s="13"/>
      <c r="R318" s="13"/>
    </row>
    <row r="319" spans="15:18" ht="15.75" customHeight="1" x14ac:dyDescent="0.25">
      <c r="O319" s="13"/>
      <c r="P319" s="13"/>
      <c r="Q319" s="13"/>
      <c r="R319" s="13"/>
    </row>
    <row r="320" spans="15:18" ht="15.75" customHeight="1" x14ac:dyDescent="0.25">
      <c r="O320" s="13"/>
      <c r="P320" s="13"/>
      <c r="Q320" s="13"/>
      <c r="R320" s="13"/>
    </row>
    <row r="321" spans="15:18" ht="15.75" customHeight="1" x14ac:dyDescent="0.25">
      <c r="O321" s="13"/>
      <c r="P321" s="13"/>
      <c r="Q321" s="13"/>
      <c r="R321" s="13"/>
    </row>
    <row r="322" spans="15:18" ht="15.75" customHeight="1" x14ac:dyDescent="0.25">
      <c r="O322" s="13"/>
      <c r="P322" s="13"/>
      <c r="Q322" s="13"/>
      <c r="R322" s="13"/>
    </row>
    <row r="323" spans="15:18" ht="15.75" customHeight="1" x14ac:dyDescent="0.25">
      <c r="O323" s="13"/>
      <c r="P323" s="13"/>
      <c r="Q323" s="13"/>
      <c r="R323" s="13"/>
    </row>
    <row r="324" spans="15:18" ht="15.75" customHeight="1" x14ac:dyDescent="0.25">
      <c r="O324" s="13"/>
      <c r="P324" s="13"/>
      <c r="Q324" s="13"/>
      <c r="R324" s="13"/>
    </row>
    <row r="325" spans="15:18" ht="15.75" customHeight="1" x14ac:dyDescent="0.25">
      <c r="O325" s="13"/>
      <c r="P325" s="13"/>
      <c r="Q325" s="13"/>
      <c r="R325" s="13"/>
    </row>
    <row r="326" spans="15:18" ht="15.75" customHeight="1" x14ac:dyDescent="0.25">
      <c r="O326" s="13"/>
      <c r="P326" s="13"/>
      <c r="Q326" s="13"/>
      <c r="R326" s="13"/>
    </row>
    <row r="327" spans="15:18" ht="15.75" customHeight="1" x14ac:dyDescent="0.25">
      <c r="O327" s="13"/>
      <c r="P327" s="13"/>
      <c r="Q327" s="13"/>
      <c r="R327" s="13"/>
    </row>
    <row r="328" spans="15:18" ht="15.75" customHeight="1" x14ac:dyDescent="0.25">
      <c r="O328" s="13"/>
      <c r="P328" s="13"/>
      <c r="Q328" s="13"/>
      <c r="R328" s="13"/>
    </row>
    <row r="329" spans="15:18" ht="15.75" customHeight="1" x14ac:dyDescent="0.25">
      <c r="O329" s="13"/>
      <c r="P329" s="13"/>
      <c r="Q329" s="13"/>
      <c r="R329" s="13"/>
    </row>
    <row r="330" spans="15:18" ht="15.75" customHeight="1" x14ac:dyDescent="0.25">
      <c r="O330" s="13"/>
      <c r="P330" s="13"/>
      <c r="Q330" s="13"/>
      <c r="R330" s="13"/>
    </row>
    <row r="331" spans="15:18" ht="15.75" customHeight="1" x14ac:dyDescent="0.25">
      <c r="O331" s="13"/>
      <c r="P331" s="13"/>
      <c r="Q331" s="13"/>
      <c r="R331" s="13"/>
    </row>
    <row r="332" spans="15:18" ht="15.75" customHeight="1" x14ac:dyDescent="0.25">
      <c r="O332" s="13"/>
      <c r="P332" s="13"/>
      <c r="Q332" s="13"/>
      <c r="R332" s="13"/>
    </row>
    <row r="333" spans="15:18" ht="15.75" customHeight="1" x14ac:dyDescent="0.25">
      <c r="O333" s="13"/>
      <c r="P333" s="13"/>
      <c r="Q333" s="13"/>
      <c r="R333" s="13"/>
    </row>
    <row r="334" spans="15:18" ht="15.75" customHeight="1" x14ac:dyDescent="0.25">
      <c r="O334" s="13"/>
      <c r="P334" s="13"/>
      <c r="Q334" s="13"/>
      <c r="R334" s="13"/>
    </row>
    <row r="335" spans="15:18" ht="15.75" customHeight="1" x14ac:dyDescent="0.25">
      <c r="O335" s="13"/>
      <c r="P335" s="13"/>
      <c r="Q335" s="13"/>
      <c r="R335" s="13"/>
    </row>
    <row r="336" spans="15:18" ht="15.75" customHeight="1" x14ac:dyDescent="0.25">
      <c r="O336" s="13"/>
      <c r="P336" s="13"/>
      <c r="Q336" s="13"/>
      <c r="R336" s="13"/>
    </row>
    <row r="337" spans="15:18" ht="15.75" customHeight="1" x14ac:dyDescent="0.25">
      <c r="O337" s="13"/>
      <c r="P337" s="13"/>
      <c r="Q337" s="13"/>
      <c r="R337" s="13"/>
    </row>
    <row r="338" spans="15:18" ht="15.75" customHeight="1" x14ac:dyDescent="0.25">
      <c r="O338" s="13"/>
      <c r="P338" s="13"/>
      <c r="Q338" s="13"/>
      <c r="R338" s="13"/>
    </row>
    <row r="339" spans="15:18" ht="15.75" customHeight="1" x14ac:dyDescent="0.25">
      <c r="O339" s="13"/>
      <c r="P339" s="13"/>
      <c r="Q339" s="13"/>
      <c r="R339" s="13"/>
    </row>
    <row r="340" spans="15:18" ht="15.75" customHeight="1" x14ac:dyDescent="0.25">
      <c r="O340" s="13"/>
      <c r="P340" s="13"/>
      <c r="Q340" s="13"/>
      <c r="R340" s="13"/>
    </row>
    <row r="341" spans="15:18" ht="15.75" customHeight="1" x14ac:dyDescent="0.25">
      <c r="O341" s="13"/>
      <c r="P341" s="13"/>
      <c r="Q341" s="13"/>
      <c r="R341" s="13"/>
    </row>
    <row r="342" spans="15:18" ht="15.75" customHeight="1" x14ac:dyDescent="0.25">
      <c r="O342" s="13"/>
      <c r="P342" s="13"/>
      <c r="Q342" s="13"/>
      <c r="R342" s="13"/>
    </row>
    <row r="343" spans="15:18" ht="15.75" customHeight="1" x14ac:dyDescent="0.25">
      <c r="O343" s="13"/>
      <c r="P343" s="13"/>
      <c r="Q343" s="13"/>
      <c r="R343" s="13"/>
    </row>
    <row r="344" spans="15:18" ht="15.75" customHeight="1" x14ac:dyDescent="0.25">
      <c r="O344" s="13"/>
      <c r="P344" s="13"/>
      <c r="Q344" s="13"/>
      <c r="R344" s="13"/>
    </row>
    <row r="345" spans="15:18" ht="15.75" customHeight="1" x14ac:dyDescent="0.25">
      <c r="O345" s="13"/>
      <c r="P345" s="13"/>
      <c r="Q345" s="13"/>
      <c r="R345" s="13"/>
    </row>
    <row r="346" spans="15:18" ht="15.75" customHeight="1" x14ac:dyDescent="0.25">
      <c r="O346" s="13"/>
      <c r="P346" s="13"/>
      <c r="Q346" s="13"/>
      <c r="R346" s="13"/>
    </row>
    <row r="347" spans="15:18" ht="15.75" customHeight="1" x14ac:dyDescent="0.25">
      <c r="O347" s="13"/>
      <c r="P347" s="13"/>
      <c r="Q347" s="13"/>
      <c r="R347" s="13"/>
    </row>
    <row r="348" spans="15:18" ht="15.75" customHeight="1" x14ac:dyDescent="0.25">
      <c r="O348" s="13"/>
      <c r="P348" s="13"/>
      <c r="Q348" s="13"/>
      <c r="R348" s="13"/>
    </row>
    <row r="349" spans="15:18" ht="15.75" customHeight="1" x14ac:dyDescent="0.25">
      <c r="O349" s="13"/>
      <c r="P349" s="13"/>
      <c r="Q349" s="13"/>
      <c r="R349" s="13"/>
    </row>
    <row r="350" spans="15:18" ht="15.75" customHeight="1" x14ac:dyDescent="0.25">
      <c r="O350" s="13"/>
      <c r="P350" s="13"/>
      <c r="Q350" s="13"/>
      <c r="R350" s="13"/>
    </row>
    <row r="351" spans="15:18" ht="15.75" customHeight="1" x14ac:dyDescent="0.25">
      <c r="O351" s="13"/>
      <c r="P351" s="13"/>
      <c r="Q351" s="13"/>
      <c r="R351" s="13"/>
    </row>
    <row r="352" spans="15:18" ht="15.75" customHeight="1" x14ac:dyDescent="0.25">
      <c r="O352" s="13"/>
      <c r="P352" s="13"/>
      <c r="Q352" s="13"/>
      <c r="R352" s="13"/>
    </row>
    <row r="353" spans="15:18" ht="15.75" customHeight="1" x14ac:dyDescent="0.25">
      <c r="O353" s="13"/>
      <c r="P353" s="13"/>
      <c r="Q353" s="13"/>
      <c r="R353" s="13"/>
    </row>
    <row r="354" spans="15:18" ht="15.75" customHeight="1" x14ac:dyDescent="0.25">
      <c r="O354" s="13"/>
      <c r="P354" s="13"/>
      <c r="Q354" s="13"/>
      <c r="R354" s="13"/>
    </row>
    <row r="355" spans="15:18" ht="15.75" customHeight="1" x14ac:dyDescent="0.25">
      <c r="O355" s="13"/>
      <c r="P355" s="13"/>
      <c r="Q355" s="13"/>
      <c r="R355" s="13"/>
    </row>
    <row r="356" spans="15:18" ht="15.75" customHeight="1" x14ac:dyDescent="0.25">
      <c r="O356" s="13"/>
      <c r="P356" s="13"/>
      <c r="Q356" s="13"/>
      <c r="R356" s="13"/>
    </row>
    <row r="357" spans="15:18" ht="15.75" customHeight="1" x14ac:dyDescent="0.25">
      <c r="O357" s="13"/>
      <c r="P357" s="13"/>
      <c r="Q357" s="13"/>
      <c r="R357" s="13"/>
    </row>
    <row r="358" spans="15:18" ht="15.75" customHeight="1" x14ac:dyDescent="0.25">
      <c r="O358" s="13"/>
      <c r="P358" s="13"/>
      <c r="Q358" s="13"/>
      <c r="R358" s="13"/>
    </row>
    <row r="359" spans="15:18" ht="15.75" customHeight="1" x14ac:dyDescent="0.25">
      <c r="O359" s="13"/>
      <c r="P359" s="13"/>
      <c r="Q359" s="13"/>
      <c r="R359" s="13"/>
    </row>
    <row r="360" spans="15:18" ht="15.75" customHeight="1" x14ac:dyDescent="0.25">
      <c r="O360" s="13"/>
      <c r="P360" s="13"/>
      <c r="Q360" s="13"/>
      <c r="R360" s="13"/>
    </row>
    <row r="361" spans="15:18" ht="15.75" customHeight="1" x14ac:dyDescent="0.25">
      <c r="O361" s="13"/>
      <c r="P361" s="13"/>
      <c r="Q361" s="13"/>
      <c r="R361" s="13"/>
    </row>
    <row r="362" spans="15:18" ht="15.75" customHeight="1" x14ac:dyDescent="0.25">
      <c r="O362" s="13"/>
      <c r="P362" s="13"/>
      <c r="Q362" s="13"/>
      <c r="R362" s="13"/>
    </row>
    <row r="363" spans="15:18" ht="15.75" customHeight="1" x14ac:dyDescent="0.25">
      <c r="O363" s="13"/>
      <c r="P363" s="13"/>
      <c r="Q363" s="13"/>
      <c r="R363" s="13"/>
    </row>
    <row r="364" spans="15:18" ht="15.75" customHeight="1" x14ac:dyDescent="0.25">
      <c r="O364" s="13"/>
      <c r="P364" s="13"/>
      <c r="Q364" s="13"/>
      <c r="R364" s="13"/>
    </row>
    <row r="365" spans="15:18" ht="15.75" customHeight="1" x14ac:dyDescent="0.25">
      <c r="O365" s="13"/>
      <c r="P365" s="13"/>
      <c r="Q365" s="13"/>
      <c r="R365" s="13"/>
    </row>
    <row r="366" spans="15:18" ht="15.75" customHeight="1" x14ac:dyDescent="0.25">
      <c r="O366" s="13"/>
      <c r="P366" s="13"/>
      <c r="Q366" s="13"/>
      <c r="R366" s="13"/>
    </row>
    <row r="367" spans="15:18" ht="15.75" customHeight="1" x14ac:dyDescent="0.25">
      <c r="O367" s="13"/>
      <c r="P367" s="13"/>
      <c r="Q367" s="13"/>
      <c r="R367" s="13"/>
    </row>
    <row r="368" spans="15:18" ht="15.75" customHeight="1" x14ac:dyDescent="0.25">
      <c r="O368" s="13"/>
      <c r="P368" s="13"/>
      <c r="Q368" s="13"/>
      <c r="R368" s="13"/>
    </row>
    <row r="369" spans="15:18" ht="15.75" customHeight="1" x14ac:dyDescent="0.25">
      <c r="O369" s="13"/>
      <c r="P369" s="13"/>
      <c r="Q369" s="13"/>
      <c r="R369" s="13"/>
    </row>
    <row r="370" spans="15:18" ht="15.75" customHeight="1" x14ac:dyDescent="0.25">
      <c r="O370" s="13"/>
      <c r="P370" s="13"/>
      <c r="Q370" s="13"/>
      <c r="R370" s="13"/>
    </row>
    <row r="371" spans="15:18" ht="15.75" customHeight="1" x14ac:dyDescent="0.25">
      <c r="O371" s="13"/>
      <c r="P371" s="13"/>
      <c r="Q371" s="13"/>
      <c r="R371" s="13"/>
    </row>
    <row r="372" spans="15:18" ht="15.75" customHeight="1" x14ac:dyDescent="0.25">
      <c r="O372" s="13"/>
      <c r="P372" s="13"/>
      <c r="Q372" s="13"/>
      <c r="R372" s="13"/>
    </row>
    <row r="373" spans="15:18" ht="15.75" customHeight="1" x14ac:dyDescent="0.25">
      <c r="O373" s="13"/>
      <c r="P373" s="13"/>
      <c r="Q373" s="13"/>
      <c r="R373" s="13"/>
    </row>
    <row r="374" spans="15:18" ht="15.75" customHeight="1" x14ac:dyDescent="0.25">
      <c r="O374" s="13"/>
      <c r="P374" s="13"/>
      <c r="Q374" s="13"/>
      <c r="R374" s="13"/>
    </row>
    <row r="375" spans="15:18" ht="15.75" customHeight="1" x14ac:dyDescent="0.25">
      <c r="O375" s="13"/>
      <c r="P375" s="13"/>
      <c r="Q375" s="13"/>
      <c r="R375" s="13"/>
    </row>
    <row r="376" spans="15:18" ht="15.75" customHeight="1" x14ac:dyDescent="0.25">
      <c r="O376" s="13"/>
      <c r="P376" s="13"/>
      <c r="Q376" s="13"/>
      <c r="R376" s="13"/>
    </row>
    <row r="377" spans="15:18" ht="15.75" customHeight="1" x14ac:dyDescent="0.25">
      <c r="O377" s="13"/>
      <c r="P377" s="13"/>
      <c r="Q377" s="13"/>
      <c r="R377" s="13"/>
    </row>
    <row r="378" spans="15:18" ht="15.75" customHeight="1" x14ac:dyDescent="0.25">
      <c r="O378" s="13"/>
      <c r="P378" s="13"/>
      <c r="Q378" s="13"/>
      <c r="R378" s="13"/>
    </row>
    <row r="379" spans="15:18" ht="15.75" customHeight="1" x14ac:dyDescent="0.25">
      <c r="O379" s="13"/>
      <c r="P379" s="13"/>
      <c r="Q379" s="13"/>
      <c r="R379" s="13"/>
    </row>
    <row r="380" spans="15:18" ht="15.75" customHeight="1" x14ac:dyDescent="0.25">
      <c r="O380" s="13"/>
      <c r="P380" s="13"/>
      <c r="Q380" s="13"/>
      <c r="R380" s="13"/>
    </row>
    <row r="381" spans="15:18" ht="15.75" customHeight="1" x14ac:dyDescent="0.25">
      <c r="O381" s="13"/>
      <c r="P381" s="13"/>
      <c r="Q381" s="13"/>
      <c r="R381" s="13"/>
    </row>
    <row r="382" spans="15:18" ht="15.75" customHeight="1" x14ac:dyDescent="0.25">
      <c r="O382" s="13"/>
      <c r="P382" s="13"/>
      <c r="Q382" s="13"/>
      <c r="R382" s="13"/>
    </row>
    <row r="383" spans="15:18" ht="15.75" customHeight="1" x14ac:dyDescent="0.25">
      <c r="O383" s="13"/>
      <c r="P383" s="13"/>
      <c r="Q383" s="13"/>
      <c r="R383" s="13"/>
    </row>
    <row r="384" spans="15:18" ht="15.75" customHeight="1" x14ac:dyDescent="0.25">
      <c r="O384" s="13"/>
      <c r="P384" s="13"/>
      <c r="Q384" s="13"/>
      <c r="R384" s="13"/>
    </row>
    <row r="385" spans="15:18" ht="15.75" customHeight="1" x14ac:dyDescent="0.25">
      <c r="O385" s="13"/>
      <c r="P385" s="13"/>
      <c r="Q385" s="13"/>
      <c r="R385" s="13"/>
    </row>
    <row r="386" spans="15:18" ht="15.75" customHeight="1" x14ac:dyDescent="0.25">
      <c r="O386" s="13"/>
      <c r="P386" s="13"/>
      <c r="Q386" s="13"/>
      <c r="R386" s="13"/>
    </row>
    <row r="387" spans="15:18" ht="15.75" customHeight="1" x14ac:dyDescent="0.25">
      <c r="O387" s="13"/>
      <c r="P387" s="13"/>
      <c r="Q387" s="13"/>
      <c r="R387" s="13"/>
    </row>
    <row r="388" spans="15:18" ht="15.75" customHeight="1" x14ac:dyDescent="0.25">
      <c r="O388" s="13"/>
      <c r="P388" s="13"/>
      <c r="Q388" s="13"/>
      <c r="R388" s="13"/>
    </row>
    <row r="389" spans="15:18" ht="15.75" customHeight="1" x14ac:dyDescent="0.25">
      <c r="O389" s="13"/>
      <c r="P389" s="13"/>
      <c r="Q389" s="13"/>
      <c r="R389" s="13"/>
    </row>
    <row r="390" spans="15:18" ht="15.75" customHeight="1" x14ac:dyDescent="0.25">
      <c r="O390" s="13"/>
      <c r="P390" s="13"/>
      <c r="Q390" s="13"/>
      <c r="R390" s="13"/>
    </row>
    <row r="391" spans="15:18" ht="15.75" customHeight="1" x14ac:dyDescent="0.25">
      <c r="O391" s="13"/>
      <c r="P391" s="13"/>
      <c r="Q391" s="13"/>
      <c r="R391" s="13"/>
    </row>
    <row r="392" spans="15:18" ht="15.75" customHeight="1" x14ac:dyDescent="0.25">
      <c r="O392" s="13"/>
      <c r="P392" s="13"/>
      <c r="Q392" s="13"/>
      <c r="R392" s="13"/>
    </row>
    <row r="393" spans="15:18" ht="15.75" customHeight="1" x14ac:dyDescent="0.25">
      <c r="O393" s="13"/>
      <c r="P393" s="13"/>
      <c r="Q393" s="13"/>
      <c r="R393" s="13"/>
    </row>
    <row r="394" spans="15:18" ht="15.75" customHeight="1" x14ac:dyDescent="0.25">
      <c r="O394" s="13"/>
      <c r="P394" s="13"/>
      <c r="Q394" s="13"/>
      <c r="R394" s="13"/>
    </row>
    <row r="395" spans="15:18" ht="15.75" customHeight="1" x14ac:dyDescent="0.25">
      <c r="O395" s="13"/>
      <c r="P395" s="13"/>
      <c r="Q395" s="13"/>
      <c r="R395" s="13"/>
    </row>
    <row r="396" spans="15:18" ht="15.75" customHeight="1" x14ac:dyDescent="0.25">
      <c r="O396" s="13"/>
      <c r="P396" s="13"/>
      <c r="Q396" s="13"/>
      <c r="R396" s="13"/>
    </row>
    <row r="397" spans="15:18" ht="15.75" customHeight="1" x14ac:dyDescent="0.25">
      <c r="O397" s="13"/>
      <c r="P397" s="13"/>
      <c r="Q397" s="13"/>
      <c r="R397" s="13"/>
    </row>
    <row r="398" spans="15:18" ht="15.75" customHeight="1" x14ac:dyDescent="0.25">
      <c r="O398" s="13"/>
      <c r="P398" s="13"/>
      <c r="Q398" s="13"/>
      <c r="R398" s="13"/>
    </row>
    <row r="399" spans="15:18" ht="15.75" customHeight="1" x14ac:dyDescent="0.25">
      <c r="O399" s="13"/>
      <c r="P399" s="13"/>
      <c r="Q399" s="13"/>
      <c r="R399" s="13"/>
    </row>
    <row r="400" spans="15:18" ht="15.75" customHeight="1" x14ac:dyDescent="0.25">
      <c r="O400" s="13"/>
      <c r="P400" s="13"/>
      <c r="Q400" s="13"/>
      <c r="R400" s="13"/>
    </row>
    <row r="401" spans="15:18" ht="15.75" customHeight="1" x14ac:dyDescent="0.25">
      <c r="O401" s="13"/>
      <c r="P401" s="13"/>
      <c r="Q401" s="13"/>
      <c r="R401" s="13"/>
    </row>
    <row r="402" spans="15:18" ht="15.75" customHeight="1" x14ac:dyDescent="0.25">
      <c r="O402" s="13"/>
      <c r="P402" s="13"/>
      <c r="Q402" s="13"/>
      <c r="R402" s="13"/>
    </row>
    <row r="403" spans="15:18" ht="15.75" customHeight="1" x14ac:dyDescent="0.25">
      <c r="O403" s="13"/>
      <c r="P403" s="13"/>
      <c r="Q403" s="13"/>
      <c r="R403" s="13"/>
    </row>
    <row r="404" spans="15:18" ht="15.75" customHeight="1" x14ac:dyDescent="0.25">
      <c r="O404" s="13"/>
      <c r="P404" s="13"/>
      <c r="Q404" s="13"/>
      <c r="R404" s="13"/>
    </row>
    <row r="405" spans="15:18" ht="15.75" customHeight="1" x14ac:dyDescent="0.25">
      <c r="O405" s="13"/>
      <c r="P405" s="13"/>
      <c r="Q405" s="13"/>
      <c r="R405" s="13"/>
    </row>
    <row r="406" spans="15:18" ht="15.75" customHeight="1" x14ac:dyDescent="0.25">
      <c r="O406" s="13"/>
      <c r="P406" s="13"/>
      <c r="Q406" s="13"/>
      <c r="R406" s="13"/>
    </row>
    <row r="407" spans="15:18" ht="15.75" customHeight="1" x14ac:dyDescent="0.25">
      <c r="O407" s="13"/>
      <c r="P407" s="13"/>
      <c r="Q407" s="13"/>
      <c r="R407" s="13"/>
    </row>
    <row r="408" spans="15:18" ht="15.75" customHeight="1" x14ac:dyDescent="0.25">
      <c r="O408" s="13"/>
      <c r="P408" s="13"/>
      <c r="Q408" s="13"/>
      <c r="R408" s="13"/>
    </row>
    <row r="409" spans="15:18" ht="15.75" customHeight="1" x14ac:dyDescent="0.25">
      <c r="O409" s="13"/>
      <c r="P409" s="13"/>
      <c r="Q409" s="13"/>
      <c r="R409" s="13"/>
    </row>
    <row r="410" spans="15:18" ht="15.75" customHeight="1" x14ac:dyDescent="0.25">
      <c r="O410" s="13"/>
      <c r="P410" s="13"/>
      <c r="Q410" s="13"/>
      <c r="R410" s="13"/>
    </row>
    <row r="411" spans="15:18" ht="15.75" customHeight="1" x14ac:dyDescent="0.25">
      <c r="O411" s="13"/>
      <c r="P411" s="13"/>
      <c r="Q411" s="13"/>
      <c r="R411" s="13"/>
    </row>
    <row r="412" spans="15:18" ht="15.75" customHeight="1" x14ac:dyDescent="0.25">
      <c r="O412" s="13"/>
      <c r="P412" s="13"/>
      <c r="Q412" s="13"/>
      <c r="R412" s="13"/>
    </row>
    <row r="413" spans="15:18" ht="15.75" customHeight="1" x14ac:dyDescent="0.25">
      <c r="O413" s="13"/>
      <c r="P413" s="13"/>
      <c r="Q413" s="13"/>
      <c r="R413" s="13"/>
    </row>
    <row r="414" spans="15:18" ht="15.75" customHeight="1" x14ac:dyDescent="0.25">
      <c r="O414" s="13"/>
      <c r="P414" s="13"/>
      <c r="Q414" s="13"/>
      <c r="R414" s="13"/>
    </row>
    <row r="415" spans="15:18" ht="15.75" customHeight="1" x14ac:dyDescent="0.25">
      <c r="O415" s="13"/>
      <c r="P415" s="13"/>
      <c r="Q415" s="13"/>
      <c r="R415" s="13"/>
    </row>
    <row r="416" spans="15:18" ht="15.75" customHeight="1" x14ac:dyDescent="0.25">
      <c r="O416" s="13"/>
      <c r="P416" s="13"/>
      <c r="Q416" s="13"/>
      <c r="R416" s="13"/>
    </row>
    <row r="417" spans="15:18" ht="15.75" customHeight="1" x14ac:dyDescent="0.25">
      <c r="O417" s="13"/>
      <c r="P417" s="13"/>
      <c r="Q417" s="13"/>
      <c r="R417" s="13"/>
    </row>
    <row r="418" spans="15:18" ht="15.75" customHeight="1" x14ac:dyDescent="0.25">
      <c r="O418" s="13"/>
      <c r="P418" s="13"/>
      <c r="Q418" s="13"/>
      <c r="R418" s="13"/>
    </row>
    <row r="419" spans="15:18" ht="15.75" customHeight="1" x14ac:dyDescent="0.25">
      <c r="O419" s="13"/>
      <c r="P419" s="13"/>
      <c r="Q419" s="13"/>
      <c r="R419" s="13"/>
    </row>
    <row r="420" spans="15:18" ht="15.75" customHeight="1" x14ac:dyDescent="0.25">
      <c r="O420" s="13"/>
      <c r="P420" s="13"/>
      <c r="Q420" s="13"/>
      <c r="R420" s="13"/>
    </row>
    <row r="421" spans="15:18" ht="15.75" customHeight="1" x14ac:dyDescent="0.25">
      <c r="O421" s="13"/>
      <c r="P421" s="13"/>
      <c r="Q421" s="13"/>
      <c r="R421" s="13"/>
    </row>
    <row r="422" spans="15:18" ht="15.75" customHeight="1" x14ac:dyDescent="0.25">
      <c r="O422" s="13"/>
      <c r="P422" s="13"/>
      <c r="Q422" s="13"/>
      <c r="R422" s="13"/>
    </row>
    <row r="423" spans="15:18" ht="15.75" customHeight="1" x14ac:dyDescent="0.25">
      <c r="O423" s="13"/>
      <c r="P423" s="13"/>
      <c r="Q423" s="13"/>
      <c r="R423" s="13"/>
    </row>
    <row r="424" spans="15:18" ht="15.75" customHeight="1" x14ac:dyDescent="0.25">
      <c r="O424" s="13"/>
      <c r="P424" s="13"/>
      <c r="Q424" s="13"/>
      <c r="R424" s="13"/>
    </row>
    <row r="425" spans="15:18" ht="15.75" customHeight="1" x14ac:dyDescent="0.25">
      <c r="O425" s="13"/>
      <c r="P425" s="13"/>
      <c r="Q425" s="13"/>
      <c r="R425" s="13"/>
    </row>
    <row r="426" spans="15:18" ht="15.75" customHeight="1" x14ac:dyDescent="0.25">
      <c r="O426" s="13"/>
      <c r="P426" s="13"/>
      <c r="Q426" s="13"/>
      <c r="R426" s="13"/>
    </row>
    <row r="427" spans="15:18" ht="15.75" customHeight="1" x14ac:dyDescent="0.25">
      <c r="O427" s="13"/>
      <c r="P427" s="13"/>
      <c r="Q427" s="13"/>
      <c r="R427" s="13"/>
    </row>
    <row r="428" spans="15:18" ht="15.75" customHeight="1" x14ac:dyDescent="0.25">
      <c r="O428" s="13"/>
      <c r="P428" s="13"/>
      <c r="Q428" s="13"/>
      <c r="R428" s="13"/>
    </row>
    <row r="429" spans="15:18" ht="15.75" customHeight="1" x14ac:dyDescent="0.25">
      <c r="O429" s="13"/>
      <c r="P429" s="13"/>
      <c r="Q429" s="13"/>
      <c r="R429" s="13"/>
    </row>
    <row r="430" spans="15:18" ht="15.75" customHeight="1" x14ac:dyDescent="0.25">
      <c r="O430" s="13"/>
      <c r="P430" s="13"/>
      <c r="Q430" s="13"/>
      <c r="R430" s="13"/>
    </row>
    <row r="431" spans="15:18" ht="15.75" customHeight="1" x14ac:dyDescent="0.25">
      <c r="O431" s="13"/>
      <c r="P431" s="13"/>
      <c r="Q431" s="13"/>
      <c r="R431" s="13"/>
    </row>
    <row r="432" spans="15:18" ht="15.75" customHeight="1" x14ac:dyDescent="0.25">
      <c r="O432" s="13"/>
      <c r="P432" s="13"/>
      <c r="Q432" s="13"/>
      <c r="R432" s="13"/>
    </row>
    <row r="433" spans="15:18" ht="15.75" customHeight="1" x14ac:dyDescent="0.25">
      <c r="O433" s="13"/>
      <c r="P433" s="13"/>
      <c r="Q433" s="13"/>
      <c r="R433" s="13"/>
    </row>
    <row r="434" spans="15:18" ht="15.75" customHeight="1" x14ac:dyDescent="0.25">
      <c r="O434" s="13"/>
      <c r="P434" s="13"/>
      <c r="Q434" s="13"/>
      <c r="R434" s="13"/>
    </row>
    <row r="435" spans="15:18" ht="15.75" customHeight="1" x14ac:dyDescent="0.25">
      <c r="O435" s="13"/>
      <c r="P435" s="13"/>
      <c r="Q435" s="13"/>
      <c r="R435" s="13"/>
    </row>
    <row r="436" spans="15:18" ht="15.75" customHeight="1" x14ac:dyDescent="0.25">
      <c r="O436" s="13"/>
      <c r="P436" s="13"/>
      <c r="Q436" s="13"/>
      <c r="R436" s="13"/>
    </row>
    <row r="437" spans="15:18" ht="15.75" customHeight="1" x14ac:dyDescent="0.25">
      <c r="O437" s="13"/>
      <c r="P437" s="13"/>
      <c r="Q437" s="13"/>
      <c r="R437" s="13"/>
    </row>
    <row r="438" spans="15:18" ht="15.75" customHeight="1" x14ac:dyDescent="0.25">
      <c r="O438" s="13"/>
      <c r="P438" s="13"/>
      <c r="Q438" s="13"/>
      <c r="R438" s="13"/>
    </row>
    <row r="439" spans="15:18" ht="15.75" customHeight="1" x14ac:dyDescent="0.25">
      <c r="O439" s="13"/>
      <c r="P439" s="13"/>
      <c r="Q439" s="13"/>
      <c r="R439" s="13"/>
    </row>
    <row r="440" spans="15:18" ht="15.75" customHeight="1" x14ac:dyDescent="0.25">
      <c r="O440" s="13"/>
      <c r="P440" s="13"/>
      <c r="Q440" s="13"/>
      <c r="R440" s="13"/>
    </row>
    <row r="441" spans="15:18" ht="15.75" customHeight="1" x14ac:dyDescent="0.25">
      <c r="O441" s="13"/>
      <c r="P441" s="13"/>
      <c r="Q441" s="13"/>
      <c r="R441" s="13"/>
    </row>
    <row r="442" spans="15:18" ht="15.75" customHeight="1" x14ac:dyDescent="0.25">
      <c r="O442" s="13"/>
      <c r="P442" s="13"/>
      <c r="Q442" s="13"/>
      <c r="R442" s="13"/>
    </row>
    <row r="443" spans="15:18" ht="15.75" customHeight="1" x14ac:dyDescent="0.25">
      <c r="O443" s="13"/>
      <c r="P443" s="13"/>
      <c r="Q443" s="13"/>
      <c r="R443" s="13"/>
    </row>
    <row r="444" spans="15:18" ht="15.75" customHeight="1" x14ac:dyDescent="0.25">
      <c r="O444" s="13"/>
      <c r="P444" s="13"/>
      <c r="Q444" s="13"/>
      <c r="R444" s="13"/>
    </row>
    <row r="445" spans="15:18" ht="15.75" customHeight="1" x14ac:dyDescent="0.25">
      <c r="O445" s="13"/>
      <c r="P445" s="13"/>
      <c r="Q445" s="13"/>
      <c r="R445" s="13"/>
    </row>
    <row r="446" spans="15:18" ht="15.75" customHeight="1" x14ac:dyDescent="0.25">
      <c r="O446" s="13"/>
      <c r="P446" s="13"/>
      <c r="Q446" s="13"/>
      <c r="R446" s="13"/>
    </row>
    <row r="447" spans="15:18" ht="15.75" customHeight="1" x14ac:dyDescent="0.25">
      <c r="O447" s="13"/>
      <c r="P447" s="13"/>
      <c r="Q447" s="13"/>
      <c r="R447" s="13"/>
    </row>
    <row r="448" spans="15:18" ht="15.75" customHeight="1" x14ac:dyDescent="0.25">
      <c r="O448" s="13"/>
      <c r="P448" s="13"/>
      <c r="Q448" s="13"/>
      <c r="R448" s="13"/>
    </row>
    <row r="449" spans="15:18" ht="15.75" customHeight="1" x14ac:dyDescent="0.25">
      <c r="O449" s="13"/>
      <c r="P449" s="13"/>
      <c r="Q449" s="13"/>
      <c r="R449" s="13"/>
    </row>
    <row r="450" spans="15:18" ht="15.75" customHeight="1" x14ac:dyDescent="0.25">
      <c r="O450" s="13"/>
      <c r="P450" s="13"/>
      <c r="Q450" s="13"/>
      <c r="R450" s="13"/>
    </row>
    <row r="451" spans="15:18" ht="15.75" customHeight="1" x14ac:dyDescent="0.25">
      <c r="O451" s="13"/>
      <c r="P451" s="13"/>
      <c r="Q451" s="13"/>
      <c r="R451" s="13"/>
    </row>
    <row r="452" spans="15:18" ht="15.75" customHeight="1" x14ac:dyDescent="0.25">
      <c r="O452" s="13"/>
      <c r="P452" s="13"/>
      <c r="Q452" s="13"/>
      <c r="R452" s="13"/>
    </row>
    <row r="453" spans="15:18" ht="15.75" customHeight="1" x14ac:dyDescent="0.25">
      <c r="O453" s="13"/>
      <c r="P453" s="13"/>
      <c r="Q453" s="13"/>
      <c r="R453" s="13"/>
    </row>
    <row r="454" spans="15:18" ht="15.75" customHeight="1" x14ac:dyDescent="0.25">
      <c r="O454" s="13"/>
      <c r="P454" s="13"/>
      <c r="Q454" s="13"/>
      <c r="R454" s="13"/>
    </row>
    <row r="455" spans="15:18" ht="15.75" customHeight="1" x14ac:dyDescent="0.25">
      <c r="O455" s="13"/>
      <c r="P455" s="13"/>
      <c r="Q455" s="13"/>
      <c r="R455" s="13"/>
    </row>
    <row r="456" spans="15:18" ht="15.75" customHeight="1" x14ac:dyDescent="0.25">
      <c r="O456" s="13"/>
      <c r="P456" s="13"/>
      <c r="Q456" s="13"/>
      <c r="R456" s="13"/>
    </row>
    <row r="457" spans="15:18" ht="15.75" customHeight="1" x14ac:dyDescent="0.25">
      <c r="O457" s="13"/>
      <c r="P457" s="13"/>
      <c r="Q457" s="13"/>
      <c r="R457" s="13"/>
    </row>
    <row r="458" spans="15:18" ht="15.75" customHeight="1" x14ac:dyDescent="0.25">
      <c r="O458" s="13"/>
      <c r="P458" s="13"/>
      <c r="Q458" s="13"/>
      <c r="R458" s="13"/>
    </row>
    <row r="459" spans="15:18" ht="15.75" customHeight="1" x14ac:dyDescent="0.25">
      <c r="O459" s="13"/>
      <c r="P459" s="13"/>
      <c r="Q459" s="13"/>
      <c r="R459" s="13"/>
    </row>
    <row r="460" spans="15:18" ht="15.75" customHeight="1" x14ac:dyDescent="0.25">
      <c r="O460" s="13"/>
      <c r="P460" s="13"/>
      <c r="Q460" s="13"/>
      <c r="R460" s="13"/>
    </row>
    <row r="461" spans="15:18" ht="15.75" customHeight="1" x14ac:dyDescent="0.25">
      <c r="O461" s="13"/>
      <c r="P461" s="13"/>
      <c r="Q461" s="13"/>
      <c r="R461" s="13"/>
    </row>
    <row r="462" spans="15:18" ht="15.75" customHeight="1" x14ac:dyDescent="0.25">
      <c r="O462" s="13"/>
      <c r="P462" s="13"/>
      <c r="Q462" s="13"/>
      <c r="R462" s="13"/>
    </row>
    <row r="463" spans="15:18" ht="15.75" customHeight="1" x14ac:dyDescent="0.25">
      <c r="O463" s="13"/>
      <c r="P463" s="13"/>
      <c r="Q463" s="13"/>
      <c r="R463" s="13"/>
    </row>
    <row r="464" spans="15:18" ht="15.75" customHeight="1" x14ac:dyDescent="0.25">
      <c r="O464" s="13"/>
      <c r="P464" s="13"/>
      <c r="Q464" s="13"/>
      <c r="R464" s="13"/>
    </row>
    <row r="465" spans="15:18" ht="15.75" customHeight="1" x14ac:dyDescent="0.25">
      <c r="O465" s="13"/>
      <c r="P465" s="13"/>
      <c r="Q465" s="13"/>
      <c r="R465" s="13"/>
    </row>
    <row r="466" spans="15:18" ht="15.75" customHeight="1" x14ac:dyDescent="0.25">
      <c r="O466" s="13"/>
      <c r="P466" s="13"/>
      <c r="Q466" s="13"/>
      <c r="R466" s="13"/>
    </row>
    <row r="467" spans="15:18" ht="15.75" customHeight="1" x14ac:dyDescent="0.25">
      <c r="O467" s="13"/>
      <c r="P467" s="13"/>
      <c r="Q467" s="13"/>
      <c r="R467" s="13"/>
    </row>
    <row r="468" spans="15:18" ht="15.75" customHeight="1" x14ac:dyDescent="0.25">
      <c r="O468" s="13"/>
      <c r="P468" s="13"/>
      <c r="Q468" s="13"/>
      <c r="R468" s="13"/>
    </row>
    <row r="469" spans="15:18" ht="15.75" customHeight="1" x14ac:dyDescent="0.25">
      <c r="O469" s="13"/>
      <c r="P469" s="13"/>
      <c r="Q469" s="13"/>
      <c r="R469" s="13"/>
    </row>
    <row r="470" spans="15:18" ht="15.75" customHeight="1" x14ac:dyDescent="0.25">
      <c r="O470" s="13"/>
      <c r="P470" s="13"/>
      <c r="Q470" s="13"/>
      <c r="R470" s="13"/>
    </row>
    <row r="471" spans="15:18" ht="15.75" customHeight="1" x14ac:dyDescent="0.25">
      <c r="O471" s="13"/>
      <c r="P471" s="13"/>
      <c r="Q471" s="13"/>
      <c r="R471" s="13"/>
    </row>
    <row r="472" spans="15:18" ht="15.75" customHeight="1" x14ac:dyDescent="0.25">
      <c r="O472" s="13"/>
      <c r="P472" s="13"/>
      <c r="Q472" s="13"/>
      <c r="R472" s="13"/>
    </row>
    <row r="473" spans="15:18" ht="15.75" customHeight="1" x14ac:dyDescent="0.25">
      <c r="O473" s="13"/>
      <c r="P473" s="13"/>
      <c r="Q473" s="13"/>
      <c r="R473" s="13"/>
    </row>
    <row r="474" spans="15:18" ht="15.75" customHeight="1" x14ac:dyDescent="0.25">
      <c r="O474" s="13"/>
      <c r="P474" s="13"/>
      <c r="Q474" s="13"/>
      <c r="R474" s="13"/>
    </row>
    <row r="475" spans="15:18" ht="15.75" customHeight="1" x14ac:dyDescent="0.25">
      <c r="O475" s="13"/>
      <c r="P475" s="13"/>
      <c r="Q475" s="13"/>
      <c r="R475" s="13"/>
    </row>
    <row r="476" spans="15:18" ht="15.75" customHeight="1" x14ac:dyDescent="0.25">
      <c r="O476" s="13"/>
      <c r="P476" s="13"/>
      <c r="Q476" s="13"/>
      <c r="R476" s="13"/>
    </row>
    <row r="477" spans="15:18" ht="15.75" customHeight="1" x14ac:dyDescent="0.25">
      <c r="O477" s="13"/>
      <c r="P477" s="13"/>
      <c r="Q477" s="13"/>
      <c r="R477" s="13"/>
    </row>
    <row r="478" spans="15:18" ht="15.75" customHeight="1" x14ac:dyDescent="0.25">
      <c r="O478" s="13"/>
      <c r="P478" s="13"/>
      <c r="Q478" s="13"/>
      <c r="R478" s="13"/>
    </row>
    <row r="479" spans="15:18" ht="15.75" customHeight="1" x14ac:dyDescent="0.25">
      <c r="O479" s="13"/>
      <c r="P479" s="13"/>
      <c r="Q479" s="13"/>
      <c r="R479" s="13"/>
    </row>
    <row r="480" spans="15:18" ht="15.75" customHeight="1" x14ac:dyDescent="0.25">
      <c r="O480" s="13"/>
      <c r="P480" s="13"/>
      <c r="Q480" s="13"/>
      <c r="R480" s="13"/>
    </row>
    <row r="481" spans="15:18" ht="15.75" customHeight="1" x14ac:dyDescent="0.25">
      <c r="O481" s="13"/>
      <c r="P481" s="13"/>
      <c r="Q481" s="13"/>
      <c r="R481" s="13"/>
    </row>
    <row r="482" spans="15:18" ht="15.75" customHeight="1" x14ac:dyDescent="0.25">
      <c r="O482" s="13"/>
      <c r="P482" s="13"/>
      <c r="Q482" s="13"/>
      <c r="R482" s="13"/>
    </row>
    <row r="483" spans="15:18" ht="15.75" customHeight="1" x14ac:dyDescent="0.25">
      <c r="O483" s="13"/>
      <c r="P483" s="13"/>
      <c r="Q483" s="13"/>
      <c r="R483" s="13"/>
    </row>
    <row r="484" spans="15:18" ht="15.75" customHeight="1" x14ac:dyDescent="0.25">
      <c r="O484" s="13"/>
      <c r="P484" s="13"/>
      <c r="Q484" s="13"/>
      <c r="R484" s="13"/>
    </row>
    <row r="485" spans="15:18" ht="15.75" customHeight="1" x14ac:dyDescent="0.25">
      <c r="O485" s="13"/>
      <c r="P485" s="13"/>
      <c r="Q485" s="13"/>
      <c r="R485" s="13"/>
    </row>
    <row r="486" spans="15:18" ht="15.75" customHeight="1" x14ac:dyDescent="0.25">
      <c r="O486" s="13"/>
      <c r="P486" s="13"/>
      <c r="Q486" s="13"/>
      <c r="R486" s="13"/>
    </row>
    <row r="487" spans="15:18" ht="15.75" customHeight="1" x14ac:dyDescent="0.25">
      <c r="O487" s="13"/>
      <c r="P487" s="13"/>
      <c r="Q487" s="13"/>
      <c r="R487" s="13"/>
    </row>
    <row r="488" spans="15:18" ht="15.75" customHeight="1" x14ac:dyDescent="0.25">
      <c r="O488" s="13"/>
      <c r="P488" s="13"/>
      <c r="Q488" s="13"/>
      <c r="R488" s="13"/>
    </row>
    <row r="489" spans="15:18" ht="15.75" customHeight="1" x14ac:dyDescent="0.25">
      <c r="O489" s="13"/>
      <c r="P489" s="13"/>
      <c r="Q489" s="13"/>
      <c r="R489" s="13"/>
    </row>
    <row r="490" spans="15:18" ht="15.75" customHeight="1" x14ac:dyDescent="0.25">
      <c r="O490" s="13"/>
      <c r="P490" s="13"/>
      <c r="Q490" s="13"/>
      <c r="R490" s="13"/>
    </row>
    <row r="491" spans="15:18" ht="15.75" customHeight="1" x14ac:dyDescent="0.25">
      <c r="O491" s="13"/>
      <c r="P491" s="13"/>
      <c r="Q491" s="13"/>
      <c r="R491" s="13"/>
    </row>
    <row r="492" spans="15:18" ht="15.75" customHeight="1" x14ac:dyDescent="0.25">
      <c r="O492" s="13"/>
      <c r="P492" s="13"/>
      <c r="Q492" s="13"/>
      <c r="R492" s="13"/>
    </row>
    <row r="493" spans="15:18" ht="15.75" customHeight="1" x14ac:dyDescent="0.25">
      <c r="O493" s="13"/>
      <c r="P493" s="13"/>
      <c r="Q493" s="13"/>
      <c r="R493" s="13"/>
    </row>
    <row r="494" spans="15:18" ht="15.75" customHeight="1" x14ac:dyDescent="0.25">
      <c r="O494" s="13"/>
      <c r="P494" s="13"/>
      <c r="Q494" s="13"/>
      <c r="R494" s="13"/>
    </row>
    <row r="495" spans="15:18" ht="15.75" customHeight="1" x14ac:dyDescent="0.25">
      <c r="O495" s="13"/>
      <c r="P495" s="13"/>
      <c r="Q495" s="13"/>
      <c r="R495" s="13"/>
    </row>
    <row r="496" spans="15:18" ht="15.75" customHeight="1" x14ac:dyDescent="0.25">
      <c r="O496" s="13"/>
      <c r="P496" s="13"/>
      <c r="Q496" s="13"/>
      <c r="R496" s="13"/>
    </row>
    <row r="497" spans="15:18" ht="15.75" customHeight="1" x14ac:dyDescent="0.25">
      <c r="O497" s="13"/>
      <c r="P497" s="13"/>
      <c r="Q497" s="13"/>
      <c r="R497" s="13"/>
    </row>
    <row r="498" spans="15:18" ht="15.75" customHeight="1" x14ac:dyDescent="0.25">
      <c r="O498" s="13"/>
      <c r="P498" s="13"/>
      <c r="Q498" s="13"/>
      <c r="R498" s="13"/>
    </row>
    <row r="499" spans="15:18" ht="15.75" customHeight="1" x14ac:dyDescent="0.25">
      <c r="O499" s="13"/>
      <c r="P499" s="13"/>
      <c r="Q499" s="13"/>
      <c r="R499" s="13"/>
    </row>
    <row r="500" spans="15:18" ht="15.75" customHeight="1" x14ac:dyDescent="0.25">
      <c r="O500" s="13"/>
      <c r="P500" s="13"/>
      <c r="Q500" s="13"/>
      <c r="R500" s="13"/>
    </row>
    <row r="501" spans="15:18" ht="15.75" customHeight="1" x14ac:dyDescent="0.25">
      <c r="O501" s="13"/>
      <c r="P501" s="13"/>
      <c r="Q501" s="13"/>
      <c r="R501" s="13"/>
    </row>
    <row r="502" spans="15:18" ht="15.75" customHeight="1" x14ac:dyDescent="0.25">
      <c r="O502" s="13"/>
      <c r="P502" s="13"/>
      <c r="Q502" s="13"/>
      <c r="R502" s="13"/>
    </row>
    <row r="503" spans="15:18" ht="15.75" customHeight="1" x14ac:dyDescent="0.25">
      <c r="O503" s="13"/>
      <c r="P503" s="13"/>
      <c r="Q503" s="13"/>
      <c r="R503" s="13"/>
    </row>
    <row r="504" spans="15:18" ht="15.75" customHeight="1" x14ac:dyDescent="0.25">
      <c r="O504" s="13"/>
      <c r="P504" s="13"/>
      <c r="Q504" s="13"/>
      <c r="R504" s="13"/>
    </row>
    <row r="505" spans="15:18" ht="15.75" customHeight="1" x14ac:dyDescent="0.25">
      <c r="O505" s="13"/>
      <c r="P505" s="13"/>
      <c r="Q505" s="13"/>
      <c r="R505" s="13"/>
    </row>
    <row r="506" spans="15:18" ht="15.75" customHeight="1" x14ac:dyDescent="0.25">
      <c r="O506" s="13"/>
      <c r="P506" s="13"/>
      <c r="Q506" s="13"/>
      <c r="R506" s="13"/>
    </row>
    <row r="507" spans="15:18" ht="15.75" customHeight="1" x14ac:dyDescent="0.25">
      <c r="O507" s="13"/>
      <c r="P507" s="13"/>
      <c r="Q507" s="13"/>
      <c r="R507" s="13"/>
    </row>
    <row r="508" spans="15:18" ht="15.75" customHeight="1" x14ac:dyDescent="0.25">
      <c r="O508" s="13"/>
      <c r="P508" s="13"/>
      <c r="Q508" s="13"/>
      <c r="R508" s="13"/>
    </row>
    <row r="509" spans="15:18" ht="15.75" customHeight="1" x14ac:dyDescent="0.25">
      <c r="O509" s="13"/>
      <c r="P509" s="13"/>
      <c r="Q509" s="13"/>
      <c r="R509" s="13"/>
    </row>
    <row r="510" spans="15:18" ht="15.75" customHeight="1" x14ac:dyDescent="0.25">
      <c r="O510" s="13"/>
      <c r="P510" s="13"/>
      <c r="Q510" s="13"/>
      <c r="R510" s="13"/>
    </row>
    <row r="511" spans="15:18" ht="15.75" customHeight="1" x14ac:dyDescent="0.25">
      <c r="O511" s="13"/>
      <c r="P511" s="13"/>
      <c r="Q511" s="13"/>
      <c r="R511" s="13"/>
    </row>
    <row r="512" spans="15:18" ht="15.75" customHeight="1" x14ac:dyDescent="0.25">
      <c r="O512" s="13"/>
      <c r="P512" s="13"/>
      <c r="Q512" s="13"/>
      <c r="R512" s="13"/>
    </row>
    <row r="513" spans="15:18" ht="15.75" customHeight="1" x14ac:dyDescent="0.25">
      <c r="O513" s="13"/>
      <c r="P513" s="13"/>
      <c r="Q513" s="13"/>
      <c r="R513" s="13"/>
    </row>
    <row r="514" spans="15:18" ht="15.75" customHeight="1" x14ac:dyDescent="0.25">
      <c r="O514" s="13"/>
      <c r="P514" s="13"/>
      <c r="Q514" s="13"/>
      <c r="R514" s="13"/>
    </row>
    <row r="515" spans="15:18" ht="15.75" customHeight="1" x14ac:dyDescent="0.25">
      <c r="O515" s="13"/>
      <c r="P515" s="13"/>
      <c r="Q515" s="13"/>
      <c r="R515" s="13"/>
    </row>
    <row r="516" spans="15:18" ht="15.75" customHeight="1" x14ac:dyDescent="0.25">
      <c r="O516" s="13"/>
      <c r="P516" s="13"/>
      <c r="Q516" s="13"/>
      <c r="R516" s="13"/>
    </row>
    <row r="517" spans="15:18" ht="15.75" customHeight="1" x14ac:dyDescent="0.25">
      <c r="O517" s="13"/>
      <c r="P517" s="13"/>
      <c r="Q517" s="13"/>
      <c r="R517" s="13"/>
    </row>
    <row r="518" spans="15:18" ht="15.75" customHeight="1" x14ac:dyDescent="0.25">
      <c r="O518" s="13"/>
      <c r="P518" s="13"/>
      <c r="Q518" s="13"/>
      <c r="R518" s="13"/>
    </row>
    <row r="519" spans="15:18" ht="15.75" customHeight="1" x14ac:dyDescent="0.25">
      <c r="O519" s="13"/>
      <c r="P519" s="13"/>
      <c r="Q519" s="13"/>
      <c r="R519" s="13"/>
    </row>
    <row r="520" spans="15:18" ht="15.75" customHeight="1" x14ac:dyDescent="0.25">
      <c r="O520" s="13"/>
      <c r="P520" s="13"/>
      <c r="Q520" s="13"/>
      <c r="R520" s="13"/>
    </row>
    <row r="521" spans="15:18" ht="15.75" customHeight="1" x14ac:dyDescent="0.25">
      <c r="O521" s="13"/>
      <c r="P521" s="13"/>
      <c r="Q521" s="13"/>
      <c r="R521" s="13"/>
    </row>
    <row r="522" spans="15:18" ht="15.75" customHeight="1" x14ac:dyDescent="0.25">
      <c r="O522" s="13"/>
      <c r="P522" s="13"/>
      <c r="Q522" s="13"/>
      <c r="R522" s="13"/>
    </row>
    <row r="523" spans="15:18" ht="15.75" customHeight="1" x14ac:dyDescent="0.25">
      <c r="O523" s="13"/>
      <c r="P523" s="13"/>
      <c r="Q523" s="13"/>
      <c r="R523" s="13"/>
    </row>
    <row r="524" spans="15:18" ht="15.75" customHeight="1" x14ac:dyDescent="0.25">
      <c r="O524" s="13"/>
      <c r="P524" s="13"/>
      <c r="Q524" s="13"/>
      <c r="R524" s="13"/>
    </row>
    <row r="525" spans="15:18" ht="15.75" customHeight="1" x14ac:dyDescent="0.25">
      <c r="O525" s="13"/>
      <c r="P525" s="13"/>
      <c r="Q525" s="13"/>
      <c r="R525" s="13"/>
    </row>
    <row r="526" spans="15:18" ht="15.75" customHeight="1" x14ac:dyDescent="0.25">
      <c r="O526" s="13"/>
      <c r="P526" s="13"/>
      <c r="Q526" s="13"/>
      <c r="R526" s="13"/>
    </row>
    <row r="527" spans="15:18" ht="15.75" customHeight="1" x14ac:dyDescent="0.25">
      <c r="O527" s="13"/>
      <c r="P527" s="13"/>
      <c r="Q527" s="13"/>
      <c r="R527" s="13"/>
    </row>
    <row r="528" spans="15:18" ht="15.75" customHeight="1" x14ac:dyDescent="0.25">
      <c r="O528" s="13"/>
      <c r="P528" s="13"/>
      <c r="Q528" s="13"/>
      <c r="R528" s="13"/>
    </row>
    <row r="529" spans="15:18" ht="15.75" customHeight="1" x14ac:dyDescent="0.25">
      <c r="O529" s="13"/>
      <c r="P529" s="13"/>
      <c r="Q529" s="13"/>
      <c r="R529" s="13"/>
    </row>
    <row r="530" spans="15:18" ht="15.75" customHeight="1" x14ac:dyDescent="0.25">
      <c r="O530" s="13"/>
      <c r="P530" s="13"/>
      <c r="Q530" s="13"/>
      <c r="R530" s="13"/>
    </row>
    <row r="531" spans="15:18" ht="15.75" customHeight="1" x14ac:dyDescent="0.25">
      <c r="O531" s="13"/>
      <c r="P531" s="13"/>
      <c r="Q531" s="13"/>
      <c r="R531" s="13"/>
    </row>
    <row r="532" spans="15:18" ht="15.75" customHeight="1" x14ac:dyDescent="0.25">
      <c r="O532" s="13"/>
      <c r="P532" s="13"/>
      <c r="Q532" s="13"/>
      <c r="R532" s="13"/>
    </row>
    <row r="533" spans="15:18" ht="15.75" customHeight="1" x14ac:dyDescent="0.25">
      <c r="O533" s="13"/>
      <c r="P533" s="13"/>
      <c r="Q533" s="13"/>
      <c r="R533" s="13"/>
    </row>
    <row r="534" spans="15:18" ht="15.75" customHeight="1" x14ac:dyDescent="0.25">
      <c r="O534" s="13"/>
      <c r="P534" s="13"/>
      <c r="Q534" s="13"/>
      <c r="R534" s="13"/>
    </row>
    <row r="535" spans="15:18" ht="15.75" customHeight="1" x14ac:dyDescent="0.25">
      <c r="O535" s="13"/>
      <c r="P535" s="13"/>
      <c r="Q535" s="13"/>
      <c r="R535" s="13"/>
    </row>
    <row r="536" spans="15:18" ht="15.75" customHeight="1" x14ac:dyDescent="0.25">
      <c r="O536" s="13"/>
      <c r="P536" s="13"/>
      <c r="Q536" s="13"/>
      <c r="R536" s="13"/>
    </row>
    <row r="537" spans="15:18" ht="15.75" customHeight="1" x14ac:dyDescent="0.25">
      <c r="O537" s="13"/>
      <c r="P537" s="13"/>
      <c r="Q537" s="13"/>
      <c r="R537" s="13"/>
    </row>
    <row r="538" spans="15:18" ht="15.75" customHeight="1" x14ac:dyDescent="0.25">
      <c r="O538" s="13"/>
      <c r="P538" s="13"/>
      <c r="Q538" s="13"/>
      <c r="R538" s="13"/>
    </row>
    <row r="539" spans="15:18" ht="15.75" customHeight="1" x14ac:dyDescent="0.25">
      <c r="O539" s="13"/>
      <c r="P539" s="13"/>
      <c r="Q539" s="13"/>
      <c r="R539" s="13"/>
    </row>
    <row r="540" spans="15:18" ht="15.75" customHeight="1" x14ac:dyDescent="0.25">
      <c r="O540" s="13"/>
      <c r="P540" s="13"/>
      <c r="Q540" s="13"/>
      <c r="R540" s="13"/>
    </row>
    <row r="541" spans="15:18" ht="15.75" customHeight="1" x14ac:dyDescent="0.25">
      <c r="O541" s="13"/>
      <c r="P541" s="13"/>
      <c r="Q541" s="13"/>
      <c r="R541" s="13"/>
    </row>
    <row r="542" spans="15:18" ht="15.75" customHeight="1" x14ac:dyDescent="0.25">
      <c r="O542" s="13"/>
      <c r="P542" s="13"/>
      <c r="Q542" s="13"/>
      <c r="R542" s="13"/>
    </row>
    <row r="543" spans="15:18" ht="15.75" customHeight="1" x14ac:dyDescent="0.25">
      <c r="O543" s="13"/>
      <c r="P543" s="13"/>
      <c r="Q543" s="13"/>
      <c r="R543" s="13"/>
    </row>
    <row r="544" spans="15:18" ht="15.75" customHeight="1" x14ac:dyDescent="0.25">
      <c r="O544" s="13"/>
      <c r="P544" s="13"/>
      <c r="Q544" s="13"/>
      <c r="R544" s="13"/>
    </row>
    <row r="545" spans="15:18" ht="15.75" customHeight="1" x14ac:dyDescent="0.25">
      <c r="O545" s="13"/>
      <c r="P545" s="13"/>
      <c r="Q545" s="13"/>
      <c r="R545" s="13"/>
    </row>
    <row r="546" spans="15:18" ht="15.75" customHeight="1" x14ac:dyDescent="0.25">
      <c r="O546" s="13"/>
      <c r="P546" s="13"/>
      <c r="Q546" s="13"/>
      <c r="R546" s="13"/>
    </row>
    <row r="547" spans="15:18" ht="15.75" customHeight="1" x14ac:dyDescent="0.25">
      <c r="O547" s="13"/>
      <c r="P547" s="13"/>
      <c r="Q547" s="13"/>
      <c r="R547" s="13"/>
    </row>
    <row r="548" spans="15:18" ht="15.75" customHeight="1" x14ac:dyDescent="0.25">
      <c r="O548" s="13"/>
      <c r="P548" s="13"/>
      <c r="Q548" s="13"/>
      <c r="R548" s="13"/>
    </row>
    <row r="549" spans="15:18" ht="15.75" customHeight="1" x14ac:dyDescent="0.25">
      <c r="O549" s="13"/>
      <c r="P549" s="13"/>
      <c r="Q549" s="13"/>
      <c r="R549" s="13"/>
    </row>
    <row r="550" spans="15:18" ht="15.75" customHeight="1" x14ac:dyDescent="0.25">
      <c r="O550" s="13"/>
      <c r="P550" s="13"/>
      <c r="Q550" s="13"/>
      <c r="R550" s="13"/>
    </row>
    <row r="551" spans="15:18" ht="15.75" customHeight="1" x14ac:dyDescent="0.25">
      <c r="O551" s="13"/>
      <c r="P551" s="13"/>
      <c r="Q551" s="13"/>
      <c r="R551" s="13"/>
    </row>
    <row r="552" spans="15:18" ht="15.75" customHeight="1" x14ac:dyDescent="0.25">
      <c r="O552" s="13"/>
      <c r="P552" s="13"/>
      <c r="Q552" s="13"/>
      <c r="R552" s="13"/>
    </row>
    <row r="553" spans="15:18" ht="15.75" customHeight="1" x14ac:dyDescent="0.25">
      <c r="O553" s="13"/>
      <c r="P553" s="13"/>
      <c r="Q553" s="13"/>
      <c r="R553" s="13"/>
    </row>
    <row r="554" spans="15:18" ht="15.75" customHeight="1" x14ac:dyDescent="0.25">
      <c r="O554" s="13"/>
      <c r="P554" s="13"/>
      <c r="Q554" s="13"/>
      <c r="R554" s="13"/>
    </row>
    <row r="555" spans="15:18" ht="15.75" customHeight="1" x14ac:dyDescent="0.25">
      <c r="O555" s="13"/>
      <c r="P555" s="13"/>
      <c r="Q555" s="13"/>
      <c r="R555" s="13"/>
    </row>
    <row r="556" spans="15:18" ht="15.75" customHeight="1" x14ac:dyDescent="0.25">
      <c r="O556" s="13"/>
      <c r="P556" s="13"/>
      <c r="Q556" s="13"/>
      <c r="R556" s="13"/>
    </row>
    <row r="557" spans="15:18" ht="15.75" customHeight="1" x14ac:dyDescent="0.25">
      <c r="O557" s="13"/>
      <c r="P557" s="13"/>
      <c r="Q557" s="13"/>
      <c r="R557" s="13"/>
    </row>
    <row r="558" spans="15:18" ht="15.75" customHeight="1" x14ac:dyDescent="0.25">
      <c r="O558" s="13"/>
      <c r="P558" s="13"/>
      <c r="Q558" s="13"/>
      <c r="R558" s="13"/>
    </row>
    <row r="559" spans="15:18" ht="15.75" customHeight="1" x14ac:dyDescent="0.25">
      <c r="O559" s="13"/>
      <c r="P559" s="13"/>
      <c r="Q559" s="13"/>
      <c r="R559" s="13"/>
    </row>
    <row r="560" spans="15:18" ht="15.75" customHeight="1" x14ac:dyDescent="0.25">
      <c r="O560" s="13"/>
      <c r="P560" s="13"/>
      <c r="Q560" s="13"/>
      <c r="R560" s="13"/>
    </row>
    <row r="561" spans="15:18" ht="15.75" customHeight="1" x14ac:dyDescent="0.25">
      <c r="O561" s="13"/>
      <c r="P561" s="13"/>
      <c r="Q561" s="13"/>
      <c r="R561" s="13"/>
    </row>
    <row r="562" spans="15:18" ht="15.75" customHeight="1" x14ac:dyDescent="0.25">
      <c r="O562" s="13"/>
      <c r="P562" s="13"/>
      <c r="Q562" s="13"/>
      <c r="R562" s="13"/>
    </row>
    <row r="563" spans="15:18" ht="15.75" customHeight="1" x14ac:dyDescent="0.25">
      <c r="O563" s="13"/>
      <c r="P563" s="13"/>
      <c r="Q563" s="13"/>
      <c r="R563" s="13"/>
    </row>
    <row r="564" spans="15:18" ht="15.75" customHeight="1" x14ac:dyDescent="0.25">
      <c r="O564" s="13"/>
      <c r="P564" s="13"/>
      <c r="Q564" s="13"/>
      <c r="R564" s="13"/>
    </row>
    <row r="565" spans="15:18" ht="15.75" customHeight="1" x14ac:dyDescent="0.25">
      <c r="O565" s="13"/>
      <c r="P565" s="13"/>
      <c r="Q565" s="13"/>
      <c r="R565" s="13"/>
    </row>
    <row r="566" spans="15:18" ht="15.75" customHeight="1" x14ac:dyDescent="0.25">
      <c r="O566" s="13"/>
      <c r="P566" s="13"/>
      <c r="Q566" s="13"/>
      <c r="R566" s="13"/>
    </row>
    <row r="567" spans="15:18" ht="15.75" customHeight="1" x14ac:dyDescent="0.25">
      <c r="O567" s="13"/>
      <c r="P567" s="13"/>
      <c r="Q567" s="13"/>
      <c r="R567" s="13"/>
    </row>
    <row r="568" spans="15:18" ht="15.75" customHeight="1" x14ac:dyDescent="0.25">
      <c r="O568" s="13"/>
      <c r="P568" s="13"/>
      <c r="Q568" s="13"/>
      <c r="R568" s="13"/>
    </row>
    <row r="569" spans="15:18" ht="15.75" customHeight="1" x14ac:dyDescent="0.25">
      <c r="O569" s="13"/>
      <c r="P569" s="13"/>
      <c r="Q569" s="13"/>
      <c r="R569" s="13"/>
    </row>
    <row r="570" spans="15:18" ht="15.75" customHeight="1" x14ac:dyDescent="0.25">
      <c r="O570" s="13"/>
      <c r="P570" s="13"/>
      <c r="Q570" s="13"/>
      <c r="R570" s="13"/>
    </row>
    <row r="571" spans="15:18" ht="15.75" customHeight="1" x14ac:dyDescent="0.25">
      <c r="O571" s="13"/>
      <c r="P571" s="13"/>
      <c r="Q571" s="13"/>
      <c r="R571" s="13"/>
    </row>
    <row r="572" spans="15:18" ht="15.75" customHeight="1" x14ac:dyDescent="0.25">
      <c r="O572" s="13"/>
      <c r="P572" s="13"/>
      <c r="Q572" s="13"/>
      <c r="R572" s="13"/>
    </row>
    <row r="573" spans="15:18" ht="15.75" customHeight="1" x14ac:dyDescent="0.25">
      <c r="O573" s="13"/>
      <c r="P573" s="13"/>
      <c r="Q573" s="13"/>
      <c r="R573" s="13"/>
    </row>
    <row r="574" spans="15:18" ht="15.75" customHeight="1" x14ac:dyDescent="0.25">
      <c r="O574" s="13"/>
      <c r="P574" s="13"/>
      <c r="Q574" s="13"/>
      <c r="R574" s="13"/>
    </row>
    <row r="575" spans="15:18" ht="15.75" customHeight="1" x14ac:dyDescent="0.25">
      <c r="O575" s="13"/>
      <c r="P575" s="13"/>
      <c r="Q575" s="13"/>
      <c r="R575" s="13"/>
    </row>
    <row r="576" spans="15:18" ht="15.75" customHeight="1" x14ac:dyDescent="0.25">
      <c r="O576" s="13"/>
      <c r="P576" s="13"/>
      <c r="Q576" s="13"/>
      <c r="R576" s="13"/>
    </row>
    <row r="577" spans="15:18" ht="15.75" customHeight="1" x14ac:dyDescent="0.25">
      <c r="O577" s="13"/>
      <c r="P577" s="13"/>
      <c r="Q577" s="13"/>
      <c r="R577" s="13"/>
    </row>
    <row r="578" spans="15:18" ht="15.75" customHeight="1" x14ac:dyDescent="0.25">
      <c r="O578" s="13"/>
      <c r="P578" s="13"/>
      <c r="Q578" s="13"/>
      <c r="R578" s="13"/>
    </row>
    <row r="579" spans="15:18" ht="15.75" customHeight="1" x14ac:dyDescent="0.25">
      <c r="O579" s="13"/>
      <c r="P579" s="13"/>
      <c r="Q579" s="13"/>
      <c r="R579" s="13"/>
    </row>
    <row r="580" spans="15:18" ht="15.75" customHeight="1" x14ac:dyDescent="0.25">
      <c r="O580" s="13"/>
      <c r="P580" s="13"/>
      <c r="Q580" s="13"/>
      <c r="R580" s="13"/>
    </row>
    <row r="581" spans="15:18" ht="15.75" customHeight="1" x14ac:dyDescent="0.25">
      <c r="O581" s="13"/>
      <c r="P581" s="13"/>
      <c r="Q581" s="13"/>
      <c r="R581" s="13"/>
    </row>
    <row r="582" spans="15:18" ht="15.75" customHeight="1" x14ac:dyDescent="0.25">
      <c r="O582" s="13"/>
      <c r="P582" s="13"/>
      <c r="Q582" s="13"/>
      <c r="R582" s="13"/>
    </row>
    <row r="583" spans="15:18" ht="15.75" customHeight="1" x14ac:dyDescent="0.25">
      <c r="O583" s="13"/>
      <c r="P583" s="13"/>
      <c r="Q583" s="13"/>
      <c r="R583" s="13"/>
    </row>
    <row r="584" spans="15:18" ht="15.75" customHeight="1" x14ac:dyDescent="0.25">
      <c r="O584" s="13"/>
      <c r="P584" s="13"/>
      <c r="Q584" s="13"/>
      <c r="R584" s="13"/>
    </row>
    <row r="585" spans="15:18" ht="15.75" customHeight="1" x14ac:dyDescent="0.25">
      <c r="O585" s="13"/>
      <c r="P585" s="13"/>
      <c r="Q585" s="13"/>
      <c r="R585" s="13"/>
    </row>
    <row r="586" spans="15:18" ht="15.75" customHeight="1" x14ac:dyDescent="0.25">
      <c r="O586" s="13"/>
      <c r="P586" s="13"/>
      <c r="Q586" s="13"/>
      <c r="R586" s="13"/>
    </row>
    <row r="587" spans="15:18" ht="15.75" customHeight="1" x14ac:dyDescent="0.25">
      <c r="O587" s="13"/>
      <c r="P587" s="13"/>
      <c r="Q587" s="13"/>
      <c r="R587" s="13"/>
    </row>
    <row r="588" spans="15:18" ht="15.75" customHeight="1" x14ac:dyDescent="0.25">
      <c r="O588" s="13"/>
      <c r="P588" s="13"/>
      <c r="Q588" s="13"/>
      <c r="R588" s="13"/>
    </row>
    <row r="589" spans="15:18" ht="15.75" customHeight="1" x14ac:dyDescent="0.25">
      <c r="O589" s="13"/>
      <c r="P589" s="13"/>
      <c r="Q589" s="13"/>
      <c r="R589" s="13"/>
    </row>
    <row r="590" spans="15:18" ht="15.75" customHeight="1" x14ac:dyDescent="0.25">
      <c r="O590" s="13"/>
      <c r="P590" s="13"/>
      <c r="Q590" s="13"/>
      <c r="R590" s="13"/>
    </row>
    <row r="591" spans="15:18" ht="15.75" customHeight="1" x14ac:dyDescent="0.25">
      <c r="O591" s="13"/>
      <c r="P591" s="13"/>
      <c r="Q591" s="13"/>
      <c r="R591" s="13"/>
    </row>
    <row r="592" spans="15:18" ht="15.75" customHeight="1" x14ac:dyDescent="0.25">
      <c r="O592" s="13"/>
      <c r="P592" s="13"/>
      <c r="Q592" s="13"/>
      <c r="R592" s="13"/>
    </row>
    <row r="593" spans="15:18" ht="15.75" customHeight="1" x14ac:dyDescent="0.25">
      <c r="O593" s="13"/>
      <c r="P593" s="13"/>
      <c r="Q593" s="13"/>
      <c r="R593" s="13"/>
    </row>
    <row r="594" spans="15:18" ht="15.75" customHeight="1" x14ac:dyDescent="0.25">
      <c r="O594" s="13"/>
      <c r="P594" s="13"/>
      <c r="Q594" s="13"/>
      <c r="R594" s="13"/>
    </row>
    <row r="595" spans="15:18" ht="15.75" customHeight="1" x14ac:dyDescent="0.25">
      <c r="O595" s="13"/>
      <c r="P595" s="13"/>
      <c r="Q595" s="13"/>
      <c r="R595" s="13"/>
    </row>
    <row r="596" spans="15:18" ht="15.75" customHeight="1" x14ac:dyDescent="0.25">
      <c r="O596" s="13"/>
      <c r="P596" s="13"/>
      <c r="Q596" s="13"/>
      <c r="R596" s="13"/>
    </row>
    <row r="597" spans="15:18" ht="15.75" customHeight="1" x14ac:dyDescent="0.25">
      <c r="O597" s="13"/>
      <c r="P597" s="13"/>
      <c r="Q597" s="13"/>
      <c r="R597" s="13"/>
    </row>
    <row r="598" spans="15:18" ht="15.75" customHeight="1" x14ac:dyDescent="0.25">
      <c r="O598" s="13"/>
      <c r="P598" s="13"/>
      <c r="Q598" s="13"/>
      <c r="R598" s="13"/>
    </row>
    <row r="599" spans="15:18" ht="15.75" customHeight="1" x14ac:dyDescent="0.25">
      <c r="O599" s="13"/>
      <c r="P599" s="13"/>
      <c r="Q599" s="13"/>
      <c r="R599" s="13"/>
    </row>
    <row r="600" spans="15:18" ht="15.75" customHeight="1" x14ac:dyDescent="0.25">
      <c r="O600" s="13"/>
      <c r="P600" s="13"/>
      <c r="Q600" s="13"/>
      <c r="R600" s="13"/>
    </row>
    <row r="601" spans="15:18" ht="15.75" customHeight="1" x14ac:dyDescent="0.25">
      <c r="O601" s="13"/>
      <c r="P601" s="13"/>
      <c r="Q601" s="13"/>
      <c r="R601" s="13"/>
    </row>
    <row r="602" spans="15:18" ht="15.75" customHeight="1" x14ac:dyDescent="0.25">
      <c r="O602" s="13"/>
      <c r="P602" s="13"/>
      <c r="Q602" s="13"/>
      <c r="R602" s="13"/>
    </row>
    <row r="603" spans="15:18" ht="15.75" customHeight="1" x14ac:dyDescent="0.25">
      <c r="O603" s="13"/>
      <c r="P603" s="13"/>
      <c r="Q603" s="13"/>
      <c r="R603" s="13"/>
    </row>
    <row r="604" spans="15:18" ht="15.75" customHeight="1" x14ac:dyDescent="0.25">
      <c r="O604" s="13"/>
      <c r="P604" s="13"/>
      <c r="Q604" s="13"/>
      <c r="R604" s="13"/>
    </row>
    <row r="605" spans="15:18" ht="15.75" customHeight="1" x14ac:dyDescent="0.25">
      <c r="O605" s="13"/>
      <c r="P605" s="13"/>
      <c r="Q605" s="13"/>
      <c r="R605" s="13"/>
    </row>
    <row r="606" spans="15:18" ht="15.75" customHeight="1" x14ac:dyDescent="0.25">
      <c r="O606" s="13"/>
      <c r="P606" s="13"/>
      <c r="Q606" s="13"/>
      <c r="R606" s="13"/>
    </row>
    <row r="607" spans="15:18" ht="15.75" customHeight="1" x14ac:dyDescent="0.25">
      <c r="O607" s="13"/>
      <c r="P607" s="13"/>
      <c r="Q607" s="13"/>
      <c r="R607" s="13"/>
    </row>
    <row r="608" spans="15:18" ht="15.75" customHeight="1" x14ac:dyDescent="0.25">
      <c r="O608" s="13"/>
      <c r="P608" s="13"/>
      <c r="Q608" s="13"/>
      <c r="R608" s="13"/>
    </row>
    <row r="609" spans="15:18" ht="15.75" customHeight="1" x14ac:dyDescent="0.25">
      <c r="O609" s="13"/>
      <c r="P609" s="13"/>
      <c r="Q609" s="13"/>
      <c r="R609" s="13"/>
    </row>
    <row r="610" spans="15:18" ht="15.75" customHeight="1" x14ac:dyDescent="0.25">
      <c r="O610" s="13"/>
      <c r="P610" s="13"/>
      <c r="Q610" s="13"/>
      <c r="R610" s="13"/>
    </row>
    <row r="611" spans="15:18" ht="15.75" customHeight="1" x14ac:dyDescent="0.25">
      <c r="O611" s="13"/>
      <c r="P611" s="13"/>
      <c r="Q611" s="13"/>
      <c r="R611" s="13"/>
    </row>
    <row r="612" spans="15:18" ht="15.75" customHeight="1" x14ac:dyDescent="0.25">
      <c r="O612" s="13"/>
      <c r="P612" s="13"/>
      <c r="Q612" s="13"/>
      <c r="R612" s="13"/>
    </row>
    <row r="613" spans="15:18" ht="15.75" customHeight="1" x14ac:dyDescent="0.25">
      <c r="O613" s="13"/>
      <c r="P613" s="13"/>
      <c r="Q613" s="13"/>
      <c r="R613" s="13"/>
    </row>
    <row r="614" spans="15:18" ht="15.75" customHeight="1" x14ac:dyDescent="0.25">
      <c r="O614" s="13"/>
      <c r="P614" s="13"/>
      <c r="Q614" s="13"/>
      <c r="R614" s="13"/>
    </row>
    <row r="615" spans="15:18" ht="15.75" customHeight="1" x14ac:dyDescent="0.25">
      <c r="O615" s="13"/>
      <c r="P615" s="13"/>
      <c r="Q615" s="13"/>
      <c r="R615" s="13"/>
    </row>
    <row r="616" spans="15:18" ht="15.75" customHeight="1" x14ac:dyDescent="0.25">
      <c r="O616" s="13"/>
      <c r="P616" s="13"/>
      <c r="Q616" s="13"/>
      <c r="R616" s="13"/>
    </row>
    <row r="617" spans="15:18" ht="15.75" customHeight="1" x14ac:dyDescent="0.25">
      <c r="O617" s="13"/>
      <c r="P617" s="13"/>
      <c r="Q617" s="13"/>
      <c r="R617" s="13"/>
    </row>
    <row r="618" spans="15:18" ht="15.75" customHeight="1" x14ac:dyDescent="0.25">
      <c r="O618" s="13"/>
      <c r="P618" s="13"/>
      <c r="Q618" s="13"/>
      <c r="R618" s="13"/>
    </row>
    <row r="619" spans="15:18" ht="15.75" customHeight="1" x14ac:dyDescent="0.25">
      <c r="O619" s="13"/>
      <c r="P619" s="13"/>
      <c r="Q619" s="13"/>
      <c r="R619" s="13"/>
    </row>
    <row r="620" spans="15:18" ht="15.75" customHeight="1" x14ac:dyDescent="0.25">
      <c r="O620" s="13"/>
      <c r="P620" s="13"/>
      <c r="Q620" s="13"/>
      <c r="R620" s="13"/>
    </row>
    <row r="621" spans="15:18" ht="15.75" customHeight="1" x14ac:dyDescent="0.25">
      <c r="O621" s="13"/>
      <c r="P621" s="13"/>
      <c r="Q621" s="13"/>
      <c r="R621" s="13"/>
    </row>
    <row r="622" spans="15:18" ht="15.75" customHeight="1" x14ac:dyDescent="0.25">
      <c r="O622" s="13"/>
      <c r="P622" s="13"/>
      <c r="Q622" s="13"/>
      <c r="R622" s="13"/>
    </row>
    <row r="623" spans="15:18" ht="15.75" customHeight="1" x14ac:dyDescent="0.25">
      <c r="O623" s="13"/>
      <c r="P623" s="13"/>
      <c r="Q623" s="13"/>
      <c r="R623" s="13"/>
    </row>
    <row r="624" spans="15:18" ht="15.75" customHeight="1" x14ac:dyDescent="0.25">
      <c r="O624" s="13"/>
      <c r="P624" s="13"/>
      <c r="Q624" s="13"/>
      <c r="R624" s="13"/>
    </row>
    <row r="625" spans="15:18" ht="15.75" customHeight="1" x14ac:dyDescent="0.25">
      <c r="O625" s="13"/>
      <c r="P625" s="13"/>
      <c r="Q625" s="13"/>
      <c r="R625" s="13"/>
    </row>
    <row r="626" spans="15:18" ht="15.75" customHeight="1" x14ac:dyDescent="0.25">
      <c r="O626" s="13"/>
      <c r="P626" s="13"/>
      <c r="Q626" s="13"/>
      <c r="R626" s="13"/>
    </row>
    <row r="627" spans="15:18" ht="15.75" customHeight="1" x14ac:dyDescent="0.25">
      <c r="O627" s="13"/>
      <c r="P627" s="13"/>
      <c r="Q627" s="13"/>
      <c r="R627" s="13"/>
    </row>
    <row r="628" spans="15:18" ht="15.75" customHeight="1" x14ac:dyDescent="0.25">
      <c r="O628" s="13"/>
      <c r="P628" s="13"/>
      <c r="Q628" s="13"/>
      <c r="R628" s="13"/>
    </row>
    <row r="629" spans="15:18" ht="15.75" customHeight="1" x14ac:dyDescent="0.25">
      <c r="O629" s="13"/>
      <c r="P629" s="13"/>
      <c r="Q629" s="13"/>
      <c r="R629" s="13"/>
    </row>
    <row r="630" spans="15:18" ht="15.75" customHeight="1" x14ac:dyDescent="0.25">
      <c r="O630" s="13"/>
      <c r="P630" s="13"/>
      <c r="Q630" s="13"/>
      <c r="R630" s="13"/>
    </row>
    <row r="631" spans="15:18" ht="15.75" customHeight="1" x14ac:dyDescent="0.25">
      <c r="O631" s="13"/>
      <c r="P631" s="13"/>
      <c r="Q631" s="13"/>
      <c r="R631" s="13"/>
    </row>
    <row r="632" spans="15:18" ht="15.75" customHeight="1" x14ac:dyDescent="0.25">
      <c r="O632" s="13"/>
      <c r="P632" s="13"/>
      <c r="Q632" s="13"/>
      <c r="R632" s="13"/>
    </row>
    <row r="633" spans="15:18" ht="15.75" customHeight="1" x14ac:dyDescent="0.25">
      <c r="O633" s="13"/>
      <c r="P633" s="13"/>
      <c r="Q633" s="13"/>
      <c r="R633" s="13"/>
    </row>
    <row r="634" spans="15:18" ht="15.75" customHeight="1" x14ac:dyDescent="0.25">
      <c r="O634" s="13"/>
      <c r="P634" s="13"/>
      <c r="Q634" s="13"/>
      <c r="R634" s="13"/>
    </row>
    <row r="635" spans="15:18" ht="15.75" customHeight="1" x14ac:dyDescent="0.25">
      <c r="O635" s="13"/>
      <c r="P635" s="13"/>
      <c r="Q635" s="13"/>
      <c r="R635" s="13"/>
    </row>
    <row r="636" spans="15:18" ht="15.75" customHeight="1" x14ac:dyDescent="0.25">
      <c r="O636" s="13"/>
      <c r="P636" s="13"/>
      <c r="Q636" s="13"/>
      <c r="R636" s="13"/>
    </row>
    <row r="637" spans="15:18" ht="15.75" customHeight="1" x14ac:dyDescent="0.25">
      <c r="O637" s="13"/>
      <c r="P637" s="13"/>
      <c r="Q637" s="13"/>
      <c r="R637" s="13"/>
    </row>
    <row r="638" spans="15:18" ht="15.75" customHeight="1" x14ac:dyDescent="0.25">
      <c r="O638" s="13"/>
      <c r="P638" s="13"/>
      <c r="Q638" s="13"/>
      <c r="R638" s="13"/>
    </row>
    <row r="639" spans="15:18" ht="15.75" customHeight="1" x14ac:dyDescent="0.25">
      <c r="O639" s="13"/>
      <c r="P639" s="13"/>
      <c r="Q639" s="13"/>
      <c r="R639" s="13"/>
    </row>
    <row r="640" spans="15:18" ht="15.75" customHeight="1" x14ac:dyDescent="0.25">
      <c r="O640" s="13"/>
      <c r="P640" s="13"/>
      <c r="Q640" s="13"/>
      <c r="R640" s="13"/>
    </row>
    <row r="641" spans="15:18" ht="15.75" customHeight="1" x14ac:dyDescent="0.25">
      <c r="O641" s="13"/>
      <c r="P641" s="13"/>
      <c r="Q641" s="13"/>
      <c r="R641" s="13"/>
    </row>
    <row r="642" spans="15:18" ht="15.75" customHeight="1" x14ac:dyDescent="0.25">
      <c r="O642" s="13"/>
      <c r="P642" s="13"/>
      <c r="Q642" s="13"/>
      <c r="R642" s="13"/>
    </row>
    <row r="643" spans="15:18" ht="15.75" customHeight="1" x14ac:dyDescent="0.25">
      <c r="O643" s="13"/>
      <c r="P643" s="13"/>
      <c r="Q643" s="13"/>
      <c r="R643" s="13"/>
    </row>
    <row r="644" spans="15:18" ht="15.75" customHeight="1" x14ac:dyDescent="0.25">
      <c r="O644" s="13"/>
      <c r="P644" s="13"/>
      <c r="Q644" s="13"/>
      <c r="R644" s="13"/>
    </row>
    <row r="645" spans="15:18" ht="15.75" customHeight="1" x14ac:dyDescent="0.25">
      <c r="O645" s="13"/>
      <c r="P645" s="13"/>
      <c r="Q645" s="13"/>
      <c r="R645" s="13"/>
    </row>
    <row r="646" spans="15:18" ht="15.75" customHeight="1" x14ac:dyDescent="0.25">
      <c r="O646" s="13"/>
      <c r="P646" s="13"/>
      <c r="Q646" s="13"/>
      <c r="R646" s="13"/>
    </row>
    <row r="647" spans="15:18" ht="15.75" customHeight="1" x14ac:dyDescent="0.25">
      <c r="O647" s="13"/>
      <c r="P647" s="13"/>
      <c r="Q647" s="13"/>
      <c r="R647" s="13"/>
    </row>
    <row r="648" spans="15:18" ht="15.75" customHeight="1" x14ac:dyDescent="0.25">
      <c r="O648" s="13"/>
      <c r="P648" s="13"/>
      <c r="Q648" s="13"/>
      <c r="R648" s="13"/>
    </row>
    <row r="649" spans="15:18" ht="15.75" customHeight="1" x14ac:dyDescent="0.25">
      <c r="O649" s="13"/>
      <c r="P649" s="13"/>
      <c r="Q649" s="13"/>
      <c r="R649" s="13"/>
    </row>
    <row r="650" spans="15:18" ht="15.75" customHeight="1" x14ac:dyDescent="0.25">
      <c r="O650" s="13"/>
      <c r="P650" s="13"/>
      <c r="Q650" s="13"/>
      <c r="R650" s="13"/>
    </row>
    <row r="651" spans="15:18" ht="15.75" customHeight="1" x14ac:dyDescent="0.25">
      <c r="O651" s="13"/>
      <c r="P651" s="13"/>
      <c r="Q651" s="13"/>
      <c r="R651" s="13"/>
    </row>
    <row r="652" spans="15:18" ht="15.75" customHeight="1" x14ac:dyDescent="0.25">
      <c r="O652" s="13"/>
      <c r="P652" s="13"/>
      <c r="Q652" s="13"/>
      <c r="R652" s="13"/>
    </row>
    <row r="653" spans="15:18" ht="15.75" customHeight="1" x14ac:dyDescent="0.25">
      <c r="O653" s="13"/>
      <c r="P653" s="13"/>
      <c r="Q653" s="13"/>
      <c r="R653" s="13"/>
    </row>
    <row r="654" spans="15:18" ht="15.75" customHeight="1" x14ac:dyDescent="0.25">
      <c r="O654" s="13"/>
      <c r="P654" s="13"/>
      <c r="Q654" s="13"/>
      <c r="R654" s="13"/>
    </row>
    <row r="655" spans="15:18" ht="15.75" customHeight="1" x14ac:dyDescent="0.25">
      <c r="O655" s="13"/>
      <c r="P655" s="13"/>
      <c r="Q655" s="13"/>
      <c r="R655" s="13"/>
    </row>
    <row r="656" spans="15:18" ht="15.75" customHeight="1" x14ac:dyDescent="0.25">
      <c r="O656" s="13"/>
      <c r="P656" s="13"/>
      <c r="Q656" s="13"/>
      <c r="R656" s="13"/>
    </row>
    <row r="657" spans="15:18" ht="15.75" customHeight="1" x14ac:dyDescent="0.25">
      <c r="O657" s="13"/>
      <c r="P657" s="13"/>
      <c r="Q657" s="13"/>
      <c r="R657" s="13"/>
    </row>
    <row r="658" spans="15:18" ht="15.75" customHeight="1" x14ac:dyDescent="0.25">
      <c r="O658" s="13"/>
      <c r="P658" s="13"/>
      <c r="Q658" s="13"/>
      <c r="R658" s="13"/>
    </row>
    <row r="659" spans="15:18" ht="15.75" customHeight="1" x14ac:dyDescent="0.25">
      <c r="O659" s="13"/>
      <c r="P659" s="13"/>
      <c r="Q659" s="13"/>
      <c r="R659" s="13"/>
    </row>
    <row r="660" spans="15:18" ht="15.75" customHeight="1" x14ac:dyDescent="0.25">
      <c r="O660" s="13"/>
      <c r="P660" s="13"/>
      <c r="Q660" s="13"/>
      <c r="R660" s="13"/>
    </row>
    <row r="661" spans="15:18" ht="15.75" customHeight="1" x14ac:dyDescent="0.25">
      <c r="O661" s="13"/>
      <c r="P661" s="13"/>
      <c r="Q661" s="13"/>
      <c r="R661" s="13"/>
    </row>
    <row r="662" spans="15:18" ht="15.75" customHeight="1" x14ac:dyDescent="0.25">
      <c r="O662" s="13"/>
      <c r="P662" s="13"/>
      <c r="Q662" s="13"/>
      <c r="R662" s="13"/>
    </row>
    <row r="663" spans="15:18" ht="15.75" customHeight="1" x14ac:dyDescent="0.25">
      <c r="O663" s="13"/>
      <c r="P663" s="13"/>
      <c r="Q663" s="13"/>
      <c r="R663" s="13"/>
    </row>
    <row r="664" spans="15:18" ht="15.75" customHeight="1" x14ac:dyDescent="0.25">
      <c r="O664" s="13"/>
      <c r="P664" s="13"/>
      <c r="Q664" s="13"/>
      <c r="R664" s="13"/>
    </row>
    <row r="665" spans="15:18" ht="15.75" customHeight="1" x14ac:dyDescent="0.25">
      <c r="O665" s="13"/>
      <c r="P665" s="13"/>
      <c r="Q665" s="13"/>
      <c r="R665" s="13"/>
    </row>
    <row r="666" spans="15:18" ht="15.75" customHeight="1" x14ac:dyDescent="0.25">
      <c r="O666" s="13"/>
      <c r="P666" s="13"/>
      <c r="Q666" s="13"/>
      <c r="R666" s="13"/>
    </row>
    <row r="667" spans="15:18" ht="15.75" customHeight="1" x14ac:dyDescent="0.25">
      <c r="O667" s="13"/>
      <c r="P667" s="13"/>
      <c r="Q667" s="13"/>
      <c r="R667" s="13"/>
    </row>
    <row r="668" spans="15:18" ht="15.75" customHeight="1" x14ac:dyDescent="0.25">
      <c r="O668" s="13"/>
      <c r="P668" s="13"/>
      <c r="Q668" s="13"/>
      <c r="R668" s="13"/>
    </row>
    <row r="669" spans="15:18" ht="15.75" customHeight="1" x14ac:dyDescent="0.25">
      <c r="O669" s="13"/>
      <c r="P669" s="13"/>
      <c r="Q669" s="13"/>
      <c r="R669" s="13"/>
    </row>
    <row r="670" spans="15:18" ht="15.75" customHeight="1" x14ac:dyDescent="0.25">
      <c r="O670" s="13"/>
      <c r="P670" s="13"/>
      <c r="Q670" s="13"/>
      <c r="R670" s="13"/>
    </row>
    <row r="671" spans="15:18" ht="15.75" customHeight="1" x14ac:dyDescent="0.25">
      <c r="O671" s="13"/>
      <c r="P671" s="13"/>
      <c r="Q671" s="13"/>
      <c r="R671" s="13"/>
    </row>
    <row r="672" spans="15:18" ht="15.75" customHeight="1" x14ac:dyDescent="0.25">
      <c r="O672" s="13"/>
      <c r="P672" s="13"/>
      <c r="Q672" s="13"/>
      <c r="R672" s="13"/>
    </row>
    <row r="673" spans="15:18" ht="15.75" customHeight="1" x14ac:dyDescent="0.25">
      <c r="O673" s="13"/>
      <c r="P673" s="13"/>
      <c r="Q673" s="13"/>
      <c r="R673" s="13"/>
    </row>
    <row r="674" spans="15:18" ht="15.75" customHeight="1" x14ac:dyDescent="0.25">
      <c r="O674" s="13"/>
      <c r="P674" s="13"/>
      <c r="Q674" s="13"/>
      <c r="R674" s="13"/>
    </row>
    <row r="675" spans="15:18" ht="15.75" customHeight="1" x14ac:dyDescent="0.25">
      <c r="O675" s="13"/>
      <c r="P675" s="13"/>
      <c r="Q675" s="13"/>
      <c r="R675" s="13"/>
    </row>
    <row r="676" spans="15:18" ht="15.75" customHeight="1" x14ac:dyDescent="0.25">
      <c r="O676" s="13"/>
      <c r="P676" s="13"/>
      <c r="Q676" s="13"/>
      <c r="R676" s="13"/>
    </row>
    <row r="677" spans="15:18" ht="15.75" customHeight="1" x14ac:dyDescent="0.25">
      <c r="O677" s="13"/>
      <c r="P677" s="13"/>
      <c r="Q677" s="13"/>
      <c r="R677" s="13"/>
    </row>
    <row r="678" spans="15:18" ht="15.75" customHeight="1" x14ac:dyDescent="0.25">
      <c r="O678" s="13"/>
      <c r="P678" s="13"/>
      <c r="Q678" s="13"/>
      <c r="R678" s="13"/>
    </row>
    <row r="679" spans="15:18" ht="15.75" customHeight="1" x14ac:dyDescent="0.25">
      <c r="O679" s="13"/>
      <c r="P679" s="13"/>
      <c r="Q679" s="13"/>
      <c r="R679" s="13"/>
    </row>
    <row r="680" spans="15:18" ht="15.75" customHeight="1" x14ac:dyDescent="0.25">
      <c r="O680" s="13"/>
      <c r="P680" s="13"/>
      <c r="Q680" s="13"/>
      <c r="R680" s="13"/>
    </row>
    <row r="681" spans="15:18" ht="15.75" customHeight="1" x14ac:dyDescent="0.25">
      <c r="O681" s="13"/>
      <c r="P681" s="13"/>
      <c r="Q681" s="13"/>
      <c r="R681" s="13"/>
    </row>
    <row r="682" spans="15:18" ht="15.75" customHeight="1" x14ac:dyDescent="0.25">
      <c r="O682" s="13"/>
      <c r="P682" s="13"/>
      <c r="Q682" s="13"/>
      <c r="R682" s="13"/>
    </row>
    <row r="683" spans="15:18" ht="15.75" customHeight="1" x14ac:dyDescent="0.25">
      <c r="O683" s="13"/>
      <c r="P683" s="13"/>
      <c r="Q683" s="13"/>
      <c r="R683" s="13"/>
    </row>
    <row r="684" spans="15:18" ht="15.75" customHeight="1" x14ac:dyDescent="0.25">
      <c r="O684" s="13"/>
      <c r="P684" s="13"/>
      <c r="Q684" s="13"/>
      <c r="R684" s="13"/>
    </row>
    <row r="685" spans="15:18" ht="15.75" customHeight="1" x14ac:dyDescent="0.25">
      <c r="O685" s="13"/>
      <c r="P685" s="13"/>
      <c r="Q685" s="13"/>
      <c r="R685" s="13"/>
    </row>
    <row r="686" spans="15:18" ht="15.75" customHeight="1" x14ac:dyDescent="0.25">
      <c r="O686" s="13"/>
      <c r="P686" s="13"/>
      <c r="Q686" s="13"/>
      <c r="R686" s="13"/>
    </row>
    <row r="687" spans="15:18" ht="15.75" customHeight="1" x14ac:dyDescent="0.25">
      <c r="O687" s="13"/>
      <c r="P687" s="13"/>
      <c r="Q687" s="13"/>
      <c r="R687" s="13"/>
    </row>
    <row r="688" spans="15:18" ht="15.75" customHeight="1" x14ac:dyDescent="0.25">
      <c r="O688" s="13"/>
      <c r="P688" s="13"/>
      <c r="Q688" s="13"/>
      <c r="R688" s="13"/>
    </row>
    <row r="689" spans="15:18" ht="15.75" customHeight="1" x14ac:dyDescent="0.25">
      <c r="O689" s="13"/>
      <c r="P689" s="13"/>
      <c r="Q689" s="13"/>
      <c r="R689" s="13"/>
    </row>
    <row r="690" spans="15:18" ht="15.75" customHeight="1" x14ac:dyDescent="0.25">
      <c r="O690" s="13"/>
      <c r="P690" s="13"/>
      <c r="Q690" s="13"/>
      <c r="R690" s="13"/>
    </row>
    <row r="691" spans="15:18" ht="15.75" customHeight="1" x14ac:dyDescent="0.25">
      <c r="O691" s="13"/>
      <c r="P691" s="13"/>
      <c r="Q691" s="13"/>
      <c r="R691" s="13"/>
    </row>
    <row r="692" spans="15:18" ht="15.75" customHeight="1" x14ac:dyDescent="0.25">
      <c r="O692" s="13"/>
      <c r="P692" s="13"/>
      <c r="Q692" s="13"/>
      <c r="R692" s="13"/>
    </row>
    <row r="693" spans="15:18" ht="15.75" customHeight="1" x14ac:dyDescent="0.25">
      <c r="O693" s="13"/>
      <c r="P693" s="13"/>
      <c r="Q693" s="13"/>
      <c r="R693" s="13"/>
    </row>
    <row r="694" spans="15:18" ht="15.75" customHeight="1" x14ac:dyDescent="0.25">
      <c r="O694" s="13"/>
      <c r="P694" s="13"/>
      <c r="Q694" s="13"/>
      <c r="R694" s="13"/>
    </row>
    <row r="695" spans="15:18" ht="15.75" customHeight="1" x14ac:dyDescent="0.25">
      <c r="O695" s="13"/>
      <c r="P695" s="13"/>
      <c r="Q695" s="13"/>
      <c r="R695" s="13"/>
    </row>
    <row r="696" spans="15:18" ht="15.75" customHeight="1" x14ac:dyDescent="0.25">
      <c r="O696" s="13"/>
      <c r="P696" s="13"/>
      <c r="Q696" s="13"/>
      <c r="R696" s="13"/>
    </row>
    <row r="697" spans="15:18" ht="15.75" customHeight="1" x14ac:dyDescent="0.25">
      <c r="O697" s="13"/>
      <c r="P697" s="13"/>
      <c r="Q697" s="13"/>
      <c r="R697" s="13"/>
    </row>
    <row r="698" spans="15:18" ht="15.75" customHeight="1" x14ac:dyDescent="0.25">
      <c r="O698" s="13"/>
      <c r="P698" s="13"/>
      <c r="Q698" s="13"/>
      <c r="R698" s="13"/>
    </row>
    <row r="699" spans="15:18" ht="15.75" customHeight="1" x14ac:dyDescent="0.25">
      <c r="O699" s="13"/>
      <c r="P699" s="13"/>
      <c r="Q699" s="13"/>
      <c r="R699" s="13"/>
    </row>
    <row r="700" spans="15:18" ht="15.75" customHeight="1" x14ac:dyDescent="0.25">
      <c r="O700" s="13"/>
      <c r="P700" s="13"/>
      <c r="Q700" s="13"/>
      <c r="R700" s="13"/>
    </row>
    <row r="701" spans="15:18" ht="15.75" customHeight="1" x14ac:dyDescent="0.25">
      <c r="O701" s="13"/>
      <c r="P701" s="13"/>
      <c r="Q701" s="13"/>
      <c r="R701" s="13"/>
    </row>
    <row r="702" spans="15:18" ht="15.75" customHeight="1" x14ac:dyDescent="0.25">
      <c r="O702" s="13"/>
      <c r="P702" s="13"/>
      <c r="Q702" s="13"/>
      <c r="R702" s="13"/>
    </row>
    <row r="703" spans="15:18" ht="15.75" customHeight="1" x14ac:dyDescent="0.25">
      <c r="O703" s="13"/>
      <c r="P703" s="13"/>
      <c r="Q703" s="13"/>
      <c r="R703" s="13"/>
    </row>
    <row r="704" spans="15:18" ht="15.75" customHeight="1" x14ac:dyDescent="0.25">
      <c r="O704" s="13"/>
      <c r="P704" s="13"/>
      <c r="Q704" s="13"/>
      <c r="R704" s="13"/>
    </row>
    <row r="705" spans="15:18" ht="15.75" customHeight="1" x14ac:dyDescent="0.25">
      <c r="O705" s="13"/>
      <c r="P705" s="13"/>
      <c r="Q705" s="13"/>
      <c r="R705" s="13"/>
    </row>
    <row r="706" spans="15:18" ht="15.75" customHeight="1" x14ac:dyDescent="0.25">
      <c r="O706" s="13"/>
      <c r="P706" s="13"/>
      <c r="Q706" s="13"/>
      <c r="R706" s="13"/>
    </row>
    <row r="707" spans="15:18" ht="15.75" customHeight="1" x14ac:dyDescent="0.25">
      <c r="O707" s="13"/>
      <c r="P707" s="13"/>
      <c r="Q707" s="13"/>
      <c r="R707" s="13"/>
    </row>
    <row r="708" spans="15:18" ht="15.75" customHeight="1" x14ac:dyDescent="0.25">
      <c r="O708" s="13"/>
      <c r="P708" s="13"/>
      <c r="Q708" s="13"/>
      <c r="R708" s="13"/>
    </row>
    <row r="709" spans="15:18" ht="15.75" customHeight="1" x14ac:dyDescent="0.25">
      <c r="O709" s="13"/>
      <c r="P709" s="13"/>
      <c r="Q709" s="13"/>
      <c r="R709" s="13"/>
    </row>
    <row r="710" spans="15:18" ht="15.75" customHeight="1" x14ac:dyDescent="0.25">
      <c r="O710" s="13"/>
      <c r="P710" s="13"/>
      <c r="Q710" s="13"/>
      <c r="R710" s="13"/>
    </row>
    <row r="711" spans="15:18" ht="15.75" customHeight="1" x14ac:dyDescent="0.25">
      <c r="O711" s="13"/>
      <c r="P711" s="13"/>
      <c r="Q711" s="13"/>
      <c r="R711" s="13"/>
    </row>
    <row r="712" spans="15:18" ht="15.75" customHeight="1" x14ac:dyDescent="0.25">
      <c r="O712" s="13"/>
      <c r="P712" s="13"/>
      <c r="Q712" s="13"/>
      <c r="R712" s="13"/>
    </row>
    <row r="713" spans="15:18" ht="15.75" customHeight="1" x14ac:dyDescent="0.25">
      <c r="O713" s="13"/>
      <c r="P713" s="13"/>
      <c r="Q713" s="13"/>
      <c r="R713" s="13"/>
    </row>
    <row r="714" spans="15:18" ht="15.75" customHeight="1" x14ac:dyDescent="0.25">
      <c r="O714" s="13"/>
      <c r="P714" s="13"/>
      <c r="Q714" s="13"/>
      <c r="R714" s="13"/>
    </row>
    <row r="715" spans="15:18" ht="15.75" customHeight="1" x14ac:dyDescent="0.25">
      <c r="O715" s="13"/>
      <c r="P715" s="13"/>
      <c r="Q715" s="13"/>
      <c r="R715" s="13"/>
    </row>
    <row r="716" spans="15:18" ht="15.75" customHeight="1" x14ac:dyDescent="0.25">
      <c r="O716" s="13"/>
      <c r="P716" s="13"/>
      <c r="Q716" s="13"/>
      <c r="R716" s="13"/>
    </row>
    <row r="717" spans="15:18" ht="15.75" customHeight="1" x14ac:dyDescent="0.25">
      <c r="O717" s="13"/>
      <c r="P717" s="13"/>
      <c r="Q717" s="13"/>
      <c r="R717" s="13"/>
    </row>
    <row r="718" spans="15:18" ht="15.75" customHeight="1" x14ac:dyDescent="0.25">
      <c r="O718" s="13"/>
      <c r="P718" s="13"/>
      <c r="Q718" s="13"/>
      <c r="R718" s="13"/>
    </row>
    <row r="719" spans="15:18" ht="15.75" customHeight="1" x14ac:dyDescent="0.25">
      <c r="O719" s="13"/>
      <c r="P719" s="13"/>
      <c r="Q719" s="13"/>
      <c r="R719" s="13"/>
    </row>
    <row r="720" spans="15:18" ht="15.75" customHeight="1" x14ac:dyDescent="0.25">
      <c r="O720" s="13"/>
      <c r="P720" s="13"/>
      <c r="Q720" s="13"/>
      <c r="R720" s="13"/>
    </row>
    <row r="721" spans="15:18" ht="15.75" customHeight="1" x14ac:dyDescent="0.25">
      <c r="O721" s="13"/>
      <c r="P721" s="13"/>
      <c r="Q721" s="13"/>
      <c r="R721" s="13"/>
    </row>
    <row r="722" spans="15:18" ht="15.75" customHeight="1" x14ac:dyDescent="0.25">
      <c r="O722" s="13"/>
      <c r="P722" s="13"/>
      <c r="Q722" s="13"/>
      <c r="R722" s="13"/>
    </row>
    <row r="723" spans="15:18" ht="15.75" customHeight="1" x14ac:dyDescent="0.25">
      <c r="O723" s="13"/>
      <c r="P723" s="13"/>
      <c r="Q723" s="13"/>
      <c r="R723" s="13"/>
    </row>
    <row r="724" spans="15:18" ht="15.75" customHeight="1" x14ac:dyDescent="0.25">
      <c r="O724" s="13"/>
      <c r="P724" s="13"/>
      <c r="Q724" s="13"/>
      <c r="R724" s="13"/>
    </row>
    <row r="725" spans="15:18" ht="15.75" customHeight="1" x14ac:dyDescent="0.25">
      <c r="O725" s="13"/>
      <c r="P725" s="13"/>
      <c r="Q725" s="13"/>
      <c r="R725" s="13"/>
    </row>
    <row r="726" spans="15:18" ht="15.75" customHeight="1" x14ac:dyDescent="0.25">
      <c r="O726" s="13"/>
      <c r="P726" s="13"/>
      <c r="Q726" s="13"/>
      <c r="R726" s="13"/>
    </row>
    <row r="727" spans="15:18" ht="15.75" customHeight="1" x14ac:dyDescent="0.25">
      <c r="O727" s="13"/>
      <c r="P727" s="13"/>
      <c r="Q727" s="13"/>
      <c r="R727" s="13"/>
    </row>
    <row r="728" spans="15:18" ht="15.75" customHeight="1" x14ac:dyDescent="0.25">
      <c r="O728" s="13"/>
      <c r="P728" s="13"/>
      <c r="Q728" s="13"/>
      <c r="R728" s="13"/>
    </row>
    <row r="729" spans="15:18" ht="15.75" customHeight="1" x14ac:dyDescent="0.25">
      <c r="O729" s="13"/>
      <c r="P729" s="13"/>
      <c r="Q729" s="13"/>
      <c r="R729" s="13"/>
    </row>
    <row r="730" spans="15:18" ht="15.75" customHeight="1" x14ac:dyDescent="0.25">
      <c r="O730" s="13"/>
      <c r="P730" s="13"/>
      <c r="Q730" s="13"/>
      <c r="R730" s="13"/>
    </row>
    <row r="731" spans="15:18" ht="15.75" customHeight="1" x14ac:dyDescent="0.25">
      <c r="O731" s="13"/>
      <c r="P731" s="13"/>
      <c r="Q731" s="13"/>
      <c r="R731" s="13"/>
    </row>
    <row r="732" spans="15:18" ht="15.75" customHeight="1" x14ac:dyDescent="0.25">
      <c r="O732" s="13"/>
      <c r="P732" s="13"/>
      <c r="Q732" s="13"/>
      <c r="R732" s="13"/>
    </row>
    <row r="733" spans="15:18" ht="15.75" customHeight="1" x14ac:dyDescent="0.25">
      <c r="O733" s="13"/>
      <c r="P733" s="13"/>
      <c r="Q733" s="13"/>
      <c r="R733" s="13"/>
    </row>
    <row r="734" spans="15:18" ht="15.75" customHeight="1" x14ac:dyDescent="0.25">
      <c r="O734" s="13"/>
      <c r="P734" s="13"/>
      <c r="Q734" s="13"/>
      <c r="R734" s="13"/>
    </row>
    <row r="735" spans="15:18" ht="15.75" customHeight="1" x14ac:dyDescent="0.25">
      <c r="O735" s="13"/>
      <c r="P735" s="13"/>
      <c r="Q735" s="13"/>
      <c r="R735" s="13"/>
    </row>
    <row r="736" spans="15:18" ht="15.75" customHeight="1" x14ac:dyDescent="0.25">
      <c r="O736" s="13"/>
      <c r="P736" s="13"/>
      <c r="Q736" s="13"/>
      <c r="R736" s="13"/>
    </row>
    <row r="737" spans="15:18" ht="15.75" customHeight="1" x14ac:dyDescent="0.25">
      <c r="O737" s="13"/>
      <c r="P737" s="13"/>
      <c r="Q737" s="13"/>
      <c r="R737" s="13"/>
    </row>
    <row r="738" spans="15:18" ht="15.75" customHeight="1" x14ac:dyDescent="0.25">
      <c r="O738" s="13"/>
      <c r="P738" s="13"/>
      <c r="Q738" s="13"/>
      <c r="R738" s="13"/>
    </row>
    <row r="739" spans="15:18" ht="15.75" customHeight="1" x14ac:dyDescent="0.25">
      <c r="O739" s="13"/>
      <c r="P739" s="13"/>
      <c r="Q739" s="13"/>
      <c r="R739" s="13"/>
    </row>
    <row r="740" spans="15:18" ht="15.75" customHeight="1" x14ac:dyDescent="0.25">
      <c r="O740" s="13"/>
      <c r="P740" s="13"/>
      <c r="Q740" s="13"/>
      <c r="R740" s="13"/>
    </row>
    <row r="741" spans="15:18" ht="15.75" customHeight="1" x14ac:dyDescent="0.25">
      <c r="O741" s="13"/>
      <c r="P741" s="13"/>
      <c r="Q741" s="13"/>
      <c r="R741" s="13"/>
    </row>
    <row r="742" spans="15:18" ht="15.75" customHeight="1" x14ac:dyDescent="0.25">
      <c r="O742" s="13"/>
      <c r="P742" s="13"/>
      <c r="Q742" s="13"/>
      <c r="R742" s="13"/>
    </row>
    <row r="743" spans="15:18" ht="15.75" customHeight="1" x14ac:dyDescent="0.25">
      <c r="O743" s="13"/>
      <c r="P743" s="13"/>
      <c r="Q743" s="13"/>
      <c r="R743" s="13"/>
    </row>
    <row r="744" spans="15:18" ht="15.75" customHeight="1" x14ac:dyDescent="0.25">
      <c r="O744" s="13"/>
      <c r="P744" s="13"/>
      <c r="Q744" s="13"/>
      <c r="R744" s="13"/>
    </row>
    <row r="745" spans="15:18" ht="15.75" customHeight="1" x14ac:dyDescent="0.25">
      <c r="O745" s="13"/>
      <c r="P745" s="13"/>
      <c r="Q745" s="13"/>
      <c r="R745" s="13"/>
    </row>
    <row r="746" spans="15:18" ht="15.75" customHeight="1" x14ac:dyDescent="0.25">
      <c r="O746" s="13"/>
      <c r="P746" s="13"/>
      <c r="Q746" s="13"/>
      <c r="R746" s="13"/>
    </row>
    <row r="747" spans="15:18" ht="15.75" customHeight="1" x14ac:dyDescent="0.25">
      <c r="O747" s="13"/>
      <c r="P747" s="13"/>
      <c r="Q747" s="13"/>
      <c r="R747" s="13"/>
    </row>
    <row r="748" spans="15:18" ht="15.75" customHeight="1" x14ac:dyDescent="0.25">
      <c r="O748" s="13"/>
      <c r="P748" s="13"/>
      <c r="Q748" s="13"/>
      <c r="R748" s="13"/>
    </row>
    <row r="749" spans="15:18" ht="15.75" customHeight="1" x14ac:dyDescent="0.25">
      <c r="O749" s="13"/>
      <c r="P749" s="13"/>
      <c r="Q749" s="13"/>
      <c r="R749" s="13"/>
    </row>
    <row r="750" spans="15:18" ht="15.75" customHeight="1" x14ac:dyDescent="0.25">
      <c r="O750" s="13"/>
      <c r="P750" s="13"/>
      <c r="Q750" s="13"/>
      <c r="R750" s="13"/>
    </row>
    <row r="751" spans="15:18" ht="15.75" customHeight="1" x14ac:dyDescent="0.25">
      <c r="O751" s="13"/>
      <c r="P751" s="13"/>
      <c r="Q751" s="13"/>
      <c r="R751" s="13"/>
    </row>
    <row r="752" spans="15:18" ht="15.75" customHeight="1" x14ac:dyDescent="0.25">
      <c r="O752" s="13"/>
      <c r="P752" s="13"/>
      <c r="Q752" s="13"/>
      <c r="R752" s="13"/>
    </row>
    <row r="753" spans="15:18" ht="15.75" customHeight="1" x14ac:dyDescent="0.25">
      <c r="O753" s="13"/>
      <c r="P753" s="13"/>
      <c r="Q753" s="13"/>
      <c r="R753" s="13"/>
    </row>
    <row r="754" spans="15:18" ht="15.75" customHeight="1" x14ac:dyDescent="0.25">
      <c r="O754" s="13"/>
      <c r="P754" s="13"/>
      <c r="Q754" s="13"/>
      <c r="R754" s="13"/>
    </row>
    <row r="755" spans="15:18" ht="15.75" customHeight="1" x14ac:dyDescent="0.25">
      <c r="O755" s="13"/>
      <c r="P755" s="13"/>
      <c r="Q755" s="13"/>
      <c r="R755" s="13"/>
    </row>
    <row r="756" spans="15:18" ht="15.75" customHeight="1" x14ac:dyDescent="0.25">
      <c r="O756" s="13"/>
      <c r="P756" s="13"/>
      <c r="Q756" s="13"/>
      <c r="R756" s="13"/>
    </row>
    <row r="757" spans="15:18" ht="15.75" customHeight="1" x14ac:dyDescent="0.25">
      <c r="O757" s="13"/>
      <c r="P757" s="13"/>
      <c r="Q757" s="13"/>
      <c r="R757" s="13"/>
    </row>
    <row r="758" spans="15:18" ht="15.75" customHeight="1" x14ac:dyDescent="0.25">
      <c r="O758" s="13"/>
      <c r="P758" s="13"/>
      <c r="Q758" s="13"/>
      <c r="R758" s="13"/>
    </row>
    <row r="759" spans="15:18" ht="15.75" customHeight="1" x14ac:dyDescent="0.25">
      <c r="O759" s="13"/>
      <c r="P759" s="13"/>
      <c r="Q759" s="13"/>
      <c r="R759" s="13"/>
    </row>
    <row r="760" spans="15:18" ht="15.75" customHeight="1" x14ac:dyDescent="0.25">
      <c r="O760" s="13"/>
      <c r="P760" s="13"/>
      <c r="Q760" s="13"/>
      <c r="R760" s="13"/>
    </row>
    <row r="761" spans="15:18" ht="15.75" customHeight="1" x14ac:dyDescent="0.25">
      <c r="O761" s="13"/>
      <c r="P761" s="13"/>
      <c r="Q761" s="13"/>
      <c r="R761" s="13"/>
    </row>
    <row r="762" spans="15:18" ht="15.75" customHeight="1" x14ac:dyDescent="0.25">
      <c r="O762" s="13"/>
      <c r="P762" s="13"/>
      <c r="Q762" s="13"/>
      <c r="R762" s="13"/>
    </row>
    <row r="763" spans="15:18" ht="15.75" customHeight="1" x14ac:dyDescent="0.25">
      <c r="O763" s="13"/>
      <c r="P763" s="13"/>
      <c r="Q763" s="13"/>
      <c r="R763" s="13"/>
    </row>
    <row r="764" spans="15:18" ht="15.75" customHeight="1" x14ac:dyDescent="0.25">
      <c r="O764" s="13"/>
      <c r="P764" s="13"/>
      <c r="Q764" s="13"/>
      <c r="R764" s="13"/>
    </row>
    <row r="765" spans="15:18" ht="15.75" customHeight="1" x14ac:dyDescent="0.25">
      <c r="O765" s="13"/>
      <c r="P765" s="13"/>
      <c r="Q765" s="13"/>
      <c r="R765" s="13"/>
    </row>
    <row r="766" spans="15:18" ht="15.75" customHeight="1" x14ac:dyDescent="0.25">
      <c r="O766" s="13"/>
      <c r="P766" s="13"/>
      <c r="Q766" s="13"/>
      <c r="R766" s="13"/>
    </row>
    <row r="767" spans="15:18" ht="15.75" customHeight="1" x14ac:dyDescent="0.25">
      <c r="O767" s="13"/>
      <c r="P767" s="13"/>
      <c r="Q767" s="13"/>
      <c r="R767" s="13"/>
    </row>
    <row r="768" spans="15:18" ht="15.75" customHeight="1" x14ac:dyDescent="0.25">
      <c r="O768" s="13"/>
      <c r="P768" s="13"/>
      <c r="Q768" s="13"/>
      <c r="R768" s="13"/>
    </row>
    <row r="769" spans="15:18" ht="15.75" customHeight="1" x14ac:dyDescent="0.25">
      <c r="O769" s="13"/>
      <c r="P769" s="13"/>
      <c r="Q769" s="13"/>
      <c r="R769" s="13"/>
    </row>
    <row r="770" spans="15:18" ht="15.75" customHeight="1" x14ac:dyDescent="0.25">
      <c r="O770" s="13"/>
      <c r="P770" s="13"/>
      <c r="Q770" s="13"/>
      <c r="R770" s="13"/>
    </row>
    <row r="771" spans="15:18" ht="15.75" customHeight="1" x14ac:dyDescent="0.25">
      <c r="O771" s="13"/>
      <c r="P771" s="13"/>
      <c r="Q771" s="13"/>
      <c r="R771" s="13"/>
    </row>
    <row r="772" spans="15:18" ht="15.75" customHeight="1" x14ac:dyDescent="0.25">
      <c r="O772" s="13"/>
      <c r="P772" s="13"/>
      <c r="Q772" s="13"/>
      <c r="R772" s="13"/>
    </row>
    <row r="773" spans="15:18" ht="15.75" customHeight="1" x14ac:dyDescent="0.25">
      <c r="O773" s="13"/>
      <c r="P773" s="13"/>
      <c r="Q773" s="13"/>
      <c r="R773" s="13"/>
    </row>
    <row r="774" spans="15:18" ht="15.75" customHeight="1" x14ac:dyDescent="0.25">
      <c r="O774" s="13"/>
      <c r="P774" s="13"/>
      <c r="Q774" s="13"/>
      <c r="R774" s="13"/>
    </row>
    <row r="775" spans="15:18" ht="15.75" customHeight="1" x14ac:dyDescent="0.25">
      <c r="O775" s="13"/>
      <c r="P775" s="13"/>
      <c r="Q775" s="13"/>
      <c r="R775" s="13"/>
    </row>
    <row r="776" spans="15:18" ht="15.75" customHeight="1" x14ac:dyDescent="0.25">
      <c r="O776" s="13"/>
      <c r="P776" s="13"/>
      <c r="Q776" s="13"/>
      <c r="R776" s="13"/>
    </row>
    <row r="777" spans="15:18" ht="15.75" customHeight="1" x14ac:dyDescent="0.25">
      <c r="O777" s="13"/>
      <c r="P777" s="13"/>
      <c r="Q777" s="13"/>
      <c r="R777" s="13"/>
    </row>
    <row r="778" spans="15:18" ht="15.75" customHeight="1" x14ac:dyDescent="0.25">
      <c r="O778" s="13"/>
      <c r="P778" s="13"/>
      <c r="Q778" s="13"/>
      <c r="R778" s="13"/>
    </row>
    <row r="779" spans="15:18" ht="15.75" customHeight="1" x14ac:dyDescent="0.25">
      <c r="O779" s="13"/>
      <c r="P779" s="13"/>
      <c r="Q779" s="13"/>
      <c r="R779" s="13"/>
    </row>
    <row r="780" spans="15:18" ht="15.75" customHeight="1" x14ac:dyDescent="0.25">
      <c r="O780" s="13"/>
      <c r="P780" s="13"/>
      <c r="Q780" s="13"/>
      <c r="R780" s="13"/>
    </row>
    <row r="781" spans="15:18" ht="15.75" customHeight="1" x14ac:dyDescent="0.25">
      <c r="O781" s="13"/>
      <c r="P781" s="13"/>
      <c r="Q781" s="13"/>
      <c r="R781" s="13"/>
    </row>
    <row r="782" spans="15:18" ht="15.75" customHeight="1" x14ac:dyDescent="0.25">
      <c r="O782" s="13"/>
      <c r="P782" s="13"/>
      <c r="Q782" s="13"/>
      <c r="R782" s="13"/>
    </row>
    <row r="783" spans="15:18" ht="15.75" customHeight="1" x14ac:dyDescent="0.25">
      <c r="O783" s="13"/>
      <c r="P783" s="13"/>
      <c r="Q783" s="13"/>
      <c r="R783" s="13"/>
    </row>
    <row r="784" spans="15:18" ht="15.75" customHeight="1" x14ac:dyDescent="0.25">
      <c r="O784" s="13"/>
      <c r="P784" s="13"/>
      <c r="Q784" s="13"/>
      <c r="R784" s="13"/>
    </row>
    <row r="785" spans="15:18" ht="15.75" customHeight="1" x14ac:dyDescent="0.25">
      <c r="O785" s="13"/>
      <c r="P785" s="13"/>
      <c r="Q785" s="13"/>
      <c r="R785" s="13"/>
    </row>
    <row r="786" spans="15:18" ht="15.75" customHeight="1" x14ac:dyDescent="0.25">
      <c r="O786" s="13"/>
      <c r="P786" s="13"/>
      <c r="Q786" s="13"/>
      <c r="R786" s="13"/>
    </row>
    <row r="787" spans="15:18" ht="15.75" customHeight="1" x14ac:dyDescent="0.25">
      <c r="O787" s="13"/>
      <c r="P787" s="13"/>
      <c r="Q787" s="13"/>
      <c r="R787" s="13"/>
    </row>
    <row r="788" spans="15:18" ht="15.75" customHeight="1" x14ac:dyDescent="0.25">
      <c r="O788" s="13"/>
      <c r="P788" s="13"/>
      <c r="Q788" s="13"/>
      <c r="R788" s="13"/>
    </row>
    <row r="789" spans="15:18" ht="15.75" customHeight="1" x14ac:dyDescent="0.25">
      <c r="O789" s="13"/>
      <c r="P789" s="13"/>
      <c r="Q789" s="13"/>
      <c r="R789" s="13"/>
    </row>
    <row r="790" spans="15:18" ht="15.75" customHeight="1" x14ac:dyDescent="0.25">
      <c r="O790" s="13"/>
      <c r="P790" s="13"/>
      <c r="Q790" s="13"/>
      <c r="R790" s="13"/>
    </row>
    <row r="791" spans="15:18" ht="15.75" customHeight="1" x14ac:dyDescent="0.25">
      <c r="O791" s="13"/>
      <c r="P791" s="13"/>
      <c r="Q791" s="13"/>
      <c r="R791" s="13"/>
    </row>
    <row r="792" spans="15:18" ht="15.75" customHeight="1" x14ac:dyDescent="0.25">
      <c r="O792" s="13"/>
      <c r="P792" s="13"/>
      <c r="Q792" s="13"/>
      <c r="R792" s="13"/>
    </row>
    <row r="793" spans="15:18" ht="15.75" customHeight="1" x14ac:dyDescent="0.25">
      <c r="O793" s="13"/>
      <c r="P793" s="13"/>
      <c r="Q793" s="13"/>
      <c r="R793" s="13"/>
    </row>
    <row r="794" spans="15:18" ht="15.75" customHeight="1" x14ac:dyDescent="0.25">
      <c r="O794" s="13"/>
      <c r="P794" s="13"/>
      <c r="Q794" s="13"/>
      <c r="R794" s="13"/>
    </row>
    <row r="795" spans="15:18" ht="15.75" customHeight="1" x14ac:dyDescent="0.25">
      <c r="O795" s="13"/>
      <c r="P795" s="13"/>
      <c r="Q795" s="13"/>
      <c r="R795" s="13"/>
    </row>
    <row r="796" spans="15:18" ht="15.75" customHeight="1" x14ac:dyDescent="0.25">
      <c r="O796" s="13"/>
      <c r="P796" s="13"/>
      <c r="Q796" s="13"/>
      <c r="R796" s="13"/>
    </row>
    <row r="797" spans="15:18" ht="15.75" customHeight="1" x14ac:dyDescent="0.25">
      <c r="O797" s="13"/>
      <c r="P797" s="13"/>
      <c r="Q797" s="13"/>
      <c r="R797" s="13"/>
    </row>
    <row r="798" spans="15:18" ht="15.75" customHeight="1" x14ac:dyDescent="0.25">
      <c r="O798" s="13"/>
      <c r="P798" s="13"/>
      <c r="Q798" s="13"/>
      <c r="R798" s="13"/>
    </row>
    <row r="799" spans="15:18" ht="15.75" customHeight="1" x14ac:dyDescent="0.25">
      <c r="O799" s="13"/>
      <c r="P799" s="13"/>
      <c r="Q799" s="13"/>
      <c r="R799" s="13"/>
    </row>
    <row r="800" spans="15:18" ht="15.75" customHeight="1" x14ac:dyDescent="0.25">
      <c r="O800" s="13"/>
      <c r="P800" s="13"/>
      <c r="Q800" s="13"/>
      <c r="R800" s="13"/>
    </row>
    <row r="801" spans="15:18" ht="15.75" customHeight="1" x14ac:dyDescent="0.25">
      <c r="O801" s="13"/>
      <c r="P801" s="13"/>
      <c r="Q801" s="13"/>
      <c r="R801" s="13"/>
    </row>
    <row r="802" spans="15:18" ht="15.75" customHeight="1" x14ac:dyDescent="0.25">
      <c r="O802" s="13"/>
      <c r="P802" s="13"/>
      <c r="Q802" s="13"/>
      <c r="R802" s="13"/>
    </row>
    <row r="803" spans="15:18" ht="15.75" customHeight="1" x14ac:dyDescent="0.25">
      <c r="O803" s="13"/>
      <c r="P803" s="13"/>
      <c r="Q803" s="13"/>
      <c r="R803" s="13"/>
    </row>
    <row r="804" spans="15:18" ht="15.75" customHeight="1" x14ac:dyDescent="0.25">
      <c r="O804" s="13"/>
      <c r="P804" s="13"/>
      <c r="Q804" s="13"/>
      <c r="R804" s="13"/>
    </row>
    <row r="805" spans="15:18" ht="15.75" customHeight="1" x14ac:dyDescent="0.25">
      <c r="O805" s="13"/>
      <c r="P805" s="13"/>
      <c r="Q805" s="13"/>
      <c r="R805" s="13"/>
    </row>
    <row r="806" spans="15:18" ht="15.75" customHeight="1" x14ac:dyDescent="0.25">
      <c r="O806" s="13"/>
      <c r="P806" s="13"/>
      <c r="Q806" s="13"/>
      <c r="R806" s="13"/>
    </row>
    <row r="807" spans="15:18" ht="15.75" customHeight="1" x14ac:dyDescent="0.25">
      <c r="O807" s="13"/>
      <c r="P807" s="13"/>
      <c r="Q807" s="13"/>
      <c r="R807" s="13"/>
    </row>
    <row r="808" spans="15:18" ht="15.75" customHeight="1" x14ac:dyDescent="0.25">
      <c r="O808" s="13"/>
      <c r="P808" s="13"/>
      <c r="Q808" s="13"/>
      <c r="R808" s="13"/>
    </row>
    <row r="809" spans="15:18" ht="15.75" customHeight="1" x14ac:dyDescent="0.25">
      <c r="O809" s="13"/>
      <c r="P809" s="13"/>
      <c r="Q809" s="13"/>
      <c r="R809" s="13"/>
    </row>
    <row r="810" spans="15:18" ht="15.75" customHeight="1" x14ac:dyDescent="0.25">
      <c r="O810" s="13"/>
      <c r="P810" s="13"/>
      <c r="Q810" s="13"/>
      <c r="R810" s="13"/>
    </row>
    <row r="811" spans="15:18" ht="15.75" customHeight="1" x14ac:dyDescent="0.25">
      <c r="O811" s="13"/>
      <c r="P811" s="13"/>
      <c r="Q811" s="13"/>
      <c r="R811" s="13"/>
    </row>
    <row r="812" spans="15:18" ht="15.75" customHeight="1" x14ac:dyDescent="0.25">
      <c r="O812" s="13"/>
      <c r="P812" s="13"/>
      <c r="Q812" s="13"/>
      <c r="R812" s="13"/>
    </row>
    <row r="813" spans="15:18" ht="15.75" customHeight="1" x14ac:dyDescent="0.25">
      <c r="O813" s="13"/>
      <c r="P813" s="13"/>
      <c r="Q813" s="13"/>
      <c r="R813" s="13"/>
    </row>
    <row r="814" spans="15:18" ht="15.75" customHeight="1" x14ac:dyDescent="0.25">
      <c r="O814" s="13"/>
      <c r="P814" s="13"/>
      <c r="Q814" s="13"/>
      <c r="R814" s="13"/>
    </row>
    <row r="815" spans="15:18" ht="15.75" customHeight="1" x14ac:dyDescent="0.25">
      <c r="O815" s="13"/>
      <c r="P815" s="13"/>
      <c r="Q815" s="13"/>
      <c r="R815" s="13"/>
    </row>
    <row r="816" spans="15:18" ht="15.75" customHeight="1" x14ac:dyDescent="0.25">
      <c r="O816" s="13"/>
      <c r="P816" s="13"/>
      <c r="Q816" s="13"/>
      <c r="R816" s="13"/>
    </row>
    <row r="817" spans="15:18" ht="15.75" customHeight="1" x14ac:dyDescent="0.25">
      <c r="O817" s="13"/>
      <c r="P817" s="13"/>
      <c r="Q817" s="13"/>
      <c r="R817" s="13"/>
    </row>
    <row r="818" spans="15:18" ht="15.75" customHeight="1" x14ac:dyDescent="0.25">
      <c r="O818" s="13"/>
      <c r="P818" s="13"/>
      <c r="Q818" s="13"/>
      <c r="R818" s="13"/>
    </row>
    <row r="819" spans="15:18" ht="15.75" customHeight="1" x14ac:dyDescent="0.25">
      <c r="O819" s="13"/>
      <c r="P819" s="13"/>
      <c r="Q819" s="13"/>
      <c r="R819" s="13"/>
    </row>
    <row r="820" spans="15:18" ht="15.75" customHeight="1" x14ac:dyDescent="0.25">
      <c r="O820" s="13"/>
      <c r="P820" s="13"/>
      <c r="Q820" s="13"/>
      <c r="R820" s="13"/>
    </row>
    <row r="821" spans="15:18" ht="15.75" customHeight="1" x14ac:dyDescent="0.25">
      <c r="O821" s="13"/>
      <c r="P821" s="13"/>
      <c r="Q821" s="13"/>
      <c r="R821" s="13"/>
    </row>
    <row r="822" spans="15:18" ht="15.75" customHeight="1" x14ac:dyDescent="0.25">
      <c r="O822" s="13"/>
      <c r="P822" s="13"/>
      <c r="Q822" s="13"/>
      <c r="R822" s="13"/>
    </row>
    <row r="823" spans="15:18" ht="15.75" customHeight="1" x14ac:dyDescent="0.25">
      <c r="O823" s="13"/>
      <c r="P823" s="13"/>
      <c r="Q823" s="13"/>
      <c r="R823" s="13"/>
    </row>
    <row r="824" spans="15:18" ht="15.75" customHeight="1" x14ac:dyDescent="0.25">
      <c r="O824" s="13"/>
      <c r="P824" s="13"/>
      <c r="Q824" s="13"/>
      <c r="R824" s="13"/>
    </row>
    <row r="825" spans="15:18" ht="15.75" customHeight="1" x14ac:dyDescent="0.25">
      <c r="O825" s="13"/>
      <c r="P825" s="13"/>
      <c r="Q825" s="13"/>
      <c r="R825" s="13"/>
    </row>
    <row r="826" spans="15:18" ht="15.75" customHeight="1" x14ac:dyDescent="0.25">
      <c r="O826" s="13"/>
      <c r="P826" s="13"/>
      <c r="Q826" s="13"/>
      <c r="R826" s="13"/>
    </row>
    <row r="827" spans="15:18" ht="15.75" customHeight="1" x14ac:dyDescent="0.25">
      <c r="O827" s="13"/>
      <c r="P827" s="13"/>
      <c r="Q827" s="13"/>
      <c r="R827" s="13"/>
    </row>
    <row r="828" spans="15:18" ht="15.75" customHeight="1" x14ac:dyDescent="0.25">
      <c r="O828" s="13"/>
      <c r="P828" s="13"/>
      <c r="Q828" s="13"/>
      <c r="R828" s="13"/>
    </row>
    <row r="829" spans="15:18" ht="15.75" customHeight="1" x14ac:dyDescent="0.25">
      <c r="O829" s="13"/>
      <c r="P829" s="13"/>
      <c r="Q829" s="13"/>
      <c r="R829" s="13"/>
    </row>
    <row r="830" spans="15:18" ht="15.75" customHeight="1" x14ac:dyDescent="0.25">
      <c r="O830" s="13"/>
      <c r="P830" s="13"/>
      <c r="Q830" s="13"/>
      <c r="R830" s="13"/>
    </row>
    <row r="831" spans="15:18" ht="15.75" customHeight="1" x14ac:dyDescent="0.25">
      <c r="O831" s="13"/>
      <c r="P831" s="13"/>
      <c r="Q831" s="13"/>
      <c r="R831" s="13"/>
    </row>
    <row r="832" spans="15:18" ht="15.75" customHeight="1" x14ac:dyDescent="0.25">
      <c r="O832" s="13"/>
      <c r="P832" s="13"/>
      <c r="Q832" s="13"/>
      <c r="R832" s="13"/>
    </row>
    <row r="833" spans="15:18" ht="15.75" customHeight="1" x14ac:dyDescent="0.25">
      <c r="O833" s="13"/>
      <c r="P833" s="13"/>
      <c r="Q833" s="13"/>
      <c r="R833" s="13"/>
    </row>
    <row r="834" spans="15:18" ht="15.75" customHeight="1" x14ac:dyDescent="0.25">
      <c r="O834" s="13"/>
      <c r="P834" s="13"/>
      <c r="Q834" s="13"/>
      <c r="R834" s="13"/>
    </row>
    <row r="835" spans="15:18" ht="15.75" customHeight="1" x14ac:dyDescent="0.25">
      <c r="O835" s="13"/>
      <c r="P835" s="13"/>
      <c r="Q835" s="13"/>
      <c r="R835" s="13"/>
    </row>
    <row r="836" spans="15:18" ht="15.75" customHeight="1" x14ac:dyDescent="0.25">
      <c r="O836" s="13"/>
      <c r="P836" s="13"/>
      <c r="Q836" s="13"/>
      <c r="R836" s="13"/>
    </row>
    <row r="837" spans="15:18" ht="15.75" customHeight="1" x14ac:dyDescent="0.25">
      <c r="O837" s="13"/>
      <c r="P837" s="13"/>
      <c r="Q837" s="13"/>
      <c r="R837" s="13"/>
    </row>
    <row r="838" spans="15:18" ht="15.75" customHeight="1" x14ac:dyDescent="0.25">
      <c r="O838" s="13"/>
      <c r="P838" s="13"/>
      <c r="Q838" s="13"/>
      <c r="R838" s="13"/>
    </row>
    <row r="839" spans="15:18" ht="15.75" customHeight="1" x14ac:dyDescent="0.25">
      <c r="O839" s="13"/>
      <c r="P839" s="13"/>
      <c r="Q839" s="13"/>
      <c r="R839" s="13"/>
    </row>
    <row r="840" spans="15:18" ht="15.75" customHeight="1" x14ac:dyDescent="0.25">
      <c r="O840" s="13"/>
      <c r="P840" s="13"/>
      <c r="Q840" s="13"/>
      <c r="R840" s="13"/>
    </row>
    <row r="841" spans="15:18" ht="15.75" customHeight="1" x14ac:dyDescent="0.25">
      <c r="O841" s="13"/>
      <c r="P841" s="13"/>
      <c r="Q841" s="13"/>
      <c r="R841" s="13"/>
    </row>
    <row r="842" spans="15:18" ht="15.75" customHeight="1" x14ac:dyDescent="0.25">
      <c r="O842" s="13"/>
      <c r="P842" s="13"/>
      <c r="Q842" s="13"/>
      <c r="R842" s="13"/>
    </row>
    <row r="843" spans="15:18" ht="15.75" customHeight="1" x14ac:dyDescent="0.25">
      <c r="O843" s="13"/>
      <c r="P843" s="13"/>
      <c r="Q843" s="13"/>
      <c r="R843" s="13"/>
    </row>
    <row r="844" spans="15:18" ht="15.75" customHeight="1" x14ac:dyDescent="0.25">
      <c r="O844" s="13"/>
      <c r="P844" s="13"/>
      <c r="Q844" s="13"/>
      <c r="R844" s="13"/>
    </row>
    <row r="845" spans="15:18" ht="15.75" customHeight="1" x14ac:dyDescent="0.25">
      <c r="O845" s="13"/>
      <c r="P845" s="13"/>
      <c r="Q845" s="13"/>
      <c r="R845" s="13"/>
    </row>
    <row r="846" spans="15:18" ht="15.75" customHeight="1" x14ac:dyDescent="0.25">
      <c r="O846" s="13"/>
      <c r="P846" s="13"/>
      <c r="Q846" s="13"/>
      <c r="R846" s="13"/>
    </row>
    <row r="847" spans="15:18" ht="15.75" customHeight="1" x14ac:dyDescent="0.25">
      <c r="O847" s="13"/>
      <c r="P847" s="13"/>
      <c r="Q847" s="13"/>
      <c r="R847" s="13"/>
    </row>
    <row r="848" spans="15:18" ht="15.75" customHeight="1" x14ac:dyDescent="0.25">
      <c r="O848" s="13"/>
      <c r="P848" s="13"/>
      <c r="Q848" s="13"/>
      <c r="R848" s="13"/>
    </row>
    <row r="849" spans="15:18" ht="15.75" customHeight="1" x14ac:dyDescent="0.25">
      <c r="O849" s="13"/>
      <c r="P849" s="13"/>
      <c r="Q849" s="13"/>
      <c r="R849" s="13"/>
    </row>
    <row r="850" spans="15:18" ht="15.75" customHeight="1" x14ac:dyDescent="0.25">
      <c r="O850" s="13"/>
      <c r="P850" s="13"/>
      <c r="Q850" s="13"/>
      <c r="R850" s="13"/>
    </row>
    <row r="851" spans="15:18" ht="15.75" customHeight="1" x14ac:dyDescent="0.25">
      <c r="O851" s="13"/>
      <c r="P851" s="13"/>
      <c r="Q851" s="13"/>
      <c r="R851" s="13"/>
    </row>
    <row r="852" spans="15:18" ht="15.75" customHeight="1" x14ac:dyDescent="0.25">
      <c r="O852" s="13"/>
      <c r="P852" s="13"/>
      <c r="Q852" s="13"/>
      <c r="R852" s="13"/>
    </row>
    <row r="853" spans="15:18" ht="15.75" customHeight="1" x14ac:dyDescent="0.25">
      <c r="O853" s="13"/>
      <c r="P853" s="13"/>
      <c r="Q853" s="13"/>
      <c r="R853" s="13"/>
    </row>
    <row r="854" spans="15:18" ht="15.75" customHeight="1" x14ac:dyDescent="0.25">
      <c r="O854" s="13"/>
      <c r="P854" s="13"/>
      <c r="Q854" s="13"/>
      <c r="R854" s="13"/>
    </row>
    <row r="855" spans="15:18" ht="15.75" customHeight="1" x14ac:dyDescent="0.25">
      <c r="O855" s="13"/>
      <c r="P855" s="13"/>
      <c r="Q855" s="13"/>
      <c r="R855" s="13"/>
    </row>
    <row r="856" spans="15:18" ht="15.75" customHeight="1" x14ac:dyDescent="0.25">
      <c r="O856" s="13"/>
      <c r="P856" s="13"/>
      <c r="Q856" s="13"/>
      <c r="R856" s="13"/>
    </row>
    <row r="857" spans="15:18" ht="15.75" customHeight="1" x14ac:dyDescent="0.25">
      <c r="O857" s="13"/>
      <c r="P857" s="13"/>
      <c r="Q857" s="13"/>
      <c r="R857" s="13"/>
    </row>
    <row r="858" spans="15:18" ht="15.75" customHeight="1" x14ac:dyDescent="0.25">
      <c r="O858" s="13"/>
      <c r="P858" s="13"/>
      <c r="Q858" s="13"/>
      <c r="R858" s="13"/>
    </row>
    <row r="859" spans="15:18" ht="15.75" customHeight="1" x14ac:dyDescent="0.25">
      <c r="O859" s="13"/>
      <c r="P859" s="13"/>
      <c r="Q859" s="13"/>
      <c r="R859" s="13"/>
    </row>
    <row r="860" spans="15:18" ht="15.75" customHeight="1" x14ac:dyDescent="0.25">
      <c r="O860" s="13"/>
      <c r="P860" s="13"/>
      <c r="Q860" s="13"/>
      <c r="R860" s="13"/>
    </row>
    <row r="861" spans="15:18" ht="15.75" customHeight="1" x14ac:dyDescent="0.25">
      <c r="O861" s="13"/>
      <c r="P861" s="13"/>
      <c r="Q861" s="13"/>
      <c r="R861" s="13"/>
    </row>
    <row r="862" spans="15:18" ht="15.75" customHeight="1" x14ac:dyDescent="0.25">
      <c r="O862" s="13"/>
      <c r="P862" s="13"/>
      <c r="Q862" s="13"/>
      <c r="R862" s="13"/>
    </row>
    <row r="863" spans="15:18" ht="15.75" customHeight="1" x14ac:dyDescent="0.25">
      <c r="O863" s="13"/>
      <c r="P863" s="13"/>
      <c r="Q863" s="13"/>
      <c r="R863" s="13"/>
    </row>
    <row r="864" spans="15:18" ht="15.75" customHeight="1" x14ac:dyDescent="0.25">
      <c r="O864" s="13"/>
      <c r="P864" s="13"/>
      <c r="Q864" s="13"/>
      <c r="R864" s="13"/>
    </row>
    <row r="865" spans="15:18" ht="15.75" customHeight="1" x14ac:dyDescent="0.25">
      <c r="O865" s="13"/>
      <c r="P865" s="13"/>
      <c r="Q865" s="13"/>
      <c r="R865" s="13"/>
    </row>
    <row r="866" spans="15:18" ht="15.75" customHeight="1" x14ac:dyDescent="0.25">
      <c r="O866" s="13"/>
      <c r="P866" s="13"/>
      <c r="Q866" s="13"/>
      <c r="R866" s="13"/>
    </row>
    <row r="867" spans="15:18" ht="15.75" customHeight="1" x14ac:dyDescent="0.25">
      <c r="O867" s="13"/>
      <c r="P867" s="13"/>
      <c r="Q867" s="13"/>
      <c r="R867" s="13"/>
    </row>
    <row r="868" spans="15:18" ht="15.75" customHeight="1" x14ac:dyDescent="0.25">
      <c r="O868" s="13"/>
      <c r="P868" s="13"/>
      <c r="Q868" s="13"/>
      <c r="R868" s="13"/>
    </row>
    <row r="869" spans="15:18" ht="15.75" customHeight="1" x14ac:dyDescent="0.25">
      <c r="O869" s="13"/>
      <c r="P869" s="13"/>
      <c r="Q869" s="13"/>
      <c r="R869" s="13"/>
    </row>
    <row r="870" spans="15:18" ht="15.75" customHeight="1" x14ac:dyDescent="0.25">
      <c r="O870" s="13"/>
      <c r="P870" s="13"/>
      <c r="Q870" s="13"/>
      <c r="R870" s="13"/>
    </row>
    <row r="871" spans="15:18" ht="15.75" customHeight="1" x14ac:dyDescent="0.25">
      <c r="O871" s="13"/>
      <c r="P871" s="13"/>
      <c r="Q871" s="13"/>
      <c r="R871" s="13"/>
    </row>
    <row r="872" spans="15:18" ht="15.75" customHeight="1" x14ac:dyDescent="0.25">
      <c r="O872" s="13"/>
      <c r="P872" s="13"/>
      <c r="Q872" s="13"/>
      <c r="R872" s="13"/>
    </row>
    <row r="873" spans="15:18" ht="15.75" customHeight="1" x14ac:dyDescent="0.25">
      <c r="O873" s="13"/>
      <c r="P873" s="13"/>
      <c r="Q873" s="13"/>
      <c r="R873" s="13"/>
    </row>
    <row r="874" spans="15:18" ht="15.75" customHeight="1" x14ac:dyDescent="0.25">
      <c r="O874" s="13"/>
      <c r="P874" s="13"/>
      <c r="Q874" s="13"/>
      <c r="R874" s="13"/>
    </row>
    <row r="875" spans="15:18" ht="15.75" customHeight="1" x14ac:dyDescent="0.25">
      <c r="O875" s="13"/>
      <c r="P875" s="13"/>
      <c r="Q875" s="13"/>
      <c r="R875" s="13"/>
    </row>
    <row r="876" spans="15:18" ht="15.75" customHeight="1" x14ac:dyDescent="0.25">
      <c r="O876" s="13"/>
      <c r="P876" s="13"/>
      <c r="Q876" s="13"/>
      <c r="R876" s="13"/>
    </row>
    <row r="877" spans="15:18" ht="15.75" customHeight="1" x14ac:dyDescent="0.25">
      <c r="O877" s="13"/>
      <c r="P877" s="13"/>
      <c r="Q877" s="13"/>
      <c r="R877" s="13"/>
    </row>
    <row r="878" spans="15:18" ht="15.75" customHeight="1" x14ac:dyDescent="0.25">
      <c r="O878" s="13"/>
      <c r="P878" s="13"/>
      <c r="Q878" s="13"/>
      <c r="R878" s="13"/>
    </row>
    <row r="879" spans="15:18" ht="15.75" customHeight="1" x14ac:dyDescent="0.25">
      <c r="O879" s="13"/>
      <c r="P879" s="13"/>
      <c r="Q879" s="13"/>
      <c r="R879" s="13"/>
    </row>
    <row r="880" spans="15:18" ht="15.75" customHeight="1" x14ac:dyDescent="0.25">
      <c r="O880" s="13"/>
      <c r="P880" s="13"/>
      <c r="Q880" s="13"/>
      <c r="R880" s="13"/>
    </row>
    <row r="881" spans="15:18" ht="15.75" customHeight="1" x14ac:dyDescent="0.25">
      <c r="O881" s="13"/>
      <c r="P881" s="13"/>
      <c r="Q881" s="13"/>
      <c r="R881" s="13"/>
    </row>
    <row r="882" spans="15:18" ht="15.75" customHeight="1" x14ac:dyDescent="0.25">
      <c r="O882" s="13"/>
      <c r="P882" s="13"/>
      <c r="Q882" s="13"/>
      <c r="R882" s="13"/>
    </row>
    <row r="883" spans="15:18" ht="15.75" customHeight="1" x14ac:dyDescent="0.25">
      <c r="O883" s="13"/>
      <c r="P883" s="13"/>
      <c r="Q883" s="13"/>
      <c r="R883" s="13"/>
    </row>
    <row r="884" spans="15:18" ht="15.75" customHeight="1" x14ac:dyDescent="0.25">
      <c r="O884" s="13"/>
      <c r="P884" s="13"/>
      <c r="Q884" s="13"/>
      <c r="R884" s="13"/>
    </row>
    <row r="885" spans="15:18" ht="15.75" customHeight="1" x14ac:dyDescent="0.25">
      <c r="O885" s="13"/>
      <c r="P885" s="13"/>
      <c r="Q885" s="13"/>
      <c r="R885" s="13"/>
    </row>
    <row r="886" spans="15:18" ht="15.75" customHeight="1" x14ac:dyDescent="0.25">
      <c r="O886" s="13"/>
      <c r="P886" s="13"/>
      <c r="Q886" s="13"/>
      <c r="R886" s="13"/>
    </row>
    <row r="887" spans="15:18" ht="15.75" customHeight="1" x14ac:dyDescent="0.25">
      <c r="O887" s="13"/>
      <c r="P887" s="13"/>
      <c r="Q887" s="13"/>
      <c r="R887" s="13"/>
    </row>
    <row r="888" spans="15:18" ht="15.75" customHeight="1" x14ac:dyDescent="0.25">
      <c r="O888" s="13"/>
      <c r="P888" s="13"/>
      <c r="Q888" s="13"/>
      <c r="R888" s="13"/>
    </row>
    <row r="889" spans="15:18" ht="15.75" customHeight="1" x14ac:dyDescent="0.25">
      <c r="O889" s="13"/>
      <c r="P889" s="13"/>
      <c r="Q889" s="13"/>
      <c r="R889" s="13"/>
    </row>
    <row r="890" spans="15:18" ht="15.75" customHeight="1" x14ac:dyDescent="0.25">
      <c r="O890" s="13"/>
      <c r="P890" s="13"/>
      <c r="Q890" s="13"/>
      <c r="R890" s="13"/>
    </row>
    <row r="891" spans="15:18" ht="15.75" customHeight="1" x14ac:dyDescent="0.25">
      <c r="O891" s="13"/>
      <c r="P891" s="13"/>
      <c r="Q891" s="13"/>
      <c r="R891" s="13"/>
    </row>
    <row r="892" spans="15:18" ht="15.75" customHeight="1" x14ac:dyDescent="0.25">
      <c r="O892" s="13"/>
      <c r="P892" s="13"/>
      <c r="Q892" s="13"/>
      <c r="R892" s="13"/>
    </row>
    <row r="893" spans="15:18" ht="15.75" customHeight="1" x14ac:dyDescent="0.25">
      <c r="O893" s="13"/>
      <c r="P893" s="13"/>
      <c r="Q893" s="13"/>
      <c r="R893" s="13"/>
    </row>
    <row r="894" spans="15:18" ht="15.75" customHeight="1" x14ac:dyDescent="0.25">
      <c r="O894" s="13"/>
      <c r="P894" s="13"/>
      <c r="Q894" s="13"/>
      <c r="R894" s="13"/>
    </row>
    <row r="895" spans="15:18" ht="15.75" customHeight="1" x14ac:dyDescent="0.25">
      <c r="O895" s="13"/>
      <c r="P895" s="13"/>
      <c r="Q895" s="13"/>
      <c r="R895" s="13"/>
    </row>
    <row r="896" spans="15:18" ht="15.75" customHeight="1" x14ac:dyDescent="0.25">
      <c r="O896" s="13"/>
      <c r="P896" s="13"/>
      <c r="Q896" s="13"/>
      <c r="R896" s="13"/>
    </row>
    <row r="897" spans="15:18" ht="15.75" customHeight="1" x14ac:dyDescent="0.25">
      <c r="O897" s="13"/>
      <c r="P897" s="13"/>
      <c r="Q897" s="13"/>
      <c r="R897" s="13"/>
    </row>
    <row r="898" spans="15:18" ht="15.75" customHeight="1" x14ac:dyDescent="0.25">
      <c r="O898" s="13"/>
      <c r="P898" s="13"/>
      <c r="Q898" s="13"/>
      <c r="R898" s="13"/>
    </row>
    <row r="899" spans="15:18" ht="15.75" customHeight="1" x14ac:dyDescent="0.25">
      <c r="O899" s="13"/>
      <c r="P899" s="13"/>
      <c r="Q899" s="13"/>
      <c r="R899" s="13"/>
    </row>
    <row r="900" spans="15:18" ht="15.75" customHeight="1" x14ac:dyDescent="0.25">
      <c r="O900" s="13"/>
      <c r="P900" s="13"/>
      <c r="Q900" s="13"/>
      <c r="R900" s="13"/>
    </row>
    <row r="901" spans="15:18" ht="15.75" customHeight="1" x14ac:dyDescent="0.25">
      <c r="O901" s="13"/>
      <c r="P901" s="13"/>
      <c r="Q901" s="13"/>
      <c r="R901" s="13"/>
    </row>
    <row r="902" spans="15:18" ht="15.75" customHeight="1" x14ac:dyDescent="0.25">
      <c r="O902" s="13"/>
      <c r="P902" s="13"/>
      <c r="Q902" s="13"/>
      <c r="R902" s="13"/>
    </row>
    <row r="903" spans="15:18" ht="15.75" customHeight="1" x14ac:dyDescent="0.25">
      <c r="O903" s="13"/>
      <c r="P903" s="13"/>
      <c r="Q903" s="13"/>
      <c r="R903" s="13"/>
    </row>
    <row r="904" spans="15:18" ht="15.75" customHeight="1" x14ac:dyDescent="0.25">
      <c r="O904" s="13"/>
      <c r="P904" s="13"/>
      <c r="Q904" s="13"/>
      <c r="R904" s="13"/>
    </row>
    <row r="905" spans="15:18" ht="15.75" customHeight="1" x14ac:dyDescent="0.25">
      <c r="O905" s="13"/>
      <c r="P905" s="13"/>
      <c r="Q905" s="13"/>
      <c r="R905" s="13"/>
    </row>
    <row r="906" spans="15:18" ht="15.75" customHeight="1" x14ac:dyDescent="0.25">
      <c r="O906" s="13"/>
      <c r="P906" s="13"/>
      <c r="Q906" s="13"/>
      <c r="R906" s="13"/>
    </row>
    <row r="907" spans="15:18" ht="15.75" customHeight="1" x14ac:dyDescent="0.25">
      <c r="O907" s="13"/>
      <c r="P907" s="13"/>
      <c r="Q907" s="13"/>
      <c r="R907" s="13"/>
    </row>
    <row r="908" spans="15:18" ht="15.75" customHeight="1" x14ac:dyDescent="0.25">
      <c r="O908" s="13"/>
      <c r="P908" s="13"/>
      <c r="Q908" s="13"/>
      <c r="R908" s="13"/>
    </row>
    <row r="909" spans="15:18" ht="15.75" customHeight="1" x14ac:dyDescent="0.25">
      <c r="O909" s="13"/>
      <c r="P909" s="13"/>
      <c r="Q909" s="13"/>
      <c r="R909" s="13"/>
    </row>
    <row r="910" spans="15:18" ht="15.75" customHeight="1" x14ac:dyDescent="0.25">
      <c r="O910" s="13"/>
      <c r="P910" s="13"/>
      <c r="Q910" s="13"/>
      <c r="R910" s="13"/>
    </row>
    <row r="911" spans="15:18" ht="15.75" customHeight="1" x14ac:dyDescent="0.25">
      <c r="O911" s="13"/>
      <c r="P911" s="13"/>
      <c r="Q911" s="13"/>
      <c r="R911" s="13"/>
    </row>
    <row r="912" spans="15:18" ht="15.75" customHeight="1" x14ac:dyDescent="0.25">
      <c r="O912" s="13"/>
      <c r="P912" s="13"/>
      <c r="Q912" s="13"/>
      <c r="R912" s="13"/>
    </row>
    <row r="913" spans="15:18" ht="15.75" customHeight="1" x14ac:dyDescent="0.25">
      <c r="O913" s="13"/>
      <c r="P913" s="13"/>
      <c r="Q913" s="13"/>
      <c r="R913" s="13"/>
    </row>
    <row r="914" spans="15:18" ht="15.75" customHeight="1" x14ac:dyDescent="0.25">
      <c r="O914" s="13"/>
      <c r="P914" s="13"/>
      <c r="Q914" s="13"/>
      <c r="R914" s="13"/>
    </row>
    <row r="915" spans="15:18" ht="15.75" customHeight="1" x14ac:dyDescent="0.25">
      <c r="O915" s="13"/>
      <c r="P915" s="13"/>
      <c r="Q915" s="13"/>
      <c r="R915" s="13"/>
    </row>
    <row r="916" spans="15:18" ht="15.75" customHeight="1" x14ac:dyDescent="0.25">
      <c r="O916" s="13"/>
      <c r="P916" s="13"/>
      <c r="Q916" s="13"/>
      <c r="R916" s="13"/>
    </row>
    <row r="917" spans="15:18" ht="15.75" customHeight="1" x14ac:dyDescent="0.25">
      <c r="O917" s="13"/>
      <c r="P917" s="13"/>
      <c r="Q917" s="13"/>
      <c r="R917" s="13"/>
    </row>
    <row r="918" spans="15:18" ht="15.75" customHeight="1" x14ac:dyDescent="0.25">
      <c r="O918" s="13"/>
      <c r="P918" s="13"/>
      <c r="Q918" s="13"/>
      <c r="R918" s="13"/>
    </row>
    <row r="919" spans="15:18" ht="15.75" customHeight="1" x14ac:dyDescent="0.25">
      <c r="O919" s="13"/>
      <c r="P919" s="13"/>
      <c r="Q919" s="13"/>
      <c r="R919" s="13"/>
    </row>
    <row r="920" spans="15:18" ht="15.75" customHeight="1" x14ac:dyDescent="0.25">
      <c r="O920" s="13"/>
      <c r="P920" s="13"/>
      <c r="Q920" s="13"/>
      <c r="R920" s="13"/>
    </row>
    <row r="921" spans="15:18" ht="15.75" customHeight="1" x14ac:dyDescent="0.25">
      <c r="O921" s="13"/>
      <c r="P921" s="13"/>
      <c r="Q921" s="13"/>
      <c r="R921" s="13"/>
    </row>
    <row r="922" spans="15:18" ht="15.75" customHeight="1" x14ac:dyDescent="0.25">
      <c r="O922" s="13"/>
      <c r="P922" s="13"/>
      <c r="Q922" s="13"/>
      <c r="R922" s="13"/>
    </row>
    <row r="923" spans="15:18" ht="15.75" customHeight="1" x14ac:dyDescent="0.25">
      <c r="O923" s="13"/>
      <c r="P923" s="13"/>
      <c r="Q923" s="13"/>
      <c r="R923" s="13"/>
    </row>
    <row r="924" spans="15:18" ht="15.75" customHeight="1" x14ac:dyDescent="0.25">
      <c r="O924" s="13"/>
      <c r="P924" s="13"/>
      <c r="Q924" s="13"/>
      <c r="R924" s="13"/>
    </row>
    <row r="925" spans="15:18" ht="15.75" customHeight="1" x14ac:dyDescent="0.25">
      <c r="O925" s="13"/>
      <c r="P925" s="13"/>
      <c r="Q925" s="13"/>
      <c r="R925" s="13"/>
    </row>
    <row r="926" spans="15:18" ht="15.75" customHeight="1" x14ac:dyDescent="0.25">
      <c r="O926" s="13"/>
      <c r="P926" s="13"/>
      <c r="Q926" s="13"/>
      <c r="R926" s="13"/>
    </row>
    <row r="927" spans="15:18" ht="15.75" customHeight="1" x14ac:dyDescent="0.25">
      <c r="O927" s="13"/>
      <c r="P927" s="13"/>
      <c r="Q927" s="13"/>
      <c r="R927" s="13"/>
    </row>
    <row r="928" spans="15:18" ht="15.75" customHeight="1" x14ac:dyDescent="0.25">
      <c r="O928" s="13"/>
      <c r="P928" s="13"/>
      <c r="Q928" s="13"/>
      <c r="R928" s="13"/>
    </row>
    <row r="929" spans="15:18" ht="15.75" customHeight="1" x14ac:dyDescent="0.25">
      <c r="O929" s="13"/>
      <c r="P929" s="13"/>
      <c r="Q929" s="13"/>
      <c r="R929" s="13"/>
    </row>
    <row r="930" spans="15:18" ht="15.75" customHeight="1" x14ac:dyDescent="0.25">
      <c r="O930" s="13"/>
      <c r="P930" s="13"/>
      <c r="Q930" s="13"/>
      <c r="R930" s="13"/>
    </row>
    <row r="931" spans="15:18" ht="15.75" customHeight="1" x14ac:dyDescent="0.25">
      <c r="O931" s="13"/>
      <c r="P931" s="13"/>
      <c r="Q931" s="13"/>
      <c r="R931" s="13"/>
    </row>
    <row r="932" spans="15:18" ht="15.75" customHeight="1" x14ac:dyDescent="0.25">
      <c r="O932" s="13"/>
      <c r="P932" s="13"/>
      <c r="Q932" s="13"/>
      <c r="R932" s="13"/>
    </row>
    <row r="933" spans="15:18" ht="15.75" customHeight="1" x14ac:dyDescent="0.25">
      <c r="O933" s="13"/>
      <c r="P933" s="13"/>
      <c r="Q933" s="13"/>
      <c r="R933" s="13"/>
    </row>
    <row r="934" spans="15:18" ht="15.75" customHeight="1" x14ac:dyDescent="0.25">
      <c r="O934" s="13"/>
      <c r="P934" s="13"/>
      <c r="Q934" s="13"/>
      <c r="R934" s="13"/>
    </row>
    <row r="935" spans="15:18" ht="15.75" customHeight="1" x14ac:dyDescent="0.25">
      <c r="O935" s="13"/>
      <c r="P935" s="13"/>
      <c r="Q935" s="13"/>
      <c r="R935" s="13"/>
    </row>
    <row r="936" spans="15:18" ht="15.75" customHeight="1" x14ac:dyDescent="0.25">
      <c r="O936" s="13"/>
      <c r="P936" s="13"/>
      <c r="Q936" s="13"/>
      <c r="R936" s="13"/>
    </row>
    <row r="937" spans="15:18" ht="15.75" customHeight="1" x14ac:dyDescent="0.25">
      <c r="O937" s="13"/>
      <c r="P937" s="13"/>
      <c r="Q937" s="13"/>
      <c r="R937" s="13"/>
    </row>
    <row r="938" spans="15:18" ht="15.75" customHeight="1" x14ac:dyDescent="0.25">
      <c r="O938" s="13"/>
      <c r="P938" s="13"/>
      <c r="Q938" s="13"/>
      <c r="R938" s="13"/>
    </row>
    <row r="939" spans="15:18" ht="15.75" customHeight="1" x14ac:dyDescent="0.25">
      <c r="O939" s="13"/>
      <c r="P939" s="13"/>
      <c r="Q939" s="13"/>
      <c r="R939" s="13"/>
    </row>
    <row r="940" spans="15:18" ht="15.75" customHeight="1" x14ac:dyDescent="0.25">
      <c r="O940" s="13"/>
      <c r="P940" s="13"/>
      <c r="Q940" s="13"/>
      <c r="R940" s="13"/>
    </row>
    <row r="941" spans="15:18" ht="15.75" customHeight="1" x14ac:dyDescent="0.25">
      <c r="O941" s="13"/>
      <c r="P941" s="13"/>
      <c r="Q941" s="13"/>
      <c r="R941" s="13"/>
    </row>
    <row r="942" spans="15:18" ht="15.75" customHeight="1" x14ac:dyDescent="0.25">
      <c r="O942" s="13"/>
      <c r="P942" s="13"/>
      <c r="Q942" s="13"/>
      <c r="R942" s="13"/>
    </row>
    <row r="943" spans="15:18" ht="15.75" customHeight="1" x14ac:dyDescent="0.25">
      <c r="O943" s="13"/>
      <c r="P943" s="13"/>
      <c r="Q943" s="13"/>
      <c r="R943" s="13"/>
    </row>
    <row r="944" spans="15:18" ht="15.75" customHeight="1" x14ac:dyDescent="0.25">
      <c r="O944" s="13"/>
      <c r="P944" s="13"/>
      <c r="Q944" s="13"/>
      <c r="R944" s="13"/>
    </row>
    <row r="945" spans="15:18" ht="15.75" customHeight="1" x14ac:dyDescent="0.25">
      <c r="O945" s="13"/>
      <c r="P945" s="13"/>
      <c r="Q945" s="13"/>
      <c r="R945" s="13"/>
    </row>
    <row r="946" spans="15:18" ht="15.75" customHeight="1" x14ac:dyDescent="0.25">
      <c r="O946" s="13"/>
      <c r="P946" s="13"/>
      <c r="Q946" s="13"/>
      <c r="R946" s="13"/>
    </row>
    <row r="947" spans="15:18" ht="15.75" customHeight="1" x14ac:dyDescent="0.25">
      <c r="O947" s="13"/>
      <c r="P947" s="13"/>
      <c r="Q947" s="13"/>
      <c r="R947" s="13"/>
    </row>
    <row r="948" spans="15:18" ht="15.75" customHeight="1" x14ac:dyDescent="0.25">
      <c r="O948" s="13"/>
      <c r="P948" s="13"/>
      <c r="Q948" s="13"/>
      <c r="R948" s="13"/>
    </row>
    <row r="949" spans="15:18" ht="15.75" customHeight="1" x14ac:dyDescent="0.25">
      <c r="O949" s="13"/>
      <c r="P949" s="13"/>
      <c r="Q949" s="13"/>
      <c r="R949" s="13"/>
    </row>
    <row r="950" spans="15:18" ht="15.75" customHeight="1" x14ac:dyDescent="0.25">
      <c r="O950" s="13"/>
      <c r="P950" s="13"/>
      <c r="Q950" s="13"/>
      <c r="R950" s="13"/>
    </row>
    <row r="951" spans="15:18" ht="15.75" customHeight="1" x14ac:dyDescent="0.25">
      <c r="O951" s="13"/>
      <c r="P951" s="13"/>
      <c r="Q951" s="13"/>
      <c r="R951" s="13"/>
    </row>
    <row r="952" spans="15:18" ht="15.75" customHeight="1" x14ac:dyDescent="0.25">
      <c r="O952" s="13"/>
      <c r="P952" s="13"/>
      <c r="Q952" s="13"/>
      <c r="R952" s="13"/>
    </row>
    <row r="953" spans="15:18" ht="15.75" customHeight="1" x14ac:dyDescent="0.25">
      <c r="O953" s="13"/>
      <c r="P953" s="13"/>
      <c r="Q953" s="13"/>
      <c r="R953" s="13"/>
    </row>
    <row r="954" spans="15:18" ht="15.75" customHeight="1" x14ac:dyDescent="0.25">
      <c r="O954" s="13"/>
      <c r="P954" s="13"/>
      <c r="Q954" s="13"/>
      <c r="R954" s="13"/>
    </row>
    <row r="955" spans="15:18" ht="15.75" customHeight="1" x14ac:dyDescent="0.25">
      <c r="O955" s="13"/>
      <c r="P955" s="13"/>
      <c r="Q955" s="13"/>
      <c r="R955" s="13"/>
    </row>
    <row r="956" spans="15:18" ht="15.75" customHeight="1" x14ac:dyDescent="0.25">
      <c r="O956" s="13"/>
      <c r="P956" s="13"/>
      <c r="Q956" s="13"/>
      <c r="R956" s="13"/>
    </row>
    <row r="957" spans="15:18" ht="15.75" customHeight="1" x14ac:dyDescent="0.25">
      <c r="O957" s="13"/>
      <c r="P957" s="13"/>
      <c r="Q957" s="13"/>
      <c r="R957" s="13"/>
    </row>
    <row r="958" spans="15:18" ht="15.75" customHeight="1" x14ac:dyDescent="0.25">
      <c r="O958" s="13"/>
      <c r="P958" s="13"/>
      <c r="Q958" s="13"/>
      <c r="R958" s="13"/>
    </row>
    <row r="959" spans="15:18" ht="15.75" customHeight="1" x14ac:dyDescent="0.25">
      <c r="O959" s="13"/>
      <c r="P959" s="13"/>
      <c r="Q959" s="13"/>
      <c r="R959" s="13"/>
    </row>
    <row r="960" spans="15:18" ht="15.75" customHeight="1" x14ac:dyDescent="0.25">
      <c r="O960" s="13"/>
      <c r="P960" s="13"/>
      <c r="Q960" s="13"/>
      <c r="R960" s="13"/>
    </row>
    <row r="961" spans="15:18" ht="15.75" customHeight="1" x14ac:dyDescent="0.25">
      <c r="O961" s="13"/>
      <c r="P961" s="13"/>
      <c r="Q961" s="13"/>
      <c r="R961" s="13"/>
    </row>
    <row r="962" spans="15:18" ht="15.75" customHeight="1" x14ac:dyDescent="0.25">
      <c r="O962" s="13"/>
      <c r="P962" s="13"/>
      <c r="Q962" s="13"/>
      <c r="R962" s="13"/>
    </row>
    <row r="963" spans="15:18" ht="15.75" customHeight="1" x14ac:dyDescent="0.25">
      <c r="O963" s="13"/>
      <c r="P963" s="13"/>
      <c r="Q963" s="13"/>
      <c r="R963" s="13"/>
    </row>
    <row r="964" spans="15:18" ht="15.75" customHeight="1" x14ac:dyDescent="0.25">
      <c r="O964" s="13"/>
      <c r="P964" s="13"/>
      <c r="Q964" s="13"/>
      <c r="R964" s="13"/>
    </row>
    <row r="965" spans="15:18" ht="15.75" customHeight="1" x14ac:dyDescent="0.25">
      <c r="O965" s="13"/>
      <c r="P965" s="13"/>
      <c r="Q965" s="13"/>
      <c r="R965" s="13"/>
    </row>
    <row r="966" spans="15:18" ht="15.75" customHeight="1" x14ac:dyDescent="0.25">
      <c r="O966" s="13"/>
      <c r="P966" s="13"/>
      <c r="Q966" s="13"/>
      <c r="R966" s="13"/>
    </row>
    <row r="967" spans="15:18" ht="15.75" customHeight="1" x14ac:dyDescent="0.25">
      <c r="O967" s="13"/>
      <c r="P967" s="13"/>
      <c r="Q967" s="13"/>
      <c r="R967" s="13"/>
    </row>
    <row r="968" spans="15:18" ht="15.75" customHeight="1" x14ac:dyDescent="0.25">
      <c r="O968" s="13"/>
      <c r="P968" s="13"/>
      <c r="Q968" s="13"/>
      <c r="R968" s="13"/>
    </row>
    <row r="969" spans="15:18" ht="15.75" customHeight="1" x14ac:dyDescent="0.25">
      <c r="O969" s="13"/>
      <c r="P969" s="13"/>
      <c r="Q969" s="13"/>
      <c r="R969" s="13"/>
    </row>
    <row r="970" spans="15:18" ht="15.75" customHeight="1" x14ac:dyDescent="0.25">
      <c r="O970" s="13"/>
      <c r="P970" s="13"/>
      <c r="Q970" s="13"/>
      <c r="R970" s="13"/>
    </row>
    <row r="971" spans="15:18" ht="15.75" customHeight="1" x14ac:dyDescent="0.25">
      <c r="O971" s="13"/>
      <c r="P971" s="13"/>
      <c r="Q971" s="13"/>
      <c r="R971" s="13"/>
    </row>
    <row r="972" spans="15:18" ht="15.75" customHeight="1" x14ac:dyDescent="0.25">
      <c r="O972" s="13"/>
      <c r="P972" s="13"/>
      <c r="Q972" s="13"/>
      <c r="R972" s="13"/>
    </row>
    <row r="973" spans="15:18" ht="15.75" customHeight="1" x14ac:dyDescent="0.25">
      <c r="O973" s="13"/>
      <c r="P973" s="13"/>
      <c r="Q973" s="13"/>
      <c r="R973" s="13"/>
    </row>
    <row r="974" spans="15:18" ht="15.75" customHeight="1" x14ac:dyDescent="0.25">
      <c r="O974" s="13"/>
      <c r="P974" s="13"/>
      <c r="Q974" s="13"/>
      <c r="R974" s="13"/>
    </row>
    <row r="975" spans="15:18" ht="15.75" customHeight="1" x14ac:dyDescent="0.25">
      <c r="O975" s="13"/>
      <c r="P975" s="13"/>
      <c r="Q975" s="13"/>
      <c r="R975" s="13"/>
    </row>
    <row r="976" spans="15:18" ht="15.75" customHeight="1" x14ac:dyDescent="0.25">
      <c r="O976" s="13"/>
      <c r="P976" s="13"/>
      <c r="Q976" s="13"/>
      <c r="R976" s="13"/>
    </row>
    <row r="977" spans="15:18" ht="15.75" customHeight="1" x14ac:dyDescent="0.25">
      <c r="O977" s="13"/>
      <c r="P977" s="13"/>
      <c r="Q977" s="13"/>
      <c r="R977" s="13"/>
    </row>
    <row r="978" spans="15:18" ht="15.75" customHeight="1" x14ac:dyDescent="0.25">
      <c r="O978" s="13"/>
      <c r="P978" s="13"/>
      <c r="Q978" s="13"/>
      <c r="R978" s="13"/>
    </row>
    <row r="979" spans="15:18" ht="15.75" customHeight="1" x14ac:dyDescent="0.25">
      <c r="O979" s="13"/>
      <c r="P979" s="13"/>
      <c r="Q979" s="13"/>
      <c r="R979" s="13"/>
    </row>
    <row r="980" spans="15:18" ht="15.75" customHeight="1" x14ac:dyDescent="0.25">
      <c r="O980" s="13"/>
      <c r="P980" s="13"/>
      <c r="Q980" s="13"/>
      <c r="R980" s="13"/>
    </row>
    <row r="981" spans="15:18" ht="15.75" customHeight="1" x14ac:dyDescent="0.25">
      <c r="O981" s="13"/>
      <c r="P981" s="13"/>
      <c r="Q981" s="13"/>
      <c r="R981" s="13"/>
    </row>
    <row r="982" spans="15:18" ht="15.75" customHeight="1" x14ac:dyDescent="0.25">
      <c r="O982" s="13"/>
      <c r="P982" s="13"/>
      <c r="Q982" s="13"/>
      <c r="R982" s="13"/>
    </row>
    <row r="983" spans="15:18" ht="15.75" customHeight="1" x14ac:dyDescent="0.25">
      <c r="O983" s="13"/>
      <c r="P983" s="13"/>
      <c r="Q983" s="13"/>
      <c r="R983" s="13"/>
    </row>
    <row r="984" spans="15:18" ht="15.75" customHeight="1" x14ac:dyDescent="0.25">
      <c r="O984" s="13"/>
      <c r="P984" s="13"/>
      <c r="Q984" s="13"/>
      <c r="R984" s="13"/>
    </row>
    <row r="985" spans="15:18" ht="15.75" customHeight="1" x14ac:dyDescent="0.25">
      <c r="O985" s="13"/>
      <c r="P985" s="13"/>
      <c r="Q985" s="13"/>
      <c r="R985" s="13"/>
    </row>
    <row r="986" spans="15:18" ht="15.75" customHeight="1" x14ac:dyDescent="0.25">
      <c r="O986" s="13"/>
      <c r="P986" s="13"/>
      <c r="Q986" s="13"/>
      <c r="R986" s="13"/>
    </row>
    <row r="987" spans="15:18" ht="15.75" customHeight="1" x14ac:dyDescent="0.25">
      <c r="O987" s="13"/>
      <c r="P987" s="13"/>
      <c r="Q987" s="13"/>
      <c r="R987" s="13"/>
    </row>
    <row r="988" spans="15:18" ht="15.75" customHeight="1" x14ac:dyDescent="0.25">
      <c r="O988" s="13"/>
      <c r="P988" s="13"/>
      <c r="Q988" s="13"/>
      <c r="R988" s="13"/>
    </row>
    <row r="989" spans="15:18" ht="15.75" customHeight="1" x14ac:dyDescent="0.25">
      <c r="O989" s="13"/>
      <c r="P989" s="13"/>
      <c r="Q989" s="13"/>
      <c r="R989" s="13"/>
    </row>
    <row r="990" spans="15:18" ht="15.75" customHeight="1" x14ac:dyDescent="0.25">
      <c r="O990" s="13"/>
      <c r="P990" s="13"/>
      <c r="Q990" s="13"/>
      <c r="R990" s="13"/>
    </row>
    <row r="991" spans="15:18" ht="15.75" customHeight="1" x14ac:dyDescent="0.25">
      <c r="O991" s="13"/>
      <c r="P991" s="13"/>
      <c r="Q991" s="13"/>
      <c r="R991" s="13"/>
    </row>
    <row r="992" spans="15:18" ht="15.75" customHeight="1" x14ac:dyDescent="0.25">
      <c r="O992" s="13"/>
      <c r="P992" s="13"/>
      <c r="Q992" s="13"/>
      <c r="R992" s="13"/>
    </row>
    <row r="993" spans="15:18" ht="15.75" customHeight="1" x14ac:dyDescent="0.25">
      <c r="O993" s="13"/>
      <c r="P993" s="13"/>
      <c r="Q993" s="13"/>
      <c r="R993" s="13"/>
    </row>
    <row r="994" spans="15:18" ht="15.75" customHeight="1" x14ac:dyDescent="0.25">
      <c r="O994" s="13"/>
      <c r="P994" s="13"/>
      <c r="Q994" s="13"/>
      <c r="R994" s="13"/>
    </row>
    <row r="995" spans="15:18" ht="15.75" customHeight="1" x14ac:dyDescent="0.25">
      <c r="O995" s="13"/>
      <c r="P995" s="13"/>
      <c r="Q995" s="13"/>
      <c r="R995" s="13"/>
    </row>
    <row r="996" spans="15:18" ht="15.75" customHeight="1" x14ac:dyDescent="0.25">
      <c r="O996" s="13"/>
      <c r="P996" s="13"/>
      <c r="Q996" s="13"/>
      <c r="R996" s="13"/>
    </row>
    <row r="997" spans="15:18" ht="15.75" customHeight="1" x14ac:dyDescent="0.25">
      <c r="O997" s="13"/>
      <c r="P997" s="13"/>
      <c r="Q997" s="13"/>
      <c r="R997" s="13"/>
    </row>
    <row r="998" spans="15:18" ht="15.75" customHeight="1" x14ac:dyDescent="0.25">
      <c r="O998" s="13"/>
      <c r="P998" s="13"/>
      <c r="Q998" s="13"/>
      <c r="R998" s="13"/>
    </row>
    <row r="999" spans="15:18" ht="15.75" customHeight="1" x14ac:dyDescent="0.25">
      <c r="O999" s="13"/>
      <c r="P999" s="13"/>
      <c r="Q999" s="13"/>
      <c r="R999" s="13"/>
    </row>
    <row r="1000" spans="15:18" ht="15.75" customHeight="1" x14ac:dyDescent="0.25">
      <c r="O1000" s="13"/>
      <c r="P1000" s="13"/>
      <c r="Q1000" s="13"/>
      <c r="R1000" s="13"/>
    </row>
  </sheetData>
  <mergeCells count="74">
    <mergeCell ref="B27:B29"/>
    <mergeCell ref="B31:B33"/>
    <mergeCell ref="B35:B37"/>
    <mergeCell ref="R19:T19"/>
    <mergeCell ref="BM5:BP5"/>
    <mergeCell ref="AT19:AX19"/>
    <mergeCell ref="AQ17:AS17"/>
    <mergeCell ref="AP37:AQ37"/>
    <mergeCell ref="AL19:AN19"/>
    <mergeCell ref="AO19:AP19"/>
    <mergeCell ref="AQ19:AS19"/>
    <mergeCell ref="B9:B11"/>
    <mergeCell ref="J9:M9"/>
    <mergeCell ref="P9:Q9"/>
    <mergeCell ref="P11:Q11"/>
    <mergeCell ref="AJ19:AK19"/>
    <mergeCell ref="D3:H3"/>
    <mergeCell ref="J3:BP3"/>
    <mergeCell ref="D5:H5"/>
    <mergeCell ref="J5:M5"/>
    <mergeCell ref="O5:R5"/>
    <mergeCell ref="T5:W5"/>
    <mergeCell ref="Y5:AB5"/>
    <mergeCell ref="AN5:AQ5"/>
    <mergeCell ref="AD5:AG5"/>
    <mergeCell ref="AI5:AL5"/>
    <mergeCell ref="AX5:BA5"/>
    <mergeCell ref="BC5:BF5"/>
    <mergeCell ref="BH5:BK5"/>
    <mergeCell ref="AS5:AV5"/>
    <mergeCell ref="AS41:AV41"/>
    <mergeCell ref="AQ21:AS21"/>
    <mergeCell ref="AU23:AZ23"/>
    <mergeCell ref="AZ41:BA41"/>
    <mergeCell ref="AL29:AN29"/>
    <mergeCell ref="AU25:AZ25"/>
    <mergeCell ref="AV27:AX27"/>
    <mergeCell ref="AL27:AN27"/>
    <mergeCell ref="AO27:AP27"/>
    <mergeCell ref="AO29:AP29"/>
    <mergeCell ref="AV29:AX29"/>
    <mergeCell ref="AV31:AX31"/>
    <mergeCell ref="AV33:AX33"/>
    <mergeCell ref="AP35:AQ35"/>
    <mergeCell ref="BE51:BG51"/>
    <mergeCell ref="BE53:BG53"/>
    <mergeCell ref="BE55:BG55"/>
    <mergeCell ref="BE57:BG57"/>
    <mergeCell ref="AS43:AU43"/>
    <mergeCell ref="AV43:AY43"/>
    <mergeCell ref="AZ43:BA43"/>
    <mergeCell ref="BC43:BF43"/>
    <mergeCell ref="AZ45:BA45"/>
    <mergeCell ref="BD47:BI47"/>
    <mergeCell ref="BD49:BI49"/>
    <mergeCell ref="P39:R39"/>
    <mergeCell ref="P43:Q43"/>
    <mergeCell ref="R43:T43"/>
    <mergeCell ref="V43:W43"/>
    <mergeCell ref="Y43:AE43"/>
    <mergeCell ref="AF43:AJ43"/>
    <mergeCell ref="AK43:AN43"/>
    <mergeCell ref="AO43:AQ43"/>
    <mergeCell ref="AF27:AG27"/>
    <mergeCell ref="AJ27:AK27"/>
    <mergeCell ref="AF29:AG29"/>
    <mergeCell ref="AJ29:AK29"/>
    <mergeCell ref="B23:B25"/>
    <mergeCell ref="AB19:AE19"/>
    <mergeCell ref="AF19:AI19"/>
    <mergeCell ref="B13:B21"/>
    <mergeCell ref="V19:AA19"/>
    <mergeCell ref="P15:R15"/>
    <mergeCell ref="P19:Q19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CF1000"/>
  <sheetViews>
    <sheetView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10" defaultColWidth="14.42578125" defaultRowHeight="15" customHeight="1" x14ac:dyDescent="0.25"/>
  <cols>
    <col min="1" max="1" width="2.140625" customWidth="1"/>
    <col min="2" max="2" width="24.85546875" customWidth="1"/>
    <col min="3" max="3" width="1.28515625" customWidth="1"/>
    <col min="4" max="4" width="24.7109375" customWidth="1"/>
    <col min="5" max="5" width="1.28515625" customWidth="1"/>
    <col min="6" max="6" width="33.28515625" customWidth="1"/>
    <col min="7" max="7" width="3.140625" customWidth="1"/>
    <col min="8" max="9" width="43" hidden="1" customWidth="1"/>
    <col min="10" max="10" width="2.28515625" hidden="1" customWidth="1"/>
    <col min="11" max="12" width="43" hidden="1" customWidth="1"/>
    <col min="13" max="13" width="2.28515625" hidden="1" customWidth="1"/>
    <col min="14" max="15" width="60.7109375" hidden="1" customWidth="1"/>
    <col min="16" max="16" width="2" customWidth="1"/>
    <col min="17" max="18" width="40.7109375" customWidth="1"/>
    <col min="19" max="19" width="2" customWidth="1"/>
    <col min="20" max="21" width="40.7109375" customWidth="1"/>
    <col min="22" max="22" width="2" customWidth="1"/>
    <col min="23" max="24" width="40.7109375" customWidth="1"/>
    <col min="25" max="25" width="2" customWidth="1"/>
    <col min="26" max="27" width="40.7109375" customWidth="1"/>
    <col min="28" max="28" width="2" customWidth="1"/>
    <col min="29" max="30" width="40.7109375" customWidth="1"/>
    <col min="31" max="31" width="2" customWidth="1"/>
    <col min="32" max="33" width="40.7109375" customWidth="1"/>
    <col min="34" max="34" width="2" customWidth="1"/>
    <col min="35" max="36" width="40.7109375" customWidth="1"/>
    <col min="37" max="37" width="2" customWidth="1"/>
    <col min="38" max="39" width="40.7109375" customWidth="1"/>
    <col min="40" max="40" width="2" customWidth="1"/>
    <col min="41" max="42" width="40.7109375" customWidth="1"/>
    <col min="43" max="43" width="2" customWidth="1"/>
    <col min="44" max="45" width="40.7109375" customWidth="1"/>
    <col min="46" max="46" width="2" customWidth="1"/>
    <col min="47" max="48" width="40.7109375" customWidth="1"/>
    <col min="49" max="49" width="2" customWidth="1"/>
    <col min="50" max="51" width="40.7109375" customWidth="1"/>
    <col min="52" max="52" width="2" customWidth="1"/>
    <col min="53" max="54" width="40.7109375" customWidth="1"/>
    <col min="55" max="55" width="2" customWidth="1"/>
    <col min="56" max="57" width="40.7109375" customWidth="1"/>
    <col min="58" max="58" width="2" customWidth="1"/>
    <col min="59" max="60" width="40.7109375" customWidth="1"/>
    <col min="61" max="61" width="2" customWidth="1"/>
    <col min="62" max="63" width="40.7109375" customWidth="1"/>
    <col min="64" max="64" width="2" customWidth="1"/>
    <col min="65" max="66" width="40.7109375" customWidth="1"/>
    <col min="67" max="67" width="2" customWidth="1"/>
    <col min="68" max="69" width="40.7109375" customWidth="1"/>
    <col min="70" max="70" width="2" customWidth="1"/>
    <col min="71" max="72" width="40.7109375" customWidth="1"/>
    <col min="73" max="73" width="2" customWidth="1"/>
    <col min="74" max="75" width="40.7109375" customWidth="1"/>
    <col min="76" max="76" width="2" customWidth="1"/>
    <col min="77" max="78" width="60.7109375" customWidth="1"/>
    <col min="79" max="79" width="2" customWidth="1"/>
    <col min="80" max="81" width="60.7109375" customWidth="1"/>
    <col min="82" max="82" width="2" customWidth="1"/>
    <col min="83" max="84" width="60.7109375" customWidth="1"/>
  </cols>
  <sheetData>
    <row r="1" spans="2:84" ht="14.25" customHeight="1" x14ac:dyDescent="0.25">
      <c r="H1" s="49"/>
      <c r="I1" s="49"/>
      <c r="K1" s="49"/>
      <c r="L1" s="49"/>
    </row>
    <row r="2" spans="2:84" ht="14.25" customHeight="1" x14ac:dyDescent="0.25">
      <c r="H2" s="49"/>
      <c r="I2" s="49"/>
      <c r="K2" s="49"/>
      <c r="L2" s="49"/>
    </row>
    <row r="3" spans="2:84" ht="49.5" customHeight="1" x14ac:dyDescent="0.25">
      <c r="H3" s="619">
        <v>2024</v>
      </c>
      <c r="I3" s="568"/>
      <c r="J3" s="568"/>
      <c r="K3" s="568"/>
      <c r="L3" s="569"/>
      <c r="N3" s="668">
        <v>2025</v>
      </c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  <c r="AM3" s="568"/>
      <c r="AN3" s="568"/>
      <c r="AO3" s="568"/>
      <c r="AP3" s="568"/>
      <c r="AQ3" s="568"/>
      <c r="AR3" s="568"/>
      <c r="AS3" s="568"/>
      <c r="AT3" s="568"/>
      <c r="AU3" s="568"/>
      <c r="AV3" s="570"/>
      <c r="AX3" s="668">
        <v>2026</v>
      </c>
      <c r="AY3" s="568"/>
      <c r="AZ3" s="568"/>
      <c r="BA3" s="568"/>
      <c r="BB3" s="568"/>
      <c r="BC3" s="568"/>
      <c r="BD3" s="568"/>
      <c r="BE3" s="568"/>
      <c r="BF3" s="568"/>
      <c r="BG3" s="568"/>
      <c r="BH3" s="568"/>
      <c r="BI3" s="568"/>
      <c r="BJ3" s="568"/>
      <c r="BK3" s="568"/>
      <c r="BL3" s="568"/>
      <c r="BM3" s="568"/>
      <c r="BN3" s="568"/>
      <c r="BO3" s="568"/>
      <c r="BP3" s="568"/>
      <c r="BQ3" s="568"/>
      <c r="BR3" s="568"/>
      <c r="BS3" s="568"/>
      <c r="BT3" s="568"/>
      <c r="BU3" s="568"/>
      <c r="BV3" s="568"/>
      <c r="BW3" s="568"/>
      <c r="BX3" s="568"/>
      <c r="BY3" s="568"/>
      <c r="BZ3" s="568"/>
      <c r="CA3" s="568"/>
      <c r="CB3" s="568"/>
      <c r="CC3" s="568"/>
      <c r="CD3" s="568"/>
      <c r="CE3" s="568"/>
      <c r="CF3" s="570"/>
    </row>
    <row r="4" spans="2:84" ht="6" customHeight="1" x14ac:dyDescent="0.25">
      <c r="H4" s="49"/>
      <c r="I4" s="49"/>
      <c r="K4" s="49"/>
      <c r="L4" s="49"/>
    </row>
    <row r="5" spans="2:84" ht="57.75" customHeight="1" x14ac:dyDescent="0.25">
      <c r="B5" s="11" t="s">
        <v>28</v>
      </c>
      <c r="C5" s="52"/>
      <c r="D5" s="11" t="s">
        <v>532</v>
      </c>
      <c r="E5" s="52"/>
      <c r="F5" s="11" t="s">
        <v>533</v>
      </c>
      <c r="G5" s="52"/>
      <c r="H5" s="622" t="s">
        <v>93</v>
      </c>
      <c r="I5" s="582"/>
      <c r="J5" s="582"/>
      <c r="K5" s="582"/>
      <c r="L5" s="572"/>
      <c r="N5" s="575" t="s">
        <v>56</v>
      </c>
      <c r="O5" s="569"/>
      <c r="Q5" s="575" t="s">
        <v>57</v>
      </c>
      <c r="R5" s="569"/>
      <c r="T5" s="575" t="s">
        <v>58</v>
      </c>
      <c r="U5" s="569"/>
      <c r="W5" s="575" t="s">
        <v>59</v>
      </c>
      <c r="X5" s="569"/>
      <c r="Z5" s="575" t="s">
        <v>1</v>
      </c>
      <c r="AA5" s="569"/>
      <c r="AC5" s="575" t="s">
        <v>19</v>
      </c>
      <c r="AD5" s="569"/>
      <c r="AF5" s="575" t="s">
        <v>25</v>
      </c>
      <c r="AG5" s="569"/>
      <c r="AI5" s="575" t="s">
        <v>26</v>
      </c>
      <c r="AJ5" s="569"/>
      <c r="AL5" s="575" t="s">
        <v>27</v>
      </c>
      <c r="AM5" s="569"/>
      <c r="AO5" s="575" t="s">
        <v>54</v>
      </c>
      <c r="AP5" s="569"/>
      <c r="AR5" s="575" t="s">
        <v>60</v>
      </c>
      <c r="AS5" s="569"/>
      <c r="AU5" s="575" t="s">
        <v>55</v>
      </c>
      <c r="AV5" s="569"/>
      <c r="AX5" s="575" t="s">
        <v>534</v>
      </c>
      <c r="AY5" s="569"/>
      <c r="BA5" s="575" t="s">
        <v>535</v>
      </c>
      <c r="BB5" s="569"/>
      <c r="BD5" s="575" t="s">
        <v>58</v>
      </c>
      <c r="BE5" s="569"/>
      <c r="BG5" s="575" t="s">
        <v>59</v>
      </c>
      <c r="BH5" s="569"/>
      <c r="BJ5" s="575" t="s">
        <v>1</v>
      </c>
      <c r="BK5" s="569"/>
      <c r="BM5" s="575" t="s">
        <v>19</v>
      </c>
      <c r="BN5" s="569"/>
      <c r="BP5" s="575" t="s">
        <v>25</v>
      </c>
      <c r="BQ5" s="569"/>
      <c r="BS5" s="575" t="s">
        <v>26</v>
      </c>
      <c r="BT5" s="569"/>
      <c r="BV5" s="575" t="s">
        <v>27</v>
      </c>
      <c r="BW5" s="569"/>
      <c r="BY5" s="575" t="s">
        <v>54</v>
      </c>
      <c r="BZ5" s="569"/>
      <c r="CB5" s="575" t="s">
        <v>60</v>
      </c>
      <c r="CC5" s="569"/>
      <c r="CE5" s="575" t="s">
        <v>55</v>
      </c>
      <c r="CF5" s="569"/>
    </row>
    <row r="6" spans="2:84" ht="6.75" customHeight="1" x14ac:dyDescent="0.25">
      <c r="B6" s="5"/>
      <c r="F6" s="5"/>
      <c r="H6" s="49"/>
      <c r="I6" s="49"/>
      <c r="K6" s="49"/>
      <c r="L6" s="49"/>
    </row>
    <row r="7" spans="2:84" ht="23.25" customHeight="1" x14ac:dyDescent="0.25">
      <c r="B7" s="5"/>
      <c r="F7" s="5"/>
      <c r="H7" s="167" t="s">
        <v>198</v>
      </c>
      <c r="I7" s="167" t="s">
        <v>199</v>
      </c>
      <c r="K7" s="167" t="s">
        <v>200</v>
      </c>
      <c r="L7" s="167" t="s">
        <v>201</v>
      </c>
      <c r="N7" s="12" t="s">
        <v>61</v>
      </c>
      <c r="O7" s="12" t="s">
        <v>62</v>
      </c>
      <c r="Q7" s="12" t="s">
        <v>61</v>
      </c>
      <c r="R7" s="12" t="s">
        <v>62</v>
      </c>
      <c r="T7" s="12" t="s">
        <v>61</v>
      </c>
      <c r="U7" s="12" t="s">
        <v>62</v>
      </c>
      <c r="W7" s="12" t="s">
        <v>61</v>
      </c>
      <c r="X7" s="12" t="s">
        <v>62</v>
      </c>
      <c r="Z7" s="12" t="s">
        <v>61</v>
      </c>
      <c r="AA7" s="12" t="s">
        <v>62</v>
      </c>
      <c r="AC7" s="12" t="s">
        <v>61</v>
      </c>
      <c r="AD7" s="12" t="s">
        <v>62</v>
      </c>
      <c r="AF7" s="12" t="s">
        <v>61</v>
      </c>
      <c r="AG7" s="12" t="s">
        <v>62</v>
      </c>
      <c r="AI7" s="12" t="s">
        <v>61</v>
      </c>
      <c r="AJ7" s="12" t="s">
        <v>62</v>
      </c>
      <c r="AL7" s="12" t="s">
        <v>61</v>
      </c>
      <c r="AM7" s="12" t="s">
        <v>62</v>
      </c>
      <c r="AO7" s="12" t="s">
        <v>61</v>
      </c>
      <c r="AP7" s="12" t="s">
        <v>62</v>
      </c>
      <c r="AR7" s="12" t="s">
        <v>61</v>
      </c>
      <c r="AS7" s="12" t="s">
        <v>62</v>
      </c>
      <c r="AU7" s="12" t="s">
        <v>61</v>
      </c>
      <c r="AV7" s="12" t="s">
        <v>62</v>
      </c>
      <c r="AX7" s="12" t="s">
        <v>61</v>
      </c>
      <c r="AY7" s="12" t="s">
        <v>62</v>
      </c>
      <c r="BA7" s="12" t="s">
        <v>61</v>
      </c>
      <c r="BB7" s="12" t="s">
        <v>62</v>
      </c>
      <c r="BD7" s="12" t="s">
        <v>61</v>
      </c>
      <c r="BE7" s="12" t="s">
        <v>62</v>
      </c>
      <c r="BG7" s="12" t="s">
        <v>61</v>
      </c>
      <c r="BH7" s="12" t="s">
        <v>62</v>
      </c>
    </row>
    <row r="8" spans="2:84" ht="27" customHeight="1" x14ac:dyDescent="0.25">
      <c r="B8" s="5"/>
      <c r="F8" s="5"/>
      <c r="H8" s="49"/>
      <c r="I8" s="49"/>
      <c r="K8" s="49"/>
      <c r="L8" s="49"/>
    </row>
    <row r="9" spans="2:84" ht="18" customHeight="1" x14ac:dyDescent="0.25"/>
    <row r="10" spans="2:84" ht="41.25" customHeight="1" x14ac:dyDescent="0.25">
      <c r="B10" s="838" t="s">
        <v>536</v>
      </c>
      <c r="C10" s="587"/>
      <c r="D10" s="587"/>
      <c r="E10" s="587"/>
      <c r="F10" s="597"/>
      <c r="Q10" s="839" t="s">
        <v>537</v>
      </c>
      <c r="R10" s="568"/>
      <c r="S10" s="568"/>
      <c r="T10" s="568"/>
      <c r="U10" s="568"/>
      <c r="V10" s="568"/>
      <c r="W10" s="568"/>
      <c r="X10" s="568"/>
      <c r="Y10" s="568"/>
      <c r="Z10" s="568"/>
      <c r="AA10" s="568"/>
      <c r="AB10" s="568"/>
      <c r="AC10" s="568"/>
      <c r="AD10" s="568"/>
      <c r="AE10" s="568"/>
      <c r="AF10" s="568"/>
      <c r="AG10" s="568"/>
      <c r="AH10" s="568"/>
      <c r="AI10" s="568"/>
      <c r="AJ10" s="568"/>
      <c r="AK10" s="568"/>
      <c r="AL10" s="569"/>
      <c r="AM10" s="836" t="s">
        <v>359</v>
      </c>
      <c r="AN10" s="568"/>
      <c r="AO10" s="568"/>
      <c r="AP10" s="568"/>
      <c r="AQ10" s="568"/>
      <c r="AR10" s="570"/>
      <c r="AU10" s="837" t="s">
        <v>538</v>
      </c>
      <c r="AV10" s="728"/>
    </row>
    <row r="11" spans="2:84" ht="8.25" customHeight="1" x14ac:dyDescent="0.25">
      <c r="B11" s="598"/>
      <c r="C11" s="610"/>
      <c r="D11" s="610"/>
      <c r="E11" s="610"/>
      <c r="F11" s="599"/>
    </row>
    <row r="12" spans="2:84" ht="36" customHeight="1" x14ac:dyDescent="0.25">
      <c r="B12" s="594"/>
      <c r="C12" s="588"/>
      <c r="D12" s="588"/>
      <c r="E12" s="588"/>
      <c r="F12" s="600"/>
      <c r="Q12" s="379">
        <v>5857000</v>
      </c>
      <c r="R12" s="380">
        <v>7847000</v>
      </c>
      <c r="T12" s="379">
        <v>9940000</v>
      </c>
      <c r="U12" s="380">
        <v>9722000</v>
      </c>
      <c r="W12" s="379">
        <v>8324000</v>
      </c>
      <c r="X12" s="380">
        <v>9756000</v>
      </c>
      <c r="Z12" s="835">
        <v>10952000</v>
      </c>
      <c r="AA12" s="728"/>
      <c r="AC12" s="835">
        <v>10952000</v>
      </c>
      <c r="AD12" s="728"/>
      <c r="AF12" s="835">
        <v>10952000</v>
      </c>
      <c r="AG12" s="728"/>
      <c r="AI12" s="835">
        <v>10952000</v>
      </c>
      <c r="AJ12" s="728"/>
      <c r="AL12" s="835">
        <f>10952000*1.07</f>
        <v>11718640</v>
      </c>
      <c r="AM12" s="728"/>
      <c r="AO12" s="835">
        <f>10952000*1.07</f>
        <v>11718640</v>
      </c>
      <c r="AP12" s="728"/>
      <c r="AR12" s="379">
        <f>(10952000*1.07)/2</f>
        <v>5859320</v>
      </c>
      <c r="AU12" s="381">
        <f>+Q12+T12+W12+Z12+AC12+AL12</f>
        <v>57743640</v>
      </c>
      <c r="AV12" s="381">
        <f>+R12+U12+X12+Z12+AC12+AF12+AI12+(AL12/2)</f>
        <v>76992320</v>
      </c>
      <c r="AX12" s="381">
        <f>+AO12*3</f>
        <v>35155920</v>
      </c>
      <c r="AY12" s="382">
        <f>+AX12+AV12</f>
        <v>112148240</v>
      </c>
    </row>
    <row r="13" spans="2:84" ht="55.5" customHeight="1" x14ac:dyDescent="0.25"/>
    <row r="14" spans="2:84" ht="41.25" customHeight="1" x14ac:dyDescent="0.25">
      <c r="B14" s="841" t="s">
        <v>539</v>
      </c>
      <c r="C14" s="587"/>
      <c r="D14" s="587"/>
      <c r="E14" s="587"/>
      <c r="F14" s="597"/>
      <c r="Q14" s="834" t="s">
        <v>540</v>
      </c>
      <c r="R14" s="568"/>
      <c r="S14" s="568"/>
      <c r="T14" s="568"/>
      <c r="U14" s="568"/>
      <c r="V14" s="568"/>
      <c r="W14" s="568"/>
      <c r="X14" s="568"/>
      <c r="Y14" s="568"/>
      <c r="Z14" s="568"/>
      <c r="AA14" s="568"/>
      <c r="AB14" s="568"/>
      <c r="AC14" s="568"/>
      <c r="AD14" s="568"/>
      <c r="AE14" s="568"/>
      <c r="AF14" s="569"/>
      <c r="AG14" s="828" t="s">
        <v>430</v>
      </c>
      <c r="AH14" s="568"/>
      <c r="AI14" s="568"/>
      <c r="AJ14" s="568"/>
      <c r="AK14" s="568"/>
      <c r="AL14" s="569"/>
      <c r="AU14" s="837" t="s">
        <v>541</v>
      </c>
      <c r="AV14" s="728"/>
    </row>
    <row r="15" spans="2:84" ht="8.25" customHeight="1" x14ac:dyDescent="0.25">
      <c r="B15" s="598"/>
      <c r="C15" s="610"/>
      <c r="D15" s="610"/>
      <c r="E15" s="610"/>
      <c r="F15" s="599"/>
    </row>
    <row r="16" spans="2:84" ht="37.5" customHeight="1" x14ac:dyDescent="0.25">
      <c r="B16" s="594"/>
      <c r="C16" s="588"/>
      <c r="D16" s="588"/>
      <c r="E16" s="588"/>
      <c r="F16" s="600"/>
      <c r="Q16" s="379">
        <v>9315000</v>
      </c>
      <c r="R16" s="380">
        <f>19692000/2</f>
        <v>9846000</v>
      </c>
      <c r="T16" s="379">
        <v>10297000</v>
      </c>
      <c r="U16" s="380">
        <v>11523000</v>
      </c>
      <c r="W16" s="379">
        <v>11446000</v>
      </c>
      <c r="X16" s="380">
        <f>24230000/2</f>
        <v>12115000</v>
      </c>
      <c r="Z16" s="835">
        <v>12958500</v>
      </c>
      <c r="AA16" s="728"/>
      <c r="AC16" s="835">
        <v>12958500</v>
      </c>
      <c r="AD16" s="728"/>
      <c r="AF16" s="835">
        <v>12958500</v>
      </c>
      <c r="AG16" s="728"/>
      <c r="AI16" s="835">
        <v>12958500</v>
      </c>
      <c r="AJ16" s="728"/>
      <c r="AL16" s="383">
        <f>12958500/2</f>
        <v>6479250</v>
      </c>
      <c r="AU16" s="381">
        <f>+Q16+T16+W16+Z16+AC16+AL16</f>
        <v>63454250</v>
      </c>
      <c r="AV16" s="381">
        <f>+R16+U16+X16+Z16+AC16+(AF16/2)</f>
        <v>65880250</v>
      </c>
      <c r="AX16" s="381">
        <f>+AL16+AI16+AL16</f>
        <v>25917000</v>
      </c>
      <c r="AY16" s="382">
        <f>+AX16+AV16</f>
        <v>91797250</v>
      </c>
    </row>
    <row r="17" spans="2:56" ht="8.25" customHeight="1" x14ac:dyDescent="0.25">
      <c r="B17" s="842"/>
      <c r="C17" s="610"/>
      <c r="D17" s="610"/>
      <c r="E17" s="610"/>
      <c r="F17" s="610"/>
    </row>
    <row r="18" spans="2:56" ht="41.25" hidden="1" customHeight="1" x14ac:dyDescent="0.25">
      <c r="B18" s="610"/>
      <c r="C18" s="610"/>
      <c r="D18" s="610"/>
      <c r="E18" s="610"/>
      <c r="F18" s="610"/>
      <c r="Q18" s="827" t="s">
        <v>542</v>
      </c>
      <c r="R18" s="568"/>
      <c r="S18" s="568"/>
      <c r="T18" s="568"/>
      <c r="U18" s="568"/>
      <c r="V18" s="568"/>
      <c r="W18" s="568"/>
      <c r="X18" s="568"/>
      <c r="Y18" s="568"/>
      <c r="Z18" s="568"/>
      <c r="AA18" s="568"/>
      <c r="AB18" s="568"/>
      <c r="AC18" s="568"/>
      <c r="AD18" s="568"/>
      <c r="AE18" s="568"/>
      <c r="AF18" s="569"/>
      <c r="AG18" s="828" t="s">
        <v>358</v>
      </c>
      <c r="AH18" s="568"/>
      <c r="AI18" s="568"/>
      <c r="AJ18" s="568"/>
      <c r="AK18" s="568"/>
      <c r="AL18" s="569"/>
    </row>
    <row r="19" spans="2:56" ht="8.25" hidden="1" customHeight="1" x14ac:dyDescent="0.25">
      <c r="B19" s="610"/>
      <c r="C19" s="610"/>
      <c r="D19" s="610"/>
      <c r="E19" s="610"/>
      <c r="F19" s="610"/>
    </row>
    <row r="20" spans="2:56" ht="37.5" hidden="1" customHeight="1" x14ac:dyDescent="0.25">
      <c r="B20" s="838"/>
      <c r="C20" s="587"/>
      <c r="D20" s="587"/>
      <c r="E20" s="587"/>
      <c r="F20" s="597"/>
    </row>
    <row r="21" spans="2:56" ht="8.25" hidden="1" customHeight="1" x14ac:dyDescent="0.25">
      <c r="B21" s="598"/>
      <c r="C21" s="610"/>
      <c r="D21" s="610"/>
      <c r="E21" s="610"/>
      <c r="F21" s="599"/>
    </row>
    <row r="22" spans="2:56" ht="21" hidden="1" customHeight="1" x14ac:dyDescent="0.25">
      <c r="B22" s="594"/>
      <c r="C22" s="588"/>
      <c r="D22" s="588"/>
      <c r="E22" s="588"/>
      <c r="F22" s="600"/>
    </row>
    <row r="23" spans="2:56" ht="6" hidden="1" customHeight="1" x14ac:dyDescent="0.25">
      <c r="B23" s="838"/>
      <c r="C23" s="587"/>
      <c r="D23" s="587"/>
      <c r="E23" s="587"/>
      <c r="F23" s="597"/>
    </row>
    <row r="24" spans="2:56" ht="42" hidden="1" customHeight="1" x14ac:dyDescent="0.25">
      <c r="B24" s="598"/>
      <c r="C24" s="610"/>
      <c r="D24" s="610"/>
      <c r="E24" s="610"/>
      <c r="F24" s="599"/>
      <c r="AF24" s="829" t="s">
        <v>543</v>
      </c>
      <c r="AG24" s="568"/>
      <c r="AH24" s="568"/>
      <c r="AI24" s="568"/>
      <c r="AJ24" s="568"/>
      <c r="AK24" s="568"/>
      <c r="AL24" s="568"/>
      <c r="AM24" s="568"/>
      <c r="AN24" s="568"/>
      <c r="AO24" s="568"/>
      <c r="AP24" s="568"/>
      <c r="AQ24" s="568"/>
      <c r="AR24" s="569"/>
      <c r="AS24" s="830"/>
      <c r="AT24" s="568"/>
      <c r="AU24" s="568"/>
      <c r="AV24" s="568"/>
      <c r="AW24" s="568"/>
      <c r="AX24" s="569"/>
      <c r="AY24" s="384"/>
    </row>
    <row r="25" spans="2:56" ht="8.25" hidden="1" customHeight="1" x14ac:dyDescent="0.25">
      <c r="B25" s="594"/>
      <c r="C25" s="588"/>
      <c r="D25" s="588"/>
      <c r="E25" s="588"/>
      <c r="F25" s="600"/>
    </row>
    <row r="26" spans="2:56" ht="37.5" hidden="1" customHeight="1" x14ac:dyDescent="0.25">
      <c r="B26" s="838"/>
      <c r="C26" s="587"/>
      <c r="D26" s="587"/>
      <c r="E26" s="587"/>
      <c r="F26" s="597"/>
    </row>
    <row r="27" spans="2:56" ht="8.25" hidden="1" customHeight="1" x14ac:dyDescent="0.25">
      <c r="B27" s="598"/>
      <c r="C27" s="610"/>
      <c r="D27" s="610"/>
      <c r="E27" s="610"/>
      <c r="F27" s="599"/>
    </row>
    <row r="28" spans="2:56" ht="39.75" hidden="1" customHeight="1" x14ac:dyDescent="0.25">
      <c r="B28" s="594"/>
      <c r="C28" s="588"/>
      <c r="D28" s="588"/>
      <c r="E28" s="588"/>
      <c r="F28" s="600"/>
      <c r="Z28" s="385"/>
      <c r="AF28" s="831" t="s">
        <v>544</v>
      </c>
      <c r="AG28" s="568"/>
      <c r="AH28" s="568"/>
      <c r="AI28" s="568"/>
      <c r="AJ28" s="568"/>
      <c r="AK28" s="568"/>
      <c r="AL28" s="568"/>
      <c r="AM28" s="568"/>
      <c r="AN28" s="568"/>
      <c r="AO28" s="568"/>
      <c r="AP28" s="568"/>
      <c r="AQ28" s="568"/>
      <c r="AR28" s="569"/>
      <c r="AS28" s="830"/>
      <c r="AT28" s="568"/>
      <c r="AU28" s="568"/>
      <c r="AV28" s="568"/>
      <c r="AW28" s="568"/>
      <c r="AX28" s="569"/>
    </row>
    <row r="29" spans="2:56" ht="6" hidden="1" customHeight="1" x14ac:dyDescent="0.25">
      <c r="B29" s="838"/>
      <c r="C29" s="587"/>
      <c r="D29" s="587"/>
      <c r="E29" s="587"/>
      <c r="F29" s="597"/>
      <c r="Z29" s="260"/>
    </row>
    <row r="30" spans="2:56" ht="29.25" hidden="1" customHeight="1" x14ac:dyDescent="0.25">
      <c r="B30" s="598"/>
      <c r="C30" s="610"/>
      <c r="D30" s="610"/>
      <c r="E30" s="610"/>
      <c r="F30" s="599"/>
      <c r="Z30" s="385"/>
    </row>
    <row r="31" spans="2:56" ht="42" hidden="1" customHeight="1" x14ac:dyDescent="0.25">
      <c r="B31" s="594"/>
      <c r="C31" s="588"/>
      <c r="D31" s="588"/>
      <c r="E31" s="588"/>
      <c r="F31" s="600"/>
      <c r="AL31" s="832" t="s">
        <v>543</v>
      </c>
      <c r="AM31" s="568"/>
      <c r="AN31" s="568"/>
      <c r="AO31" s="568"/>
      <c r="AP31" s="568"/>
      <c r="AQ31" s="568"/>
      <c r="AR31" s="568"/>
      <c r="AS31" s="568"/>
      <c r="AT31" s="568"/>
      <c r="AU31" s="568"/>
      <c r="AV31" s="568"/>
      <c r="AW31" s="568"/>
      <c r="AX31" s="569"/>
      <c r="AY31" s="826"/>
      <c r="AZ31" s="568"/>
      <c r="BA31" s="568"/>
      <c r="BB31" s="568"/>
      <c r="BC31" s="568"/>
      <c r="BD31" s="569"/>
    </row>
    <row r="32" spans="2:56" ht="8.25" hidden="1" customHeight="1" x14ac:dyDescent="0.25">
      <c r="B32" s="838"/>
      <c r="C32" s="587"/>
      <c r="D32" s="587"/>
      <c r="E32" s="587"/>
      <c r="F32" s="597"/>
    </row>
    <row r="33" spans="2:82" ht="37.5" hidden="1" customHeight="1" x14ac:dyDescent="0.25">
      <c r="B33" s="598"/>
      <c r="C33" s="610"/>
      <c r="D33" s="610"/>
      <c r="E33" s="610"/>
      <c r="F33" s="599"/>
    </row>
    <row r="34" spans="2:82" ht="8.25" hidden="1" customHeight="1" x14ac:dyDescent="0.25">
      <c r="B34" s="594"/>
      <c r="C34" s="588"/>
      <c r="D34" s="588"/>
      <c r="E34" s="588"/>
      <c r="F34" s="600"/>
    </row>
    <row r="35" spans="2:82" ht="42" hidden="1" customHeight="1" x14ac:dyDescent="0.25">
      <c r="B35" s="838"/>
      <c r="C35" s="587"/>
      <c r="D35" s="587"/>
      <c r="E35" s="587"/>
      <c r="F35" s="597"/>
      <c r="H35" s="49"/>
      <c r="I35" s="49"/>
      <c r="K35" s="49"/>
      <c r="L35" s="49"/>
      <c r="AL35" s="833" t="s">
        <v>544</v>
      </c>
      <c r="AM35" s="568"/>
      <c r="AN35" s="568"/>
      <c r="AO35" s="568"/>
      <c r="AP35" s="568"/>
      <c r="AQ35" s="568"/>
      <c r="AR35" s="568"/>
      <c r="AS35" s="568"/>
      <c r="AT35" s="568"/>
      <c r="AU35" s="568"/>
      <c r="AV35" s="568"/>
      <c r="AW35" s="568"/>
      <c r="AX35" s="569"/>
      <c r="AY35" s="826"/>
      <c r="AZ35" s="568"/>
      <c r="BA35" s="568"/>
      <c r="BB35" s="568"/>
      <c r="BC35" s="568"/>
      <c r="BD35" s="569"/>
    </row>
    <row r="36" spans="2:82" ht="43.5" hidden="1" customHeight="1" x14ac:dyDescent="0.25">
      <c r="B36" s="598"/>
      <c r="C36" s="610"/>
      <c r="D36" s="610"/>
      <c r="E36" s="610"/>
      <c r="F36" s="599"/>
      <c r="H36" s="49"/>
      <c r="I36" s="49"/>
      <c r="K36" s="49"/>
      <c r="L36" s="49"/>
      <c r="CA36" s="5"/>
      <c r="CD36" s="5"/>
    </row>
    <row r="37" spans="2:82" ht="41.25" hidden="1" customHeight="1" x14ac:dyDescent="0.25">
      <c r="B37" s="594"/>
      <c r="C37" s="588"/>
      <c r="D37" s="588"/>
      <c r="E37" s="588"/>
      <c r="F37" s="600"/>
      <c r="AM37" s="834" t="s">
        <v>540</v>
      </c>
      <c r="AN37" s="568"/>
      <c r="AO37" s="568"/>
      <c r="AP37" s="568"/>
      <c r="AQ37" s="568"/>
      <c r="AR37" s="568"/>
      <c r="AS37" s="568"/>
      <c r="AT37" s="568"/>
      <c r="AU37" s="568"/>
      <c r="AV37" s="568"/>
      <c r="AW37" s="568"/>
      <c r="AX37" s="568"/>
      <c r="AY37" s="569"/>
      <c r="BA37" s="828" t="s">
        <v>430</v>
      </c>
      <c r="BB37" s="568"/>
      <c r="BC37" s="568"/>
      <c r="BD37" s="568"/>
      <c r="BE37" s="570"/>
      <c r="BF37" s="386"/>
    </row>
    <row r="38" spans="2:82" ht="8.25" hidden="1" customHeight="1" x14ac:dyDescent="0.25">
      <c r="B38" s="838"/>
      <c r="C38" s="587"/>
      <c r="D38" s="587"/>
      <c r="E38" s="587"/>
      <c r="F38" s="597"/>
    </row>
    <row r="39" spans="2:82" ht="37.5" hidden="1" customHeight="1" x14ac:dyDescent="0.25">
      <c r="B39" s="598"/>
      <c r="C39" s="610"/>
      <c r="D39" s="610"/>
      <c r="E39" s="610"/>
      <c r="F39" s="599"/>
    </row>
    <row r="40" spans="2:82" ht="8.25" hidden="1" customHeight="1" x14ac:dyDescent="0.25">
      <c r="B40" s="594"/>
      <c r="C40" s="588"/>
      <c r="D40" s="588"/>
      <c r="E40" s="588"/>
      <c r="F40" s="600"/>
    </row>
    <row r="41" spans="2:82" ht="41.25" hidden="1" customHeight="1" x14ac:dyDescent="0.25">
      <c r="B41" s="840"/>
      <c r="C41" s="574"/>
      <c r="D41" s="574"/>
      <c r="E41" s="574"/>
      <c r="F41" s="573"/>
      <c r="AM41" s="827" t="s">
        <v>542</v>
      </c>
      <c r="AN41" s="568"/>
      <c r="AO41" s="568"/>
      <c r="AP41" s="568"/>
      <c r="AQ41" s="568"/>
      <c r="AR41" s="568"/>
      <c r="AS41" s="568"/>
      <c r="AT41" s="568"/>
      <c r="AU41" s="568"/>
      <c r="AV41" s="568"/>
      <c r="AW41" s="568"/>
      <c r="AX41" s="568"/>
      <c r="AY41" s="569"/>
      <c r="BA41" s="828" t="s">
        <v>358</v>
      </c>
      <c r="BB41" s="568"/>
      <c r="BC41" s="568"/>
      <c r="BD41" s="568"/>
      <c r="BE41" s="568"/>
      <c r="BF41" s="569"/>
    </row>
    <row r="42" spans="2:82" ht="25.5" hidden="1" customHeight="1" x14ac:dyDescent="0.25">
      <c r="H42" s="49"/>
      <c r="I42" s="49"/>
      <c r="K42" s="49"/>
      <c r="L42" s="49"/>
    </row>
    <row r="43" spans="2:82" ht="38.25" hidden="1" customHeight="1" x14ac:dyDescent="0.25">
      <c r="H43" s="49"/>
      <c r="I43" s="49"/>
      <c r="K43" s="49"/>
      <c r="L43" s="49"/>
      <c r="AY43" s="829" t="s">
        <v>543</v>
      </c>
      <c r="AZ43" s="568"/>
      <c r="BA43" s="568"/>
      <c r="BB43" s="568"/>
      <c r="BC43" s="568"/>
      <c r="BD43" s="568"/>
      <c r="BE43" s="568"/>
      <c r="BF43" s="568"/>
      <c r="BG43" s="568"/>
      <c r="BH43" s="568"/>
      <c r="BI43" s="568"/>
      <c r="BJ43" s="568"/>
      <c r="BK43" s="569"/>
      <c r="BM43" s="830"/>
      <c r="BN43" s="568"/>
      <c r="BO43" s="568"/>
      <c r="BP43" s="568"/>
      <c r="BQ43" s="568"/>
      <c r="BR43" s="569"/>
      <c r="CA43" s="5"/>
      <c r="CD43" s="5"/>
    </row>
    <row r="44" spans="2:82" ht="8.25" customHeight="1" x14ac:dyDescent="0.25"/>
    <row r="45" spans="2:82" ht="37.5" customHeight="1" x14ac:dyDescent="0.25"/>
    <row r="46" spans="2:82" ht="8.25" customHeight="1" x14ac:dyDescent="0.25"/>
    <row r="47" spans="2:82" ht="39.75" customHeight="1" x14ac:dyDescent="0.25">
      <c r="H47" s="49"/>
      <c r="I47" s="49"/>
      <c r="K47" s="49"/>
      <c r="L47" s="49"/>
      <c r="AY47" s="831" t="s">
        <v>544</v>
      </c>
      <c r="AZ47" s="568"/>
      <c r="BA47" s="568"/>
      <c r="BB47" s="568"/>
      <c r="BC47" s="568"/>
      <c r="BD47" s="568"/>
      <c r="BE47" s="568"/>
      <c r="BF47" s="568"/>
      <c r="BG47" s="568"/>
      <c r="BH47" s="568"/>
      <c r="BI47" s="568"/>
      <c r="BJ47" s="568"/>
      <c r="BK47" s="569"/>
      <c r="BM47" s="830"/>
      <c r="BN47" s="568"/>
      <c r="BO47" s="568"/>
      <c r="BP47" s="568"/>
      <c r="BQ47" s="568"/>
      <c r="BR47" s="569"/>
    </row>
    <row r="48" spans="2:82" ht="68.25" customHeight="1" x14ac:dyDescent="0.25">
      <c r="H48" s="49"/>
      <c r="I48" s="49"/>
      <c r="K48" s="49"/>
      <c r="L48" s="49"/>
    </row>
    <row r="49" spans="8:75" ht="42" customHeight="1" x14ac:dyDescent="0.25">
      <c r="H49" s="49"/>
      <c r="I49" s="49"/>
      <c r="K49" s="49"/>
      <c r="L49" s="49"/>
      <c r="BE49" s="832" t="s">
        <v>543</v>
      </c>
      <c r="BF49" s="568"/>
      <c r="BG49" s="568"/>
      <c r="BH49" s="568"/>
      <c r="BI49" s="568"/>
      <c r="BJ49" s="568"/>
      <c r="BK49" s="568"/>
      <c r="BL49" s="568"/>
      <c r="BM49" s="568"/>
      <c r="BN49" s="568"/>
      <c r="BO49" s="568"/>
      <c r="BP49" s="568"/>
      <c r="BQ49" s="569"/>
      <c r="BR49" s="826"/>
      <c r="BS49" s="568"/>
      <c r="BT49" s="568"/>
      <c r="BU49" s="568"/>
      <c r="BV49" s="568"/>
      <c r="BW49" s="569"/>
    </row>
    <row r="50" spans="8:75" ht="8.25" customHeight="1" x14ac:dyDescent="0.25"/>
    <row r="51" spans="8:75" ht="37.5" customHeight="1" x14ac:dyDescent="0.25"/>
    <row r="52" spans="8:75" ht="8.25" customHeight="1" x14ac:dyDescent="0.25"/>
    <row r="53" spans="8:75" ht="42" customHeight="1" x14ac:dyDescent="0.25">
      <c r="H53" s="49"/>
      <c r="I53" s="49"/>
      <c r="K53" s="49"/>
      <c r="L53" s="49"/>
      <c r="BE53" s="833" t="s">
        <v>544</v>
      </c>
      <c r="BF53" s="568"/>
      <c r="BG53" s="568"/>
      <c r="BH53" s="568"/>
      <c r="BI53" s="568"/>
      <c r="BJ53" s="568"/>
      <c r="BK53" s="568"/>
      <c r="BL53" s="568"/>
      <c r="BM53" s="568"/>
      <c r="BN53" s="568"/>
      <c r="BO53" s="568"/>
      <c r="BP53" s="568"/>
      <c r="BQ53" s="569"/>
      <c r="BR53" s="826"/>
      <c r="BS53" s="568"/>
      <c r="BT53" s="568"/>
      <c r="BU53" s="568"/>
      <c r="BV53" s="568"/>
      <c r="BW53" s="569"/>
    </row>
    <row r="54" spans="8:75" ht="14.25" customHeight="1" x14ac:dyDescent="0.25">
      <c r="H54" s="49"/>
      <c r="I54" s="49"/>
      <c r="K54" s="49"/>
      <c r="L54" s="49"/>
    </row>
    <row r="55" spans="8:75" ht="14.25" customHeight="1" x14ac:dyDescent="0.25">
      <c r="H55" s="49"/>
      <c r="I55" s="49"/>
      <c r="K55" s="49"/>
      <c r="L55" s="49"/>
    </row>
    <row r="56" spans="8:75" ht="14.25" customHeight="1" x14ac:dyDescent="0.25">
      <c r="H56" s="49"/>
      <c r="I56" s="49"/>
      <c r="K56" s="49"/>
      <c r="L56" s="49"/>
    </row>
    <row r="57" spans="8:75" ht="14.25" customHeight="1" x14ac:dyDescent="0.25">
      <c r="H57" s="49"/>
      <c r="I57" s="49"/>
      <c r="K57" s="49"/>
      <c r="L57" s="49"/>
    </row>
    <row r="58" spans="8:75" ht="14.25" customHeight="1" x14ac:dyDescent="0.25">
      <c r="H58" s="49"/>
      <c r="I58" s="49"/>
      <c r="K58" s="49"/>
      <c r="L58" s="49"/>
    </row>
    <row r="59" spans="8:75" ht="14.25" customHeight="1" x14ac:dyDescent="0.25">
      <c r="H59" s="49"/>
      <c r="I59" s="49"/>
      <c r="K59" s="49"/>
      <c r="L59" s="49"/>
    </row>
    <row r="60" spans="8:75" ht="14.25" customHeight="1" x14ac:dyDescent="0.25">
      <c r="H60" s="49"/>
      <c r="I60" s="49"/>
      <c r="K60" s="49"/>
      <c r="L60" s="49"/>
    </row>
    <row r="61" spans="8:75" ht="14.25" customHeight="1" x14ac:dyDescent="0.25">
      <c r="H61" s="49"/>
      <c r="I61" s="49"/>
      <c r="K61" s="49"/>
      <c r="L61" s="49"/>
    </row>
    <row r="62" spans="8:75" ht="14.25" customHeight="1" x14ac:dyDescent="0.25">
      <c r="H62" s="49"/>
      <c r="I62" s="49"/>
      <c r="K62" s="49"/>
      <c r="L62" s="49"/>
    </row>
    <row r="63" spans="8:75" ht="14.25" customHeight="1" x14ac:dyDescent="0.25">
      <c r="H63" s="49"/>
      <c r="I63" s="49"/>
      <c r="K63" s="49"/>
      <c r="L63" s="49"/>
    </row>
    <row r="64" spans="8:75" ht="14.25" customHeight="1" x14ac:dyDescent="0.25">
      <c r="H64" s="49"/>
      <c r="I64" s="49"/>
      <c r="K64" s="49"/>
      <c r="L64" s="49"/>
    </row>
    <row r="65" spans="8:12" ht="14.25" customHeight="1" x14ac:dyDescent="0.25">
      <c r="H65" s="49"/>
      <c r="I65" s="49"/>
      <c r="K65" s="49"/>
      <c r="L65" s="49"/>
    </row>
    <row r="66" spans="8:12" ht="14.25" customHeight="1" x14ac:dyDescent="0.25">
      <c r="H66" s="49"/>
      <c r="I66" s="49"/>
      <c r="K66" s="49"/>
      <c r="L66" s="49"/>
    </row>
    <row r="67" spans="8:12" ht="14.25" customHeight="1" x14ac:dyDescent="0.25">
      <c r="H67" s="49"/>
      <c r="I67" s="49"/>
      <c r="K67" s="49"/>
      <c r="L67" s="49"/>
    </row>
    <row r="68" spans="8:12" ht="14.25" customHeight="1" x14ac:dyDescent="0.25">
      <c r="H68" s="49"/>
      <c r="I68" s="49"/>
      <c r="K68" s="49"/>
      <c r="L68" s="49"/>
    </row>
    <row r="69" spans="8:12" ht="14.25" customHeight="1" x14ac:dyDescent="0.25">
      <c r="H69" s="49"/>
      <c r="I69" s="49"/>
      <c r="K69" s="49"/>
      <c r="L69" s="49"/>
    </row>
    <row r="70" spans="8:12" ht="14.25" customHeight="1" x14ac:dyDescent="0.25">
      <c r="H70" s="49"/>
      <c r="I70" s="49"/>
      <c r="K70" s="49"/>
      <c r="L70" s="49"/>
    </row>
    <row r="71" spans="8:12" ht="14.25" customHeight="1" x14ac:dyDescent="0.25">
      <c r="H71" s="49"/>
      <c r="I71" s="49"/>
      <c r="K71" s="49"/>
      <c r="L71" s="49"/>
    </row>
    <row r="72" spans="8:12" ht="14.25" customHeight="1" x14ac:dyDescent="0.25">
      <c r="H72" s="49"/>
      <c r="I72" s="49"/>
      <c r="K72" s="49"/>
      <c r="L72" s="49"/>
    </row>
    <row r="73" spans="8:12" ht="14.25" customHeight="1" x14ac:dyDescent="0.25">
      <c r="H73" s="49"/>
      <c r="I73" s="49"/>
      <c r="K73" s="49"/>
      <c r="L73" s="49"/>
    </row>
    <row r="74" spans="8:12" ht="14.25" customHeight="1" x14ac:dyDescent="0.25">
      <c r="H74" s="49"/>
      <c r="I74" s="49"/>
      <c r="K74" s="49"/>
      <c r="L74" s="49"/>
    </row>
    <row r="75" spans="8:12" ht="14.25" customHeight="1" x14ac:dyDescent="0.25">
      <c r="H75" s="49"/>
      <c r="I75" s="49"/>
      <c r="K75" s="49"/>
      <c r="L75" s="49"/>
    </row>
    <row r="76" spans="8:12" ht="14.25" customHeight="1" x14ac:dyDescent="0.25">
      <c r="H76" s="49"/>
      <c r="I76" s="49"/>
      <c r="K76" s="49"/>
      <c r="L76" s="49"/>
    </row>
    <row r="77" spans="8:12" ht="14.25" customHeight="1" x14ac:dyDescent="0.25">
      <c r="H77" s="49"/>
      <c r="I77" s="49"/>
      <c r="K77" s="49"/>
      <c r="L77" s="49"/>
    </row>
    <row r="78" spans="8:12" ht="14.25" customHeight="1" x14ac:dyDescent="0.25">
      <c r="H78" s="49"/>
      <c r="I78" s="49"/>
      <c r="K78" s="49"/>
      <c r="L78" s="49"/>
    </row>
    <row r="79" spans="8:12" ht="14.25" customHeight="1" x14ac:dyDescent="0.25">
      <c r="H79" s="49"/>
      <c r="I79" s="49"/>
      <c r="K79" s="49"/>
      <c r="L79" s="49"/>
    </row>
    <row r="80" spans="8:12" ht="14.25" customHeight="1" x14ac:dyDescent="0.25">
      <c r="H80" s="49"/>
      <c r="I80" s="49"/>
      <c r="K80" s="49"/>
      <c r="L80" s="49"/>
    </row>
    <row r="81" spans="8:12" ht="14.25" customHeight="1" x14ac:dyDescent="0.25">
      <c r="H81" s="49"/>
      <c r="I81" s="49"/>
      <c r="K81" s="49"/>
      <c r="L81" s="49"/>
    </row>
    <row r="82" spans="8:12" ht="14.25" customHeight="1" x14ac:dyDescent="0.25">
      <c r="H82" s="49"/>
      <c r="I82" s="49"/>
      <c r="K82" s="49"/>
      <c r="L82" s="49"/>
    </row>
    <row r="83" spans="8:12" ht="14.25" customHeight="1" x14ac:dyDescent="0.25">
      <c r="H83" s="49"/>
      <c r="I83" s="49"/>
      <c r="K83" s="49"/>
      <c r="L83" s="49"/>
    </row>
    <row r="84" spans="8:12" ht="14.25" customHeight="1" x14ac:dyDescent="0.25">
      <c r="H84" s="49"/>
      <c r="I84" s="49"/>
      <c r="K84" s="49"/>
      <c r="L84" s="49"/>
    </row>
    <row r="85" spans="8:12" ht="14.25" customHeight="1" x14ac:dyDescent="0.25">
      <c r="H85" s="49"/>
      <c r="I85" s="49"/>
      <c r="K85" s="49"/>
      <c r="L85" s="49"/>
    </row>
    <row r="86" spans="8:12" ht="14.25" customHeight="1" x14ac:dyDescent="0.25">
      <c r="H86" s="49"/>
      <c r="I86" s="49"/>
      <c r="K86" s="49"/>
      <c r="L86" s="49"/>
    </row>
    <row r="87" spans="8:12" ht="14.25" customHeight="1" x14ac:dyDescent="0.25">
      <c r="H87" s="49"/>
      <c r="I87" s="49"/>
      <c r="K87" s="49"/>
      <c r="L87" s="49"/>
    </row>
    <row r="88" spans="8:12" ht="14.25" customHeight="1" x14ac:dyDescent="0.25">
      <c r="H88" s="49"/>
      <c r="I88" s="49"/>
      <c r="K88" s="49"/>
      <c r="L88" s="49"/>
    </row>
    <row r="89" spans="8:12" ht="14.25" customHeight="1" x14ac:dyDescent="0.25">
      <c r="H89" s="49"/>
      <c r="I89" s="49"/>
      <c r="K89" s="49"/>
      <c r="L89" s="49"/>
    </row>
    <row r="90" spans="8:12" ht="14.25" customHeight="1" x14ac:dyDescent="0.25">
      <c r="H90" s="49"/>
      <c r="I90" s="49"/>
      <c r="K90" s="49"/>
      <c r="L90" s="49"/>
    </row>
    <row r="91" spans="8:12" ht="14.25" customHeight="1" x14ac:dyDescent="0.25">
      <c r="H91" s="49"/>
      <c r="I91" s="49"/>
      <c r="K91" s="49"/>
      <c r="L91" s="49"/>
    </row>
    <row r="92" spans="8:12" ht="14.25" customHeight="1" x14ac:dyDescent="0.25">
      <c r="H92" s="49"/>
      <c r="I92" s="49"/>
      <c r="K92" s="49"/>
      <c r="L92" s="49"/>
    </row>
    <row r="93" spans="8:12" ht="14.25" customHeight="1" x14ac:dyDescent="0.25">
      <c r="H93" s="49"/>
      <c r="I93" s="49"/>
      <c r="K93" s="49"/>
      <c r="L93" s="49"/>
    </row>
    <row r="94" spans="8:12" ht="14.25" customHeight="1" x14ac:dyDescent="0.25">
      <c r="H94" s="49"/>
      <c r="I94" s="49"/>
      <c r="K94" s="49"/>
      <c r="L94" s="49"/>
    </row>
    <row r="95" spans="8:12" ht="14.25" customHeight="1" x14ac:dyDescent="0.25">
      <c r="H95" s="49"/>
      <c r="I95" s="49"/>
      <c r="K95" s="49"/>
      <c r="L95" s="49"/>
    </row>
    <row r="96" spans="8:12" ht="14.25" customHeight="1" x14ac:dyDescent="0.25">
      <c r="H96" s="49"/>
      <c r="I96" s="49"/>
      <c r="K96" s="49"/>
      <c r="L96" s="49"/>
    </row>
    <row r="97" spans="8:12" ht="14.25" customHeight="1" x14ac:dyDescent="0.25">
      <c r="H97" s="49"/>
      <c r="I97" s="49"/>
      <c r="K97" s="49"/>
      <c r="L97" s="49"/>
    </row>
    <row r="98" spans="8:12" ht="14.25" customHeight="1" x14ac:dyDescent="0.25">
      <c r="H98" s="49"/>
      <c r="I98" s="49"/>
      <c r="K98" s="49"/>
      <c r="L98" s="49"/>
    </row>
    <row r="99" spans="8:12" ht="14.25" customHeight="1" x14ac:dyDescent="0.25">
      <c r="H99" s="49"/>
      <c r="I99" s="49"/>
      <c r="K99" s="49"/>
      <c r="L99" s="49"/>
    </row>
    <row r="100" spans="8:12" ht="14.25" customHeight="1" x14ac:dyDescent="0.25">
      <c r="H100" s="49"/>
      <c r="I100" s="49"/>
      <c r="K100" s="49"/>
      <c r="L100" s="49"/>
    </row>
    <row r="101" spans="8:12" ht="14.25" customHeight="1" x14ac:dyDescent="0.25">
      <c r="H101" s="49"/>
      <c r="I101" s="49"/>
      <c r="K101" s="49"/>
      <c r="L101" s="49"/>
    </row>
    <row r="102" spans="8:12" ht="14.25" customHeight="1" x14ac:dyDescent="0.25">
      <c r="H102" s="49"/>
      <c r="I102" s="49"/>
      <c r="K102" s="49"/>
      <c r="L102" s="49"/>
    </row>
    <row r="103" spans="8:12" ht="14.25" customHeight="1" x14ac:dyDescent="0.25">
      <c r="H103" s="49"/>
      <c r="I103" s="49"/>
      <c r="K103" s="49"/>
      <c r="L103" s="49"/>
    </row>
    <row r="104" spans="8:12" ht="14.25" customHeight="1" x14ac:dyDescent="0.25">
      <c r="H104" s="49"/>
      <c r="I104" s="49"/>
      <c r="K104" s="49"/>
      <c r="L104" s="49"/>
    </row>
    <row r="105" spans="8:12" ht="14.25" customHeight="1" x14ac:dyDescent="0.25">
      <c r="H105" s="49"/>
      <c r="I105" s="49"/>
      <c r="K105" s="49"/>
      <c r="L105" s="49"/>
    </row>
    <row r="106" spans="8:12" ht="14.25" customHeight="1" x14ac:dyDescent="0.25">
      <c r="H106" s="49"/>
      <c r="I106" s="49"/>
      <c r="K106" s="49"/>
      <c r="L106" s="49"/>
    </row>
    <row r="107" spans="8:12" ht="14.25" customHeight="1" x14ac:dyDescent="0.25">
      <c r="H107" s="49"/>
      <c r="I107" s="49"/>
      <c r="K107" s="49"/>
      <c r="L107" s="49"/>
    </row>
    <row r="108" spans="8:12" ht="14.25" customHeight="1" x14ac:dyDescent="0.25">
      <c r="H108" s="49"/>
      <c r="I108" s="49"/>
      <c r="K108" s="49"/>
      <c r="L108" s="49"/>
    </row>
    <row r="109" spans="8:12" ht="14.25" customHeight="1" x14ac:dyDescent="0.25">
      <c r="H109" s="49"/>
      <c r="I109" s="49"/>
      <c r="K109" s="49"/>
      <c r="L109" s="49"/>
    </row>
    <row r="110" spans="8:12" ht="14.25" customHeight="1" x14ac:dyDescent="0.25">
      <c r="H110" s="49"/>
      <c r="I110" s="49"/>
      <c r="K110" s="49"/>
      <c r="L110" s="49"/>
    </row>
    <row r="111" spans="8:12" ht="14.25" customHeight="1" x14ac:dyDescent="0.25">
      <c r="H111" s="49"/>
      <c r="I111" s="49"/>
      <c r="K111" s="49"/>
      <c r="L111" s="49"/>
    </row>
    <row r="112" spans="8:12" ht="14.25" customHeight="1" x14ac:dyDescent="0.25">
      <c r="H112" s="49"/>
      <c r="I112" s="49"/>
      <c r="K112" s="49"/>
      <c r="L112" s="49"/>
    </row>
    <row r="113" spans="8:12" ht="14.25" customHeight="1" x14ac:dyDescent="0.25">
      <c r="H113" s="49"/>
      <c r="I113" s="49"/>
      <c r="K113" s="49"/>
      <c r="L113" s="49"/>
    </row>
    <row r="114" spans="8:12" ht="14.25" customHeight="1" x14ac:dyDescent="0.25">
      <c r="H114" s="49"/>
      <c r="I114" s="49"/>
      <c r="K114" s="49"/>
      <c r="L114" s="49"/>
    </row>
    <row r="115" spans="8:12" ht="14.25" customHeight="1" x14ac:dyDescent="0.25">
      <c r="H115" s="49"/>
      <c r="I115" s="49"/>
      <c r="K115" s="49"/>
      <c r="L115" s="49"/>
    </row>
    <row r="116" spans="8:12" ht="14.25" customHeight="1" x14ac:dyDescent="0.25">
      <c r="H116" s="49"/>
      <c r="I116" s="49"/>
      <c r="K116" s="49"/>
      <c r="L116" s="49"/>
    </row>
    <row r="117" spans="8:12" ht="14.25" customHeight="1" x14ac:dyDescent="0.25">
      <c r="H117" s="49"/>
      <c r="I117" s="49"/>
      <c r="K117" s="49"/>
      <c r="L117" s="49"/>
    </row>
    <row r="118" spans="8:12" ht="14.25" customHeight="1" x14ac:dyDescent="0.25">
      <c r="H118" s="49"/>
      <c r="I118" s="49"/>
      <c r="K118" s="49"/>
      <c r="L118" s="49"/>
    </row>
    <row r="119" spans="8:12" ht="14.25" customHeight="1" x14ac:dyDescent="0.25">
      <c r="H119" s="49"/>
      <c r="I119" s="49"/>
      <c r="K119" s="49"/>
      <c r="L119" s="49"/>
    </row>
    <row r="120" spans="8:12" ht="14.25" customHeight="1" x14ac:dyDescent="0.25">
      <c r="H120" s="49"/>
      <c r="I120" s="49"/>
      <c r="K120" s="49"/>
      <c r="L120" s="49"/>
    </row>
    <row r="121" spans="8:12" ht="14.25" customHeight="1" x14ac:dyDescent="0.25">
      <c r="H121" s="49"/>
      <c r="I121" s="49"/>
      <c r="K121" s="49"/>
      <c r="L121" s="49"/>
    </row>
    <row r="122" spans="8:12" ht="14.25" customHeight="1" x14ac:dyDescent="0.25">
      <c r="H122" s="49"/>
      <c r="I122" s="49"/>
      <c r="K122" s="49"/>
      <c r="L122" s="49"/>
    </row>
    <row r="123" spans="8:12" ht="14.25" customHeight="1" x14ac:dyDescent="0.25">
      <c r="H123" s="49"/>
      <c r="I123" s="49"/>
      <c r="K123" s="49"/>
      <c r="L123" s="49"/>
    </row>
    <row r="124" spans="8:12" ht="14.25" customHeight="1" x14ac:dyDescent="0.25">
      <c r="H124" s="49"/>
      <c r="I124" s="49"/>
      <c r="K124" s="49"/>
      <c r="L124" s="49"/>
    </row>
    <row r="125" spans="8:12" ht="14.25" customHeight="1" x14ac:dyDescent="0.25">
      <c r="H125" s="49"/>
      <c r="I125" s="49"/>
      <c r="K125" s="49"/>
      <c r="L125" s="49"/>
    </row>
    <row r="126" spans="8:12" ht="14.25" customHeight="1" x14ac:dyDescent="0.25">
      <c r="H126" s="49"/>
      <c r="I126" s="49"/>
      <c r="K126" s="49"/>
      <c r="L126" s="49"/>
    </row>
    <row r="127" spans="8:12" ht="14.25" customHeight="1" x14ac:dyDescent="0.25">
      <c r="H127" s="49"/>
      <c r="I127" s="49"/>
      <c r="K127" s="49"/>
      <c r="L127" s="49"/>
    </row>
    <row r="128" spans="8:12" ht="14.25" customHeight="1" x14ac:dyDescent="0.25">
      <c r="H128" s="49"/>
      <c r="I128" s="49"/>
      <c r="K128" s="49"/>
      <c r="L128" s="49"/>
    </row>
    <row r="129" spans="8:12" ht="14.25" customHeight="1" x14ac:dyDescent="0.25">
      <c r="H129" s="49"/>
      <c r="I129" s="49"/>
      <c r="K129" s="49"/>
      <c r="L129" s="49"/>
    </row>
    <row r="130" spans="8:12" ht="14.25" customHeight="1" x14ac:dyDescent="0.25">
      <c r="H130" s="49"/>
      <c r="I130" s="49"/>
      <c r="K130" s="49"/>
      <c r="L130" s="49"/>
    </row>
    <row r="131" spans="8:12" ht="14.25" customHeight="1" x14ac:dyDescent="0.25">
      <c r="H131" s="49"/>
      <c r="I131" s="49"/>
      <c r="K131" s="49"/>
      <c r="L131" s="49"/>
    </row>
    <row r="132" spans="8:12" ht="14.25" customHeight="1" x14ac:dyDescent="0.25">
      <c r="H132" s="49"/>
      <c r="I132" s="49"/>
      <c r="K132" s="49"/>
      <c r="L132" s="49"/>
    </row>
    <row r="133" spans="8:12" ht="14.25" customHeight="1" x14ac:dyDescent="0.25">
      <c r="H133" s="49"/>
      <c r="I133" s="49"/>
      <c r="K133" s="49"/>
      <c r="L133" s="49"/>
    </row>
    <row r="134" spans="8:12" ht="14.25" customHeight="1" x14ac:dyDescent="0.25">
      <c r="H134" s="49"/>
      <c r="I134" s="49"/>
      <c r="K134" s="49"/>
      <c r="L134" s="49"/>
    </row>
    <row r="135" spans="8:12" ht="14.25" customHeight="1" x14ac:dyDescent="0.25">
      <c r="H135" s="49"/>
      <c r="I135" s="49"/>
      <c r="K135" s="49"/>
      <c r="L135" s="49"/>
    </row>
    <row r="136" spans="8:12" ht="14.25" customHeight="1" x14ac:dyDescent="0.25">
      <c r="H136" s="49"/>
      <c r="I136" s="49"/>
      <c r="K136" s="49"/>
      <c r="L136" s="49"/>
    </row>
    <row r="137" spans="8:12" ht="14.25" customHeight="1" x14ac:dyDescent="0.25">
      <c r="H137" s="49"/>
      <c r="I137" s="49"/>
      <c r="K137" s="49"/>
      <c r="L137" s="49"/>
    </row>
    <row r="138" spans="8:12" ht="14.25" customHeight="1" x14ac:dyDescent="0.25">
      <c r="H138" s="49"/>
      <c r="I138" s="49"/>
      <c r="K138" s="49"/>
      <c r="L138" s="49"/>
    </row>
    <row r="139" spans="8:12" ht="14.25" customHeight="1" x14ac:dyDescent="0.25">
      <c r="H139" s="49"/>
      <c r="I139" s="49"/>
      <c r="K139" s="49"/>
      <c r="L139" s="49"/>
    </row>
    <row r="140" spans="8:12" ht="14.25" customHeight="1" x14ac:dyDescent="0.25">
      <c r="H140" s="49"/>
      <c r="I140" s="49"/>
      <c r="K140" s="49"/>
      <c r="L140" s="49"/>
    </row>
    <row r="141" spans="8:12" ht="14.25" customHeight="1" x14ac:dyDescent="0.25">
      <c r="H141" s="49"/>
      <c r="I141" s="49"/>
      <c r="K141" s="49"/>
      <c r="L141" s="49"/>
    </row>
    <row r="142" spans="8:12" ht="14.25" customHeight="1" x14ac:dyDescent="0.25">
      <c r="H142" s="49"/>
      <c r="I142" s="49"/>
      <c r="K142" s="49"/>
      <c r="L142" s="49"/>
    </row>
    <row r="143" spans="8:12" ht="14.25" customHeight="1" x14ac:dyDescent="0.25">
      <c r="H143" s="49"/>
      <c r="I143" s="49"/>
      <c r="K143" s="49"/>
      <c r="L143" s="49"/>
    </row>
    <row r="144" spans="8:12" ht="14.25" customHeight="1" x14ac:dyDescent="0.25">
      <c r="H144" s="49"/>
      <c r="I144" s="49"/>
      <c r="K144" s="49"/>
      <c r="L144" s="49"/>
    </row>
    <row r="145" spans="8:12" ht="14.25" customHeight="1" x14ac:dyDescent="0.25">
      <c r="H145" s="49"/>
      <c r="I145" s="49"/>
      <c r="K145" s="49"/>
      <c r="L145" s="49"/>
    </row>
    <row r="146" spans="8:12" ht="14.25" customHeight="1" x14ac:dyDescent="0.25">
      <c r="H146" s="49"/>
      <c r="I146" s="49"/>
      <c r="K146" s="49"/>
      <c r="L146" s="49"/>
    </row>
    <row r="147" spans="8:12" ht="14.25" customHeight="1" x14ac:dyDescent="0.25">
      <c r="H147" s="49"/>
      <c r="I147" s="49"/>
      <c r="K147" s="49"/>
      <c r="L147" s="49"/>
    </row>
    <row r="148" spans="8:12" ht="14.25" customHeight="1" x14ac:dyDescent="0.25">
      <c r="H148" s="49"/>
      <c r="I148" s="49"/>
      <c r="K148" s="49"/>
      <c r="L148" s="49"/>
    </row>
    <row r="149" spans="8:12" ht="14.25" customHeight="1" x14ac:dyDescent="0.25">
      <c r="H149" s="49"/>
      <c r="I149" s="49"/>
      <c r="K149" s="49"/>
      <c r="L149" s="49"/>
    </row>
    <row r="150" spans="8:12" ht="14.25" customHeight="1" x14ac:dyDescent="0.25">
      <c r="H150" s="49"/>
      <c r="I150" s="49"/>
      <c r="K150" s="49"/>
      <c r="L150" s="49"/>
    </row>
    <row r="151" spans="8:12" ht="14.25" customHeight="1" x14ac:dyDescent="0.25">
      <c r="H151" s="49"/>
      <c r="I151" s="49"/>
      <c r="K151" s="49"/>
      <c r="L151" s="49"/>
    </row>
    <row r="152" spans="8:12" ht="14.25" customHeight="1" x14ac:dyDescent="0.25">
      <c r="H152" s="49"/>
      <c r="I152" s="49"/>
      <c r="K152" s="49"/>
      <c r="L152" s="49"/>
    </row>
    <row r="153" spans="8:12" ht="14.25" customHeight="1" x14ac:dyDescent="0.25">
      <c r="H153" s="49"/>
      <c r="I153" s="49"/>
      <c r="K153" s="49"/>
      <c r="L153" s="49"/>
    </row>
    <row r="154" spans="8:12" ht="14.25" customHeight="1" x14ac:dyDescent="0.25">
      <c r="H154" s="49"/>
      <c r="I154" s="49"/>
      <c r="K154" s="49"/>
      <c r="L154" s="49"/>
    </row>
    <row r="155" spans="8:12" ht="14.25" customHeight="1" x14ac:dyDescent="0.25">
      <c r="H155" s="49"/>
      <c r="I155" s="49"/>
      <c r="K155" s="49"/>
      <c r="L155" s="49"/>
    </row>
    <row r="156" spans="8:12" ht="14.25" customHeight="1" x14ac:dyDescent="0.25">
      <c r="H156" s="49"/>
      <c r="I156" s="49"/>
      <c r="K156" s="49"/>
      <c r="L156" s="49"/>
    </row>
    <row r="157" spans="8:12" ht="14.25" customHeight="1" x14ac:dyDescent="0.25">
      <c r="H157" s="49"/>
      <c r="I157" s="49"/>
      <c r="K157" s="49"/>
      <c r="L157" s="49"/>
    </row>
    <row r="158" spans="8:12" ht="14.25" customHeight="1" x14ac:dyDescent="0.25">
      <c r="H158" s="49"/>
      <c r="I158" s="49"/>
      <c r="K158" s="49"/>
      <c r="L158" s="49"/>
    </row>
    <row r="159" spans="8:12" ht="14.25" customHeight="1" x14ac:dyDescent="0.25">
      <c r="H159" s="49"/>
      <c r="I159" s="49"/>
      <c r="K159" s="49"/>
      <c r="L159" s="49"/>
    </row>
    <row r="160" spans="8:12" ht="14.25" customHeight="1" x14ac:dyDescent="0.25">
      <c r="H160" s="49"/>
      <c r="I160" s="49"/>
      <c r="K160" s="49"/>
      <c r="L160" s="49"/>
    </row>
    <row r="161" spans="8:12" ht="14.25" customHeight="1" x14ac:dyDescent="0.25">
      <c r="H161" s="49"/>
      <c r="I161" s="49"/>
      <c r="K161" s="49"/>
      <c r="L161" s="49"/>
    </row>
    <row r="162" spans="8:12" ht="14.25" customHeight="1" x14ac:dyDescent="0.25">
      <c r="H162" s="49"/>
      <c r="I162" s="49"/>
      <c r="K162" s="49"/>
      <c r="L162" s="49"/>
    </row>
    <row r="163" spans="8:12" ht="14.25" customHeight="1" x14ac:dyDescent="0.25">
      <c r="H163" s="49"/>
      <c r="I163" s="49"/>
      <c r="K163" s="49"/>
      <c r="L163" s="49"/>
    </row>
    <row r="164" spans="8:12" ht="14.25" customHeight="1" x14ac:dyDescent="0.25">
      <c r="H164" s="49"/>
      <c r="I164" s="49"/>
      <c r="K164" s="49"/>
      <c r="L164" s="49"/>
    </row>
    <row r="165" spans="8:12" ht="14.25" customHeight="1" x14ac:dyDescent="0.25">
      <c r="H165" s="49"/>
      <c r="I165" s="49"/>
      <c r="K165" s="49"/>
      <c r="L165" s="49"/>
    </row>
    <row r="166" spans="8:12" ht="14.25" customHeight="1" x14ac:dyDescent="0.25">
      <c r="H166" s="49"/>
      <c r="I166" s="49"/>
      <c r="K166" s="49"/>
      <c r="L166" s="49"/>
    </row>
    <row r="167" spans="8:12" ht="14.25" customHeight="1" x14ac:dyDescent="0.25">
      <c r="H167" s="49"/>
      <c r="I167" s="49"/>
      <c r="K167" s="49"/>
      <c r="L167" s="49"/>
    </row>
    <row r="168" spans="8:12" ht="14.25" customHeight="1" x14ac:dyDescent="0.25">
      <c r="H168" s="49"/>
      <c r="I168" s="49"/>
      <c r="K168" s="49"/>
      <c r="L168" s="49"/>
    </row>
    <row r="169" spans="8:12" ht="14.25" customHeight="1" x14ac:dyDescent="0.25">
      <c r="H169" s="49"/>
      <c r="I169" s="49"/>
      <c r="K169" s="49"/>
      <c r="L169" s="49"/>
    </row>
    <row r="170" spans="8:12" ht="14.25" customHeight="1" x14ac:dyDescent="0.25">
      <c r="H170" s="49"/>
      <c r="I170" s="49"/>
      <c r="K170" s="49"/>
      <c r="L170" s="49"/>
    </row>
    <row r="171" spans="8:12" ht="14.25" customHeight="1" x14ac:dyDescent="0.25">
      <c r="H171" s="49"/>
      <c r="I171" s="49"/>
      <c r="K171" s="49"/>
      <c r="L171" s="49"/>
    </row>
    <row r="172" spans="8:12" ht="14.25" customHeight="1" x14ac:dyDescent="0.25">
      <c r="H172" s="49"/>
      <c r="I172" s="49"/>
      <c r="K172" s="49"/>
      <c r="L172" s="49"/>
    </row>
    <row r="173" spans="8:12" ht="14.25" customHeight="1" x14ac:dyDescent="0.25">
      <c r="H173" s="49"/>
      <c r="I173" s="49"/>
      <c r="K173" s="49"/>
      <c r="L173" s="49"/>
    </row>
    <row r="174" spans="8:12" ht="14.25" customHeight="1" x14ac:dyDescent="0.25">
      <c r="H174" s="49"/>
      <c r="I174" s="49"/>
      <c r="K174" s="49"/>
      <c r="L174" s="49"/>
    </row>
    <row r="175" spans="8:12" ht="14.25" customHeight="1" x14ac:dyDescent="0.25">
      <c r="H175" s="49"/>
      <c r="I175" s="49"/>
      <c r="K175" s="49"/>
      <c r="L175" s="49"/>
    </row>
    <row r="176" spans="8:12" ht="14.25" customHeight="1" x14ac:dyDescent="0.25">
      <c r="H176" s="49"/>
      <c r="I176" s="49"/>
      <c r="K176" s="49"/>
      <c r="L176" s="49"/>
    </row>
    <row r="177" spans="8:12" ht="14.25" customHeight="1" x14ac:dyDescent="0.25">
      <c r="H177" s="49"/>
      <c r="I177" s="49"/>
      <c r="K177" s="49"/>
      <c r="L177" s="49"/>
    </row>
    <row r="178" spans="8:12" ht="14.25" customHeight="1" x14ac:dyDescent="0.25">
      <c r="H178" s="49"/>
      <c r="I178" s="49"/>
      <c r="K178" s="49"/>
      <c r="L178" s="49"/>
    </row>
    <row r="179" spans="8:12" ht="14.25" customHeight="1" x14ac:dyDescent="0.25">
      <c r="H179" s="49"/>
      <c r="I179" s="49"/>
      <c r="K179" s="49"/>
      <c r="L179" s="49"/>
    </row>
    <row r="180" spans="8:12" ht="14.25" customHeight="1" x14ac:dyDescent="0.25">
      <c r="H180" s="49"/>
      <c r="I180" s="49"/>
      <c r="K180" s="49"/>
      <c r="L180" s="49"/>
    </row>
    <row r="181" spans="8:12" ht="14.25" customHeight="1" x14ac:dyDescent="0.25">
      <c r="H181" s="49"/>
      <c r="I181" s="49"/>
      <c r="K181" s="49"/>
      <c r="L181" s="49"/>
    </row>
    <row r="182" spans="8:12" ht="14.25" customHeight="1" x14ac:dyDescent="0.25">
      <c r="H182" s="49"/>
      <c r="I182" s="49"/>
      <c r="K182" s="49"/>
      <c r="L182" s="49"/>
    </row>
    <row r="183" spans="8:12" ht="14.25" customHeight="1" x14ac:dyDescent="0.25">
      <c r="H183" s="49"/>
      <c r="I183" s="49"/>
      <c r="K183" s="49"/>
      <c r="L183" s="49"/>
    </row>
    <row r="184" spans="8:12" ht="14.25" customHeight="1" x14ac:dyDescent="0.25">
      <c r="H184" s="49"/>
      <c r="I184" s="49"/>
      <c r="K184" s="49"/>
      <c r="L184" s="49"/>
    </row>
    <row r="185" spans="8:12" ht="14.25" customHeight="1" x14ac:dyDescent="0.25">
      <c r="H185" s="49"/>
      <c r="I185" s="49"/>
      <c r="K185" s="49"/>
      <c r="L185" s="49"/>
    </row>
    <row r="186" spans="8:12" ht="14.25" customHeight="1" x14ac:dyDescent="0.25">
      <c r="H186" s="49"/>
      <c r="I186" s="49"/>
      <c r="K186" s="49"/>
      <c r="L186" s="49"/>
    </row>
    <row r="187" spans="8:12" ht="14.25" customHeight="1" x14ac:dyDescent="0.25">
      <c r="H187" s="49"/>
      <c r="I187" s="49"/>
      <c r="K187" s="49"/>
      <c r="L187" s="49"/>
    </row>
    <row r="188" spans="8:12" ht="14.25" customHeight="1" x14ac:dyDescent="0.25">
      <c r="H188" s="49"/>
      <c r="I188" s="49"/>
      <c r="K188" s="49"/>
      <c r="L188" s="49"/>
    </row>
    <row r="189" spans="8:12" ht="14.25" customHeight="1" x14ac:dyDescent="0.25">
      <c r="H189" s="49"/>
      <c r="I189" s="49"/>
      <c r="K189" s="49"/>
      <c r="L189" s="49"/>
    </row>
    <row r="190" spans="8:12" ht="14.25" customHeight="1" x14ac:dyDescent="0.25">
      <c r="H190" s="49"/>
      <c r="I190" s="49"/>
      <c r="K190" s="49"/>
      <c r="L190" s="49"/>
    </row>
    <row r="191" spans="8:12" ht="14.25" customHeight="1" x14ac:dyDescent="0.25">
      <c r="H191" s="49"/>
      <c r="I191" s="49"/>
      <c r="K191" s="49"/>
      <c r="L191" s="49"/>
    </row>
    <row r="192" spans="8:12" ht="14.25" customHeight="1" x14ac:dyDescent="0.25">
      <c r="H192" s="49"/>
      <c r="I192" s="49"/>
      <c r="K192" s="49"/>
      <c r="L192" s="49"/>
    </row>
    <row r="193" spans="8:12" ht="14.25" customHeight="1" x14ac:dyDescent="0.25">
      <c r="H193" s="49"/>
      <c r="I193" s="49"/>
      <c r="K193" s="49"/>
      <c r="L193" s="49"/>
    </row>
    <row r="194" spans="8:12" ht="14.25" customHeight="1" x14ac:dyDescent="0.25">
      <c r="H194" s="49"/>
      <c r="I194" s="49"/>
      <c r="K194" s="49"/>
      <c r="L194" s="49"/>
    </row>
    <row r="195" spans="8:12" ht="14.25" customHeight="1" x14ac:dyDescent="0.25">
      <c r="H195" s="49"/>
      <c r="I195" s="49"/>
      <c r="K195" s="49"/>
      <c r="L195" s="49"/>
    </row>
    <row r="196" spans="8:12" ht="14.25" customHeight="1" x14ac:dyDescent="0.25">
      <c r="H196" s="49"/>
      <c r="I196" s="49"/>
      <c r="K196" s="49"/>
      <c r="L196" s="49"/>
    </row>
    <row r="197" spans="8:12" ht="14.25" customHeight="1" x14ac:dyDescent="0.25">
      <c r="H197" s="49"/>
      <c r="I197" s="49"/>
      <c r="K197" s="49"/>
      <c r="L197" s="49"/>
    </row>
    <row r="198" spans="8:12" ht="14.25" customHeight="1" x14ac:dyDescent="0.25">
      <c r="H198" s="49"/>
      <c r="I198" s="49"/>
      <c r="K198" s="49"/>
      <c r="L198" s="49"/>
    </row>
    <row r="199" spans="8:12" ht="14.25" customHeight="1" x14ac:dyDescent="0.25">
      <c r="H199" s="49"/>
      <c r="I199" s="49"/>
      <c r="K199" s="49"/>
      <c r="L199" s="49"/>
    </row>
    <row r="200" spans="8:12" ht="14.25" customHeight="1" x14ac:dyDescent="0.25">
      <c r="H200" s="49"/>
      <c r="I200" s="49"/>
      <c r="K200" s="49"/>
      <c r="L200" s="49"/>
    </row>
    <row r="201" spans="8:12" ht="14.25" customHeight="1" x14ac:dyDescent="0.25">
      <c r="H201" s="49"/>
      <c r="I201" s="49"/>
      <c r="K201" s="49"/>
      <c r="L201" s="49"/>
    </row>
    <row r="202" spans="8:12" ht="14.25" customHeight="1" x14ac:dyDescent="0.25">
      <c r="H202" s="49"/>
      <c r="I202" s="49"/>
      <c r="K202" s="49"/>
      <c r="L202" s="49"/>
    </row>
    <row r="203" spans="8:12" ht="14.25" customHeight="1" x14ac:dyDescent="0.25">
      <c r="H203" s="49"/>
      <c r="I203" s="49"/>
      <c r="K203" s="49"/>
      <c r="L203" s="49"/>
    </row>
    <row r="204" spans="8:12" ht="14.25" customHeight="1" x14ac:dyDescent="0.25">
      <c r="H204" s="49"/>
      <c r="I204" s="49"/>
      <c r="K204" s="49"/>
      <c r="L204" s="49"/>
    </row>
    <row r="205" spans="8:12" ht="14.25" customHeight="1" x14ac:dyDescent="0.25">
      <c r="H205" s="49"/>
      <c r="I205" s="49"/>
      <c r="K205" s="49"/>
      <c r="L205" s="49"/>
    </row>
    <row r="206" spans="8:12" ht="14.25" customHeight="1" x14ac:dyDescent="0.25">
      <c r="H206" s="49"/>
      <c r="I206" s="49"/>
      <c r="K206" s="49"/>
      <c r="L206" s="49"/>
    </row>
    <row r="207" spans="8:12" ht="14.25" customHeight="1" x14ac:dyDescent="0.25">
      <c r="H207" s="49"/>
      <c r="I207" s="49"/>
      <c r="K207" s="49"/>
      <c r="L207" s="49"/>
    </row>
    <row r="208" spans="8:12" ht="14.25" customHeight="1" x14ac:dyDescent="0.25">
      <c r="H208" s="49"/>
      <c r="I208" s="49"/>
      <c r="K208" s="49"/>
      <c r="L208" s="49"/>
    </row>
    <row r="209" spans="8:12" ht="14.25" customHeight="1" x14ac:dyDescent="0.25">
      <c r="H209" s="49"/>
      <c r="I209" s="49"/>
      <c r="K209" s="49"/>
      <c r="L209" s="49"/>
    </row>
    <row r="210" spans="8:12" ht="14.25" customHeight="1" x14ac:dyDescent="0.25">
      <c r="H210" s="49"/>
      <c r="I210" s="49"/>
      <c r="K210" s="49"/>
      <c r="L210" s="49"/>
    </row>
    <row r="211" spans="8:12" ht="14.25" customHeight="1" x14ac:dyDescent="0.25">
      <c r="H211" s="49"/>
      <c r="I211" s="49"/>
      <c r="K211" s="49"/>
      <c r="L211" s="49"/>
    </row>
    <row r="212" spans="8:12" ht="14.25" customHeight="1" x14ac:dyDescent="0.25">
      <c r="H212" s="49"/>
      <c r="I212" s="49"/>
      <c r="K212" s="49"/>
      <c r="L212" s="49"/>
    </row>
    <row r="213" spans="8:12" ht="14.25" customHeight="1" x14ac:dyDescent="0.25">
      <c r="H213" s="49"/>
      <c r="I213" s="49"/>
      <c r="K213" s="49"/>
      <c r="L213" s="49"/>
    </row>
    <row r="214" spans="8:12" ht="14.25" customHeight="1" x14ac:dyDescent="0.25">
      <c r="H214" s="49"/>
      <c r="I214" s="49"/>
      <c r="K214" s="49"/>
      <c r="L214" s="49"/>
    </row>
    <row r="215" spans="8:12" ht="14.25" customHeight="1" x14ac:dyDescent="0.25">
      <c r="H215" s="49"/>
      <c r="I215" s="49"/>
      <c r="K215" s="49"/>
      <c r="L215" s="49"/>
    </row>
    <row r="216" spans="8:12" ht="14.25" customHeight="1" x14ac:dyDescent="0.25">
      <c r="H216" s="49"/>
      <c r="I216" s="49"/>
      <c r="K216" s="49"/>
      <c r="L216" s="49"/>
    </row>
    <row r="217" spans="8:12" ht="14.25" customHeight="1" x14ac:dyDescent="0.25">
      <c r="H217" s="49"/>
      <c r="I217" s="49"/>
      <c r="K217" s="49"/>
      <c r="L217" s="49"/>
    </row>
    <row r="218" spans="8:12" ht="14.25" customHeight="1" x14ac:dyDescent="0.25">
      <c r="H218" s="49"/>
      <c r="I218" s="49"/>
      <c r="K218" s="49"/>
      <c r="L218" s="49"/>
    </row>
    <row r="219" spans="8:12" ht="14.25" customHeight="1" x14ac:dyDescent="0.25">
      <c r="H219" s="49"/>
      <c r="I219" s="49"/>
      <c r="K219" s="49"/>
      <c r="L219" s="49"/>
    </row>
    <row r="220" spans="8:12" ht="14.25" customHeight="1" x14ac:dyDescent="0.25">
      <c r="H220" s="49"/>
      <c r="I220" s="49"/>
      <c r="K220" s="49"/>
      <c r="L220" s="49"/>
    </row>
    <row r="221" spans="8:12" ht="14.25" customHeight="1" x14ac:dyDescent="0.25">
      <c r="H221" s="49"/>
      <c r="I221" s="49"/>
      <c r="K221" s="49"/>
      <c r="L221" s="49"/>
    </row>
    <row r="222" spans="8:12" ht="14.25" customHeight="1" x14ac:dyDescent="0.25">
      <c r="H222" s="49"/>
      <c r="I222" s="49"/>
      <c r="K222" s="49"/>
      <c r="L222" s="49"/>
    </row>
    <row r="223" spans="8:12" ht="14.25" customHeight="1" x14ac:dyDescent="0.25">
      <c r="H223" s="49"/>
      <c r="I223" s="49"/>
      <c r="K223" s="49"/>
      <c r="L223" s="49"/>
    </row>
    <row r="224" spans="8:12" ht="14.25" customHeight="1" x14ac:dyDescent="0.25">
      <c r="H224" s="49"/>
      <c r="I224" s="49"/>
      <c r="K224" s="49"/>
      <c r="L224" s="49"/>
    </row>
    <row r="225" spans="8:12" ht="14.25" customHeight="1" x14ac:dyDescent="0.25">
      <c r="H225" s="49"/>
      <c r="I225" s="49"/>
      <c r="K225" s="49"/>
      <c r="L225" s="49"/>
    </row>
    <row r="226" spans="8:12" ht="14.25" customHeight="1" x14ac:dyDescent="0.25">
      <c r="H226" s="49"/>
      <c r="I226" s="49"/>
      <c r="K226" s="49"/>
      <c r="L226" s="49"/>
    </row>
    <row r="227" spans="8:12" ht="14.25" customHeight="1" x14ac:dyDescent="0.25">
      <c r="H227" s="49"/>
      <c r="I227" s="49"/>
      <c r="K227" s="49"/>
      <c r="L227" s="49"/>
    </row>
    <row r="228" spans="8:12" ht="14.25" customHeight="1" x14ac:dyDescent="0.25">
      <c r="H228" s="49"/>
      <c r="I228" s="49"/>
      <c r="K228" s="49"/>
      <c r="L228" s="49"/>
    </row>
    <row r="229" spans="8:12" ht="14.25" customHeight="1" x14ac:dyDescent="0.25">
      <c r="H229" s="49"/>
      <c r="I229" s="49"/>
      <c r="K229" s="49"/>
      <c r="L229" s="49"/>
    </row>
    <row r="230" spans="8:12" ht="14.25" customHeight="1" x14ac:dyDescent="0.25">
      <c r="H230" s="49"/>
      <c r="I230" s="49"/>
      <c r="K230" s="49"/>
      <c r="L230" s="49"/>
    </row>
    <row r="231" spans="8:12" ht="14.25" customHeight="1" x14ac:dyDescent="0.25">
      <c r="H231" s="49"/>
      <c r="I231" s="49"/>
      <c r="K231" s="49"/>
      <c r="L231" s="49"/>
    </row>
    <row r="232" spans="8:12" ht="14.25" customHeight="1" x14ac:dyDescent="0.25">
      <c r="H232" s="49"/>
      <c r="I232" s="49"/>
      <c r="K232" s="49"/>
      <c r="L232" s="49"/>
    </row>
    <row r="233" spans="8:12" ht="14.25" customHeight="1" x14ac:dyDescent="0.25">
      <c r="H233" s="49"/>
      <c r="I233" s="49"/>
      <c r="K233" s="49"/>
      <c r="L233" s="49"/>
    </row>
    <row r="234" spans="8:12" ht="14.25" customHeight="1" x14ac:dyDescent="0.25">
      <c r="H234" s="49"/>
      <c r="I234" s="49"/>
      <c r="K234" s="49"/>
      <c r="L234" s="49"/>
    </row>
    <row r="235" spans="8:12" ht="14.25" customHeight="1" x14ac:dyDescent="0.25">
      <c r="H235" s="49"/>
      <c r="I235" s="49"/>
      <c r="K235" s="49"/>
      <c r="L235" s="49"/>
    </row>
    <row r="236" spans="8:12" ht="14.25" customHeight="1" x14ac:dyDescent="0.25">
      <c r="H236" s="49"/>
      <c r="I236" s="49"/>
      <c r="K236" s="49"/>
      <c r="L236" s="49"/>
    </row>
    <row r="237" spans="8:12" ht="14.25" customHeight="1" x14ac:dyDescent="0.25">
      <c r="H237" s="49"/>
      <c r="I237" s="49"/>
      <c r="K237" s="49"/>
      <c r="L237" s="49"/>
    </row>
    <row r="238" spans="8:12" ht="14.25" customHeight="1" x14ac:dyDescent="0.25">
      <c r="H238" s="49"/>
      <c r="I238" s="49"/>
      <c r="K238" s="49"/>
      <c r="L238" s="49"/>
    </row>
    <row r="239" spans="8:12" ht="14.25" customHeight="1" x14ac:dyDescent="0.25">
      <c r="H239" s="49"/>
      <c r="I239" s="49"/>
      <c r="K239" s="49"/>
      <c r="L239" s="49"/>
    </row>
    <row r="240" spans="8:12" ht="14.25" customHeight="1" x14ac:dyDescent="0.25">
      <c r="H240" s="49"/>
      <c r="I240" s="49"/>
      <c r="K240" s="49"/>
      <c r="L240" s="49"/>
    </row>
    <row r="241" spans="8:12" ht="14.25" customHeight="1" x14ac:dyDescent="0.25">
      <c r="H241" s="49"/>
      <c r="I241" s="49"/>
      <c r="K241" s="49"/>
      <c r="L241" s="49"/>
    </row>
    <row r="242" spans="8:12" ht="14.25" customHeight="1" x14ac:dyDescent="0.25">
      <c r="H242" s="49"/>
      <c r="I242" s="49"/>
      <c r="K242" s="49"/>
      <c r="L242" s="49"/>
    </row>
    <row r="243" spans="8:12" ht="14.25" customHeight="1" x14ac:dyDescent="0.25">
      <c r="H243" s="49"/>
      <c r="I243" s="49"/>
      <c r="K243" s="49"/>
      <c r="L243" s="49"/>
    </row>
    <row r="244" spans="8:12" ht="14.25" customHeight="1" x14ac:dyDescent="0.25">
      <c r="H244" s="49"/>
      <c r="I244" s="49"/>
      <c r="K244" s="49"/>
      <c r="L244" s="49"/>
    </row>
    <row r="245" spans="8:12" ht="14.25" customHeight="1" x14ac:dyDescent="0.25">
      <c r="H245" s="49"/>
      <c r="I245" s="49"/>
      <c r="K245" s="49"/>
      <c r="L245" s="49"/>
    </row>
    <row r="246" spans="8:12" ht="14.25" customHeight="1" x14ac:dyDescent="0.25">
      <c r="H246" s="49"/>
      <c r="I246" s="49"/>
      <c r="K246" s="49"/>
      <c r="L246" s="49"/>
    </row>
    <row r="247" spans="8:12" ht="14.25" customHeight="1" x14ac:dyDescent="0.25">
      <c r="H247" s="49"/>
      <c r="I247" s="49"/>
      <c r="K247" s="49"/>
      <c r="L247" s="49"/>
    </row>
    <row r="248" spans="8:12" ht="14.25" customHeight="1" x14ac:dyDescent="0.25">
      <c r="H248" s="49"/>
      <c r="I248" s="49"/>
      <c r="K248" s="49"/>
      <c r="L248" s="49"/>
    </row>
    <row r="249" spans="8:12" ht="14.25" customHeight="1" x14ac:dyDescent="0.25">
      <c r="H249" s="49"/>
      <c r="I249" s="49"/>
      <c r="K249" s="49"/>
      <c r="L249" s="49"/>
    </row>
    <row r="250" spans="8:12" ht="14.25" customHeight="1" x14ac:dyDescent="0.25">
      <c r="H250" s="49"/>
      <c r="I250" s="49"/>
      <c r="K250" s="49"/>
      <c r="L250" s="49"/>
    </row>
    <row r="251" spans="8:12" ht="14.25" customHeight="1" x14ac:dyDescent="0.25">
      <c r="H251" s="49"/>
      <c r="I251" s="49"/>
      <c r="K251" s="49"/>
      <c r="L251" s="49"/>
    </row>
    <row r="252" spans="8:12" ht="14.25" customHeight="1" x14ac:dyDescent="0.25">
      <c r="H252" s="49"/>
      <c r="I252" s="49"/>
      <c r="K252" s="49"/>
      <c r="L252" s="49"/>
    </row>
    <row r="253" spans="8:12" ht="14.25" customHeight="1" x14ac:dyDescent="0.25">
      <c r="H253" s="49"/>
      <c r="I253" s="49"/>
      <c r="K253" s="49"/>
      <c r="L253" s="49"/>
    </row>
    <row r="254" spans="8:12" ht="15.75" customHeight="1" x14ac:dyDescent="0.25"/>
    <row r="255" spans="8:12" ht="15.75" customHeight="1" x14ac:dyDescent="0.25"/>
    <row r="256" spans="8:12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7">
    <mergeCell ref="Q18:AF18"/>
    <mergeCell ref="AG18:AL18"/>
    <mergeCell ref="AF24:AR24"/>
    <mergeCell ref="AS24:AX24"/>
    <mergeCell ref="AF28:AR28"/>
    <mergeCell ref="B35:F37"/>
    <mergeCell ref="B38:F40"/>
    <mergeCell ref="B41:F41"/>
    <mergeCell ref="B14:F16"/>
    <mergeCell ref="B17:F19"/>
    <mergeCell ref="B20:F22"/>
    <mergeCell ref="B23:F25"/>
    <mergeCell ref="B26:F28"/>
    <mergeCell ref="B29:F31"/>
    <mergeCell ref="B32:F34"/>
    <mergeCell ref="B10:F12"/>
    <mergeCell ref="Q10:AL10"/>
    <mergeCell ref="AF12:AG12"/>
    <mergeCell ref="AG14:AL14"/>
    <mergeCell ref="AI16:AJ16"/>
    <mergeCell ref="AC16:AD16"/>
    <mergeCell ref="AF16:AG16"/>
    <mergeCell ref="AC12:AD12"/>
    <mergeCell ref="Q14:AF14"/>
    <mergeCell ref="Z12:AA12"/>
    <mergeCell ref="Z16:AA16"/>
    <mergeCell ref="AI12:AJ12"/>
    <mergeCell ref="AL12:AM12"/>
    <mergeCell ref="AO12:AP12"/>
    <mergeCell ref="AM10:AR10"/>
    <mergeCell ref="AS28:AX28"/>
    <mergeCell ref="AU10:AV10"/>
    <mergeCell ref="AU14:AV14"/>
    <mergeCell ref="AL31:AX31"/>
    <mergeCell ref="AY31:BD31"/>
    <mergeCell ref="AL35:AX35"/>
    <mergeCell ref="AY35:BD35"/>
    <mergeCell ref="AM37:AY37"/>
    <mergeCell ref="BA37:BE37"/>
    <mergeCell ref="BR53:BW53"/>
    <mergeCell ref="AM41:AY41"/>
    <mergeCell ref="BA41:BF41"/>
    <mergeCell ref="AY43:BK43"/>
    <mergeCell ref="BM43:BR43"/>
    <mergeCell ref="AY47:BK47"/>
    <mergeCell ref="BM47:BR47"/>
    <mergeCell ref="BR49:BW49"/>
    <mergeCell ref="BE49:BQ49"/>
    <mergeCell ref="BE53:BQ53"/>
    <mergeCell ref="CB5:CC5"/>
    <mergeCell ref="H3:L3"/>
    <mergeCell ref="N3:AV3"/>
    <mergeCell ref="AX3:CF3"/>
    <mergeCell ref="H5:L5"/>
    <mergeCell ref="N5:O5"/>
    <mergeCell ref="Q5:R5"/>
    <mergeCell ref="T5:U5"/>
    <mergeCell ref="CE5:CF5"/>
    <mergeCell ref="AC5:AD5"/>
    <mergeCell ref="AF5:AG5"/>
    <mergeCell ref="AI5:AJ5"/>
    <mergeCell ref="AL5:AM5"/>
    <mergeCell ref="W5:X5"/>
    <mergeCell ref="Z5:AA5"/>
    <mergeCell ref="BG5:BH5"/>
    <mergeCell ref="BS5:BT5"/>
    <mergeCell ref="BV5:BW5"/>
    <mergeCell ref="BY5:BZ5"/>
    <mergeCell ref="AO5:AP5"/>
    <mergeCell ref="AR5:AS5"/>
    <mergeCell ref="BD5:BE5"/>
    <mergeCell ref="BM5:BN5"/>
    <mergeCell ref="BP5:BQ5"/>
    <mergeCell ref="AU5:AV5"/>
    <mergeCell ref="AX5:AY5"/>
    <mergeCell ref="BA5:BB5"/>
    <mergeCell ref="BJ5:BK5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Q100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ColWidth="14.42578125" defaultRowHeight="15" customHeight="1" x14ac:dyDescent="0.25"/>
  <cols>
    <col min="1" max="1" width="2.140625" customWidth="1"/>
    <col min="2" max="2" width="33.42578125" customWidth="1"/>
    <col min="3" max="3" width="1.28515625" customWidth="1"/>
    <col min="4" max="5" width="43" hidden="1" customWidth="1"/>
    <col min="6" max="6" width="2.28515625" hidden="1" customWidth="1"/>
    <col min="7" max="8" width="43" hidden="1" customWidth="1"/>
    <col min="9" max="9" width="2.28515625" hidden="1" customWidth="1"/>
    <col min="10" max="13" width="60.7109375" hidden="1" customWidth="1"/>
    <col min="14" max="14" width="6.42578125" customWidth="1"/>
    <col min="15" max="18" width="30.7109375" customWidth="1"/>
    <col min="19" max="19" width="2" customWidth="1"/>
    <col min="20" max="23" width="30.7109375" customWidth="1"/>
    <col min="24" max="24" width="2" customWidth="1"/>
    <col min="25" max="28" width="30.7109375" customWidth="1"/>
    <col min="29" max="29" width="2" customWidth="1"/>
    <col min="30" max="33" width="30.7109375" customWidth="1"/>
    <col min="34" max="34" width="2" customWidth="1"/>
    <col min="35" max="38" width="30.7109375" customWidth="1"/>
    <col min="39" max="39" width="2" customWidth="1"/>
    <col min="40" max="43" width="30.7109375" customWidth="1"/>
  </cols>
  <sheetData>
    <row r="1" spans="2:43" ht="14.25" customHeight="1" x14ac:dyDescent="0.25">
      <c r="D1" s="49"/>
      <c r="E1" s="49"/>
      <c r="G1" s="49"/>
      <c r="H1" s="49"/>
      <c r="O1" s="13"/>
      <c r="P1" s="13"/>
      <c r="Q1" s="13"/>
      <c r="R1" s="13"/>
    </row>
    <row r="2" spans="2:43" ht="14.25" customHeight="1" x14ac:dyDescent="0.25">
      <c r="D2" s="49"/>
      <c r="E2" s="49"/>
      <c r="G2" s="49"/>
      <c r="H2" s="49"/>
      <c r="O2" s="13"/>
      <c r="P2" s="13"/>
      <c r="Q2" s="13"/>
      <c r="R2" s="13"/>
    </row>
    <row r="3" spans="2:43" ht="49.5" customHeight="1" x14ac:dyDescent="0.25">
      <c r="D3" s="619">
        <v>2024</v>
      </c>
      <c r="E3" s="568"/>
      <c r="F3" s="568"/>
      <c r="G3" s="568"/>
      <c r="H3" s="569"/>
      <c r="J3" s="668">
        <v>2025</v>
      </c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70"/>
    </row>
    <row r="4" spans="2:43" ht="6" customHeight="1" x14ac:dyDescent="0.25">
      <c r="D4" s="49"/>
      <c r="E4" s="49"/>
      <c r="G4" s="49"/>
      <c r="H4" s="49"/>
      <c r="O4" s="13"/>
      <c r="P4" s="13"/>
      <c r="Q4" s="13"/>
      <c r="R4" s="13"/>
    </row>
    <row r="5" spans="2:43" ht="57.75" customHeight="1" x14ac:dyDescent="0.25">
      <c r="B5" s="11" t="s">
        <v>28</v>
      </c>
      <c r="C5" s="52"/>
      <c r="D5" s="622" t="s">
        <v>93</v>
      </c>
      <c r="E5" s="582"/>
      <c r="F5" s="582"/>
      <c r="G5" s="582"/>
      <c r="H5" s="572"/>
      <c r="J5" s="575" t="s">
        <v>56</v>
      </c>
      <c r="K5" s="568"/>
      <c r="L5" s="568"/>
      <c r="M5" s="569"/>
      <c r="O5" s="577" t="s">
        <v>57</v>
      </c>
      <c r="P5" s="568"/>
      <c r="Q5" s="568"/>
      <c r="R5" s="569"/>
      <c r="T5" s="575" t="s">
        <v>58</v>
      </c>
      <c r="U5" s="568"/>
      <c r="V5" s="568"/>
      <c r="W5" s="569"/>
      <c r="Y5" s="575" t="s">
        <v>59</v>
      </c>
      <c r="Z5" s="568"/>
      <c r="AA5" s="568"/>
      <c r="AB5" s="569"/>
      <c r="AD5" s="575" t="s">
        <v>1</v>
      </c>
      <c r="AE5" s="568"/>
      <c r="AF5" s="568"/>
      <c r="AG5" s="569"/>
      <c r="AI5" s="575" t="s">
        <v>19</v>
      </c>
      <c r="AJ5" s="568"/>
      <c r="AK5" s="568"/>
      <c r="AL5" s="569"/>
      <c r="AN5" s="575" t="s">
        <v>545</v>
      </c>
      <c r="AO5" s="568"/>
      <c r="AP5" s="568"/>
      <c r="AQ5" s="569"/>
    </row>
    <row r="6" spans="2:43" ht="6.75" customHeight="1" x14ac:dyDescent="0.25">
      <c r="B6" s="5"/>
      <c r="D6" s="49"/>
      <c r="E6" s="49"/>
      <c r="G6" s="49"/>
      <c r="H6" s="49"/>
      <c r="O6" s="13"/>
      <c r="P6" s="13"/>
      <c r="Q6" s="13"/>
      <c r="R6" s="13"/>
    </row>
    <row r="7" spans="2:43" ht="42" customHeight="1" x14ac:dyDescent="0.25">
      <c r="B7" s="5"/>
      <c r="D7" s="167" t="s">
        <v>198</v>
      </c>
      <c r="E7" s="167" t="s">
        <v>199</v>
      </c>
      <c r="G7" s="167" t="s">
        <v>200</v>
      </c>
      <c r="H7" s="167" t="s">
        <v>201</v>
      </c>
      <c r="J7" s="12" t="s">
        <v>61</v>
      </c>
      <c r="K7" s="12"/>
      <c r="L7" s="12"/>
      <c r="M7" s="12" t="s">
        <v>62</v>
      </c>
      <c r="O7" s="12" t="s">
        <v>65</v>
      </c>
      <c r="P7" s="12" t="s">
        <v>66</v>
      </c>
      <c r="Q7" s="12" t="s">
        <v>67</v>
      </c>
      <c r="R7" s="12" t="s">
        <v>68</v>
      </c>
      <c r="T7" s="4" t="s">
        <v>31</v>
      </c>
      <c r="U7" s="12" t="s">
        <v>32</v>
      </c>
      <c r="V7" s="12" t="s">
        <v>29</v>
      </c>
      <c r="W7" s="12" t="s">
        <v>30</v>
      </c>
      <c r="Y7" s="12" t="s">
        <v>31</v>
      </c>
      <c r="Z7" s="12" t="s">
        <v>32</v>
      </c>
      <c r="AA7" s="12" t="s">
        <v>29</v>
      </c>
      <c r="AB7" s="12" t="s">
        <v>30</v>
      </c>
      <c r="AD7" s="12" t="s">
        <v>31</v>
      </c>
      <c r="AE7" s="12" t="s">
        <v>32</v>
      </c>
      <c r="AF7" s="12" t="s">
        <v>29</v>
      </c>
      <c r="AG7" s="12" t="s">
        <v>30</v>
      </c>
      <c r="AI7" s="12" t="s">
        <v>31</v>
      </c>
      <c r="AJ7" s="12" t="s">
        <v>32</v>
      </c>
      <c r="AK7" s="12" t="s">
        <v>29</v>
      </c>
      <c r="AL7" s="12" t="s">
        <v>30</v>
      </c>
      <c r="AN7" s="12" t="s">
        <v>31</v>
      </c>
      <c r="AO7" s="12" t="s">
        <v>32</v>
      </c>
      <c r="AP7" s="12" t="s">
        <v>29</v>
      </c>
      <c r="AQ7" s="12" t="s">
        <v>30</v>
      </c>
    </row>
    <row r="8" spans="2:43" ht="13.5" customHeight="1" x14ac:dyDescent="0.25">
      <c r="D8" s="49"/>
      <c r="E8" s="49"/>
      <c r="G8" s="49"/>
      <c r="H8" s="5"/>
      <c r="M8" s="19" t="s">
        <v>94</v>
      </c>
      <c r="O8" s="13"/>
      <c r="P8" s="13"/>
      <c r="Q8" s="13"/>
      <c r="R8" s="13"/>
    </row>
    <row r="9" spans="2:43" ht="28.5" customHeight="1" x14ac:dyDescent="0.25">
      <c r="B9" s="773" t="s">
        <v>33</v>
      </c>
      <c r="D9" s="49"/>
      <c r="E9" s="49"/>
      <c r="G9" s="49"/>
      <c r="H9" s="5"/>
      <c r="J9" s="630" t="s">
        <v>95</v>
      </c>
      <c r="K9" s="582"/>
      <c r="L9" s="582"/>
      <c r="M9" s="572"/>
      <c r="O9" s="13"/>
      <c r="P9" s="631" t="s">
        <v>96</v>
      </c>
      <c r="Q9" s="572"/>
      <c r="R9" s="13"/>
      <c r="T9" s="53" t="s">
        <v>97</v>
      </c>
      <c r="U9" s="53" t="s">
        <v>96</v>
      </c>
    </row>
    <row r="10" spans="2:43" ht="6" customHeight="1" x14ac:dyDescent="0.25">
      <c r="B10" s="71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3"/>
      <c r="P10" s="13"/>
      <c r="Q10" s="13"/>
      <c r="R10" s="49"/>
      <c r="S10" s="5"/>
      <c r="T10" s="5"/>
      <c r="U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2:43" ht="42" customHeight="1" x14ac:dyDescent="0.25">
      <c r="B11" s="678"/>
      <c r="D11" s="5"/>
      <c r="E11" s="5"/>
      <c r="F11" s="5"/>
      <c r="G11" s="5"/>
      <c r="H11" s="5"/>
      <c r="I11" s="5"/>
      <c r="J11" s="167" t="s">
        <v>98</v>
      </c>
      <c r="K11" s="49"/>
      <c r="L11" s="49"/>
      <c r="M11" s="5"/>
      <c r="N11" s="5"/>
      <c r="O11" s="49"/>
      <c r="P11" s="712" t="s">
        <v>99</v>
      </c>
      <c r="Q11" s="572"/>
      <c r="R11" s="49"/>
      <c r="S11" s="5"/>
      <c r="T11" s="167" t="s">
        <v>100</v>
      </c>
      <c r="U11" s="167" t="s">
        <v>101</v>
      </c>
    </row>
    <row r="12" spans="2:43" ht="18.75" customHeight="1" x14ac:dyDescent="0.25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49"/>
      <c r="P12" s="49"/>
      <c r="Q12" s="49"/>
      <c r="R12" s="49"/>
      <c r="S12" s="5"/>
    </row>
    <row r="13" spans="2:43" ht="48.75" customHeight="1" x14ac:dyDescent="0.25">
      <c r="B13" s="773" t="s">
        <v>546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53" t="s">
        <v>210</v>
      </c>
      <c r="P13" s="49"/>
      <c r="Q13" s="49"/>
      <c r="R13" s="49"/>
      <c r="S13" s="5"/>
    </row>
    <row r="14" spans="2:43" ht="19.5" customHeight="1" x14ac:dyDescent="0.25">
      <c r="B14" s="714"/>
      <c r="D14" s="5"/>
      <c r="E14" s="5"/>
      <c r="G14" s="5"/>
      <c r="H14" s="5"/>
      <c r="O14" s="49"/>
      <c r="P14" s="49"/>
      <c r="Q14" s="49"/>
      <c r="R14" s="49"/>
    </row>
    <row r="15" spans="2:43" ht="62.25" customHeight="1" x14ac:dyDescent="0.25">
      <c r="B15" s="714"/>
      <c r="D15" s="5"/>
      <c r="E15" s="5"/>
      <c r="F15" s="5"/>
      <c r="G15" s="5"/>
      <c r="H15" s="5"/>
      <c r="I15" s="5"/>
      <c r="J15" s="354" t="s">
        <v>218</v>
      </c>
      <c r="K15" s="354"/>
      <c r="L15" s="354"/>
      <c r="M15" s="355" t="s">
        <v>219</v>
      </c>
      <c r="N15" s="5"/>
      <c r="O15" s="354" t="s">
        <v>547</v>
      </c>
      <c r="P15" s="804" t="s">
        <v>548</v>
      </c>
      <c r="Q15" s="568"/>
      <c r="R15" s="569"/>
      <c r="S15" s="5"/>
    </row>
    <row r="16" spans="2:43" ht="21" customHeight="1" x14ac:dyDescent="0.25">
      <c r="B16" s="714"/>
      <c r="D16" s="5"/>
      <c r="E16" s="5"/>
      <c r="F16" s="5"/>
      <c r="G16" s="5"/>
      <c r="H16" s="5"/>
      <c r="I16" s="5"/>
      <c r="J16" s="3"/>
      <c r="K16" s="5"/>
      <c r="L16" s="5"/>
      <c r="M16" s="358" t="s">
        <v>230</v>
      </c>
      <c r="N16" s="5"/>
      <c r="O16" s="49"/>
      <c r="P16" s="49"/>
      <c r="Q16" s="49"/>
      <c r="R16" s="49"/>
      <c r="S16" s="5"/>
    </row>
    <row r="17" spans="2:42" ht="33" customHeight="1" x14ac:dyDescent="0.25">
      <c r="B17" s="714"/>
      <c r="D17" s="5"/>
      <c r="E17" s="5"/>
      <c r="F17" s="5"/>
      <c r="G17" s="5"/>
      <c r="H17" s="5"/>
      <c r="I17" s="5"/>
      <c r="J17" s="5"/>
      <c r="K17" s="5"/>
      <c r="L17" s="5"/>
      <c r="M17" s="359"/>
      <c r="N17" s="5"/>
      <c r="O17" s="361" t="s">
        <v>549</v>
      </c>
      <c r="P17" s="13"/>
      <c r="Q17" s="49"/>
      <c r="R17" s="49"/>
      <c r="S17" s="5"/>
      <c r="U17" s="361" t="s">
        <v>472</v>
      </c>
    </row>
    <row r="18" spans="2:42" ht="6" customHeight="1" x14ac:dyDescent="0.25">
      <c r="B18" s="714"/>
      <c r="D18" s="5"/>
      <c r="E18" s="5"/>
      <c r="G18" s="5"/>
      <c r="H18" s="5"/>
      <c r="O18" s="49"/>
      <c r="P18" s="49"/>
      <c r="Q18" s="49"/>
      <c r="R18" s="49"/>
    </row>
    <row r="19" spans="2:42" ht="47.25" customHeight="1" x14ac:dyDescent="0.25">
      <c r="B19" s="714"/>
      <c r="D19" s="49"/>
      <c r="E19" s="49"/>
      <c r="G19" s="49"/>
      <c r="H19" s="5"/>
      <c r="J19" s="3"/>
      <c r="K19" s="3"/>
      <c r="L19" s="3"/>
      <c r="M19" s="3" t="s">
        <v>474</v>
      </c>
      <c r="O19" s="167" t="s">
        <v>550</v>
      </c>
      <c r="P19" s="844" t="s">
        <v>551</v>
      </c>
      <c r="Q19" s="572"/>
      <c r="R19" s="845" t="s">
        <v>552</v>
      </c>
      <c r="S19" s="582"/>
      <c r="T19" s="572"/>
      <c r="U19" s="167" t="s">
        <v>553</v>
      </c>
      <c r="V19" s="712" t="s">
        <v>554</v>
      </c>
      <c r="W19" s="572"/>
      <c r="Y19" s="712" t="s">
        <v>555</v>
      </c>
      <c r="Z19" s="572"/>
      <c r="AA19" s="712" t="s">
        <v>556</v>
      </c>
      <c r="AB19" s="572"/>
      <c r="AD19" s="167" t="s">
        <v>557</v>
      </c>
      <c r="AE19" s="3" t="s">
        <v>558</v>
      </c>
      <c r="AF19" s="3"/>
      <c r="AG19" s="843" t="s">
        <v>559</v>
      </c>
      <c r="AH19" s="582"/>
      <c r="AI19" s="572"/>
      <c r="AJ19" s="712" t="s">
        <v>560</v>
      </c>
      <c r="AK19" s="572"/>
      <c r="AL19" s="167" t="s">
        <v>561</v>
      </c>
      <c r="AN19" s="167" t="s">
        <v>562</v>
      </c>
      <c r="AO19" s="712" t="s">
        <v>563</v>
      </c>
      <c r="AP19" s="572"/>
    </row>
    <row r="20" spans="2:42" ht="13.5" customHeight="1" x14ac:dyDescent="0.25">
      <c r="B20" s="714"/>
      <c r="D20" s="49"/>
      <c r="E20" s="49"/>
      <c r="G20" s="49"/>
      <c r="H20" s="5"/>
      <c r="O20" s="49"/>
      <c r="P20" s="49"/>
      <c r="Q20" s="49"/>
      <c r="R20" s="49"/>
      <c r="AB20" s="365"/>
      <c r="AJ20" s="365"/>
      <c r="AK20" s="365"/>
      <c r="AL20" s="365"/>
      <c r="AO20" s="365"/>
      <c r="AP20" s="365"/>
    </row>
    <row r="21" spans="2:42" ht="47.25" customHeight="1" x14ac:dyDescent="0.25">
      <c r="B21" s="678"/>
      <c r="D21" s="49"/>
      <c r="E21" s="49"/>
      <c r="G21" s="49"/>
      <c r="H21" s="5"/>
      <c r="J21" s="5"/>
      <c r="K21" s="5"/>
      <c r="L21" s="5"/>
      <c r="M21" s="5"/>
      <c r="O21" s="49"/>
      <c r="P21" s="49"/>
      <c r="Q21" s="387" t="s">
        <v>564</v>
      </c>
      <c r="R21" s="388" t="s">
        <v>487</v>
      </c>
      <c r="T21" s="389" t="s">
        <v>565</v>
      </c>
      <c r="U21" s="389" t="s">
        <v>489</v>
      </c>
      <c r="W21" s="389" t="s">
        <v>566</v>
      </c>
      <c r="Z21" s="389" t="s">
        <v>567</v>
      </c>
      <c r="AB21" s="389" t="s">
        <v>568</v>
      </c>
      <c r="AD21" s="389" t="s">
        <v>569</v>
      </c>
      <c r="AF21" s="389" t="s">
        <v>570</v>
      </c>
      <c r="AI21" s="389" t="s">
        <v>571</v>
      </c>
      <c r="AK21" s="389" t="s">
        <v>572</v>
      </c>
      <c r="AL21" s="389" t="s">
        <v>573</v>
      </c>
      <c r="AN21" s="389" t="s">
        <v>574</v>
      </c>
      <c r="AP21" s="389" t="s">
        <v>575</v>
      </c>
    </row>
    <row r="22" spans="2:42" ht="13.5" customHeight="1" x14ac:dyDescent="0.25">
      <c r="D22" s="49"/>
      <c r="E22" s="49"/>
      <c r="G22" s="49"/>
      <c r="H22" s="5"/>
      <c r="O22" s="49"/>
      <c r="P22" s="49"/>
      <c r="Q22" s="49"/>
      <c r="R22" s="49"/>
    </row>
    <row r="23" spans="2:42" ht="71.25" customHeight="1" x14ac:dyDescent="0.25">
      <c r="B23" s="773" t="s">
        <v>49</v>
      </c>
      <c r="D23" s="5"/>
      <c r="E23" s="5"/>
      <c r="F23" s="5"/>
      <c r="G23" s="5"/>
      <c r="H23" s="5"/>
      <c r="I23" s="5"/>
      <c r="J23" s="354" t="s">
        <v>218</v>
      </c>
      <c r="K23" s="354"/>
      <c r="L23" s="354"/>
      <c r="M23" s="355" t="s">
        <v>219</v>
      </c>
      <c r="N23" s="5"/>
      <c r="O23" s="353" t="s">
        <v>503</v>
      </c>
      <c r="P23" s="804" t="s">
        <v>576</v>
      </c>
      <c r="Q23" s="568"/>
      <c r="R23" s="569"/>
      <c r="S23" s="5"/>
    </row>
    <row r="24" spans="2:42" ht="13.5" customHeight="1" x14ac:dyDescent="0.25">
      <c r="B24" s="714"/>
      <c r="D24" s="49"/>
      <c r="E24" s="49"/>
      <c r="G24" s="49"/>
      <c r="H24" s="5"/>
      <c r="O24" s="49"/>
      <c r="P24" s="49"/>
      <c r="Q24" s="49"/>
      <c r="R24" s="49"/>
    </row>
    <row r="25" spans="2:42" ht="64.5" customHeight="1" x14ac:dyDescent="0.25">
      <c r="B25" s="714"/>
      <c r="D25" s="49"/>
      <c r="E25" s="49"/>
      <c r="G25" s="49"/>
      <c r="H25" s="5"/>
      <c r="O25" s="49"/>
      <c r="P25" s="49"/>
      <c r="Q25" s="49"/>
      <c r="R25" s="49"/>
      <c r="T25" s="167" t="s">
        <v>577</v>
      </c>
      <c r="U25" s="846" t="s">
        <v>578</v>
      </c>
      <c r="V25" s="572"/>
    </row>
    <row r="26" spans="2:42" ht="13.5" customHeight="1" x14ac:dyDescent="0.25">
      <c r="B26" s="714"/>
      <c r="D26" s="49"/>
      <c r="E26" s="49"/>
      <c r="G26" s="49"/>
      <c r="H26" s="5"/>
      <c r="O26" s="49"/>
      <c r="P26" s="49"/>
      <c r="Q26" s="49"/>
      <c r="R26" s="49"/>
    </row>
    <row r="27" spans="2:42" ht="70.5" customHeight="1" x14ac:dyDescent="0.25">
      <c r="B27" s="714"/>
      <c r="D27" s="49"/>
      <c r="E27" s="49"/>
      <c r="G27" s="49"/>
      <c r="H27" s="5"/>
      <c r="O27" s="167" t="s">
        <v>579</v>
      </c>
      <c r="P27" s="844" t="s">
        <v>580</v>
      </c>
      <c r="Q27" s="572"/>
      <c r="R27" s="845" t="s">
        <v>581</v>
      </c>
      <c r="S27" s="582"/>
      <c r="T27" s="572"/>
      <c r="U27" s="167" t="s">
        <v>582</v>
      </c>
      <c r="V27" s="712" t="s">
        <v>583</v>
      </c>
      <c r="W27" s="572"/>
      <c r="Y27" s="712" t="s">
        <v>584</v>
      </c>
      <c r="Z27" s="572"/>
      <c r="AA27" s="712" t="s">
        <v>585</v>
      </c>
      <c r="AB27" s="572"/>
      <c r="AD27" s="167" t="s">
        <v>586</v>
      </c>
      <c r="AE27" s="712" t="s">
        <v>587</v>
      </c>
      <c r="AF27" s="572"/>
      <c r="AG27" s="843" t="s">
        <v>588</v>
      </c>
      <c r="AH27" s="582"/>
      <c r="AI27" s="572"/>
      <c r="AJ27" s="712" t="s">
        <v>589</v>
      </c>
      <c r="AK27" s="572"/>
      <c r="AL27" s="167" t="s">
        <v>590</v>
      </c>
      <c r="AN27" s="167" t="s">
        <v>591</v>
      </c>
      <c r="AO27" s="712" t="s">
        <v>592</v>
      </c>
      <c r="AP27" s="572"/>
    </row>
    <row r="28" spans="2:42" ht="14.25" customHeight="1" x14ac:dyDescent="0.25">
      <c r="B28" s="714"/>
      <c r="D28" s="49"/>
      <c r="E28" s="49"/>
      <c r="G28" s="49"/>
      <c r="H28" s="49"/>
      <c r="O28" s="13"/>
      <c r="P28" s="13"/>
      <c r="Q28" s="13"/>
      <c r="R28" s="13"/>
      <c r="AB28" s="365"/>
      <c r="AJ28" s="365"/>
      <c r="AK28" s="365"/>
      <c r="AL28" s="365"/>
      <c r="AO28" s="365"/>
      <c r="AP28" s="365"/>
    </row>
    <row r="29" spans="2:42" ht="58.5" customHeight="1" x14ac:dyDescent="0.25">
      <c r="B29" s="714"/>
      <c r="D29" s="5"/>
      <c r="E29" s="5"/>
      <c r="F29" s="5"/>
      <c r="G29" s="5"/>
      <c r="H29" s="5"/>
      <c r="I29" s="5"/>
      <c r="N29" s="5"/>
      <c r="O29" s="13"/>
      <c r="P29" s="13"/>
      <c r="Q29" s="387" t="s">
        <v>564</v>
      </c>
      <c r="R29" s="388" t="s">
        <v>487</v>
      </c>
      <c r="T29" s="389" t="s">
        <v>565</v>
      </c>
      <c r="U29" s="389" t="s">
        <v>593</v>
      </c>
      <c r="V29" s="390" t="s">
        <v>594</v>
      </c>
      <c r="W29" s="389" t="s">
        <v>566</v>
      </c>
      <c r="Z29" s="389" t="s">
        <v>567</v>
      </c>
      <c r="AB29" s="389" t="s">
        <v>568</v>
      </c>
      <c r="AD29" s="389" t="s">
        <v>569</v>
      </c>
      <c r="AF29" s="389" t="s">
        <v>570</v>
      </c>
      <c r="AI29" s="389" t="s">
        <v>571</v>
      </c>
      <c r="AK29" s="389" t="s">
        <v>572</v>
      </c>
      <c r="AL29" s="389" t="s">
        <v>573</v>
      </c>
      <c r="AN29" s="389" t="s">
        <v>574</v>
      </c>
      <c r="AP29" s="389" t="s">
        <v>575</v>
      </c>
    </row>
    <row r="30" spans="2:42" ht="70.5" customHeight="1" x14ac:dyDescent="0.25">
      <c r="B30" s="714"/>
      <c r="D30" s="5"/>
      <c r="E30" s="5"/>
      <c r="F30" s="5"/>
      <c r="G30" s="5"/>
      <c r="H30" s="5"/>
      <c r="I30" s="5"/>
      <c r="N30" s="5"/>
      <c r="O30" s="13"/>
      <c r="P30" s="13"/>
      <c r="Q30" s="13"/>
      <c r="R30" s="13"/>
      <c r="T30" s="391" t="s">
        <v>595</v>
      </c>
    </row>
    <row r="31" spans="2:42" ht="14.25" customHeight="1" x14ac:dyDescent="0.25">
      <c r="B31" s="714"/>
      <c r="D31" s="49"/>
      <c r="E31" s="49"/>
      <c r="G31" s="49"/>
      <c r="H31" s="49"/>
      <c r="O31" s="13"/>
      <c r="P31" s="13"/>
      <c r="Q31" s="13"/>
      <c r="R31" s="13"/>
    </row>
    <row r="32" spans="2:42" ht="27" customHeight="1" x14ac:dyDescent="0.25">
      <c r="B32" s="714"/>
      <c r="D32" s="5"/>
      <c r="E32" s="5"/>
      <c r="G32" s="5"/>
      <c r="H32" s="49"/>
      <c r="O32" s="13"/>
      <c r="P32" s="13"/>
      <c r="Q32" s="13"/>
      <c r="R32" s="13"/>
      <c r="T32" s="53" t="s">
        <v>96</v>
      </c>
    </row>
    <row r="33" spans="2:20" ht="47.25" customHeight="1" x14ac:dyDescent="0.25">
      <c r="B33" s="678"/>
      <c r="D33" s="49"/>
      <c r="E33" s="49"/>
      <c r="G33" s="49"/>
      <c r="H33" s="49"/>
      <c r="O33" s="13"/>
      <c r="P33" s="13"/>
      <c r="Q33" s="13"/>
      <c r="R33" s="13"/>
      <c r="T33" s="167" t="s">
        <v>596</v>
      </c>
    </row>
    <row r="34" spans="2:20" ht="31.5" customHeight="1" x14ac:dyDescent="0.25">
      <c r="D34" s="49"/>
      <c r="E34" s="49"/>
      <c r="G34" s="49"/>
      <c r="H34" s="49"/>
      <c r="O34" s="13"/>
      <c r="P34" s="13"/>
      <c r="Q34" s="13"/>
      <c r="R34" s="13"/>
    </row>
    <row r="35" spans="2:20" ht="32.25" customHeight="1" x14ac:dyDescent="0.25">
      <c r="D35" s="49"/>
      <c r="E35" s="49"/>
      <c r="G35" s="49"/>
      <c r="H35" s="49"/>
      <c r="O35" s="13"/>
      <c r="P35" s="13"/>
      <c r="Q35" s="13"/>
      <c r="R35" s="13"/>
      <c r="T35" s="13" t="s">
        <v>597</v>
      </c>
    </row>
    <row r="36" spans="2:20" ht="25.5" customHeight="1" x14ac:dyDescent="0.25">
      <c r="D36" s="49"/>
      <c r="E36" s="49"/>
      <c r="G36" s="49"/>
      <c r="H36" s="49"/>
      <c r="O36" s="13"/>
      <c r="P36" s="13"/>
      <c r="Q36" s="13"/>
      <c r="R36" s="13"/>
    </row>
    <row r="37" spans="2:20" ht="18" customHeight="1" x14ac:dyDescent="0.25">
      <c r="D37" s="49"/>
      <c r="E37" s="49"/>
      <c r="G37" s="49"/>
      <c r="H37" s="49"/>
      <c r="O37" s="13"/>
      <c r="P37" s="13"/>
      <c r="Q37" s="13"/>
      <c r="R37" s="13"/>
    </row>
    <row r="38" spans="2:20" ht="49.5" customHeight="1" x14ac:dyDescent="0.25">
      <c r="D38" s="49"/>
      <c r="E38" s="49"/>
      <c r="G38" s="49"/>
      <c r="H38" s="49"/>
      <c r="O38" s="13"/>
      <c r="P38" s="13"/>
      <c r="Q38" s="13"/>
      <c r="R38" s="13"/>
    </row>
    <row r="39" spans="2:20" ht="14.25" customHeight="1" x14ac:dyDescent="0.25">
      <c r="D39" s="49"/>
      <c r="E39" s="49"/>
      <c r="G39" s="49"/>
      <c r="H39" s="49"/>
      <c r="O39" s="13"/>
      <c r="P39" s="13"/>
      <c r="Q39" s="13"/>
      <c r="R39" s="13"/>
    </row>
    <row r="40" spans="2:20" ht="40.5" customHeight="1" x14ac:dyDescent="0.25">
      <c r="D40" s="49"/>
      <c r="E40" s="49"/>
      <c r="G40" s="49"/>
      <c r="H40" s="49"/>
      <c r="O40" s="13"/>
      <c r="P40" s="13"/>
      <c r="Q40" s="13"/>
      <c r="R40" s="13"/>
    </row>
    <row r="41" spans="2:20" ht="30" customHeight="1" x14ac:dyDescent="0.25">
      <c r="D41" s="49"/>
      <c r="E41" s="49"/>
      <c r="G41" s="49"/>
      <c r="H41" s="49"/>
      <c r="O41" s="13"/>
      <c r="P41" s="13"/>
      <c r="Q41" s="13"/>
      <c r="R41" s="13"/>
    </row>
    <row r="42" spans="2:20" ht="14.25" customHeight="1" x14ac:dyDescent="0.25">
      <c r="D42" s="49"/>
      <c r="E42" s="49"/>
      <c r="G42" s="49"/>
      <c r="H42" s="49"/>
      <c r="O42" s="13"/>
      <c r="P42" s="13"/>
      <c r="Q42" s="13"/>
      <c r="R42" s="13"/>
    </row>
    <row r="43" spans="2:20" ht="59.25" customHeight="1" x14ac:dyDescent="0.25">
      <c r="D43" s="49"/>
      <c r="E43" s="49"/>
      <c r="G43" s="49"/>
      <c r="H43" s="49"/>
      <c r="O43" s="13"/>
      <c r="P43" s="13"/>
      <c r="Q43" s="13"/>
      <c r="R43" s="13"/>
    </row>
    <row r="44" spans="2:20" ht="14.25" customHeight="1" x14ac:dyDescent="0.25">
      <c r="D44" s="49"/>
      <c r="E44" s="49"/>
      <c r="G44" s="49"/>
      <c r="H44" s="49"/>
      <c r="O44" s="13"/>
      <c r="P44" s="13"/>
      <c r="Q44" s="13"/>
      <c r="R44" s="13"/>
    </row>
    <row r="45" spans="2:20" ht="43.5" customHeight="1" x14ac:dyDescent="0.25">
      <c r="D45" s="49"/>
      <c r="E45" s="49"/>
      <c r="G45" s="49"/>
      <c r="H45" s="49"/>
      <c r="O45" s="13"/>
      <c r="P45" s="13"/>
      <c r="Q45" s="13"/>
      <c r="R45" s="13"/>
    </row>
    <row r="46" spans="2:20" ht="28.5" customHeight="1" x14ac:dyDescent="0.25">
      <c r="D46" s="49"/>
      <c r="E46" s="49"/>
      <c r="G46" s="49"/>
      <c r="H46" s="49"/>
      <c r="O46" s="13"/>
      <c r="P46" s="13"/>
      <c r="Q46" s="13"/>
      <c r="R46" s="13"/>
    </row>
    <row r="47" spans="2:20" ht="14.25" customHeight="1" x14ac:dyDescent="0.25">
      <c r="D47" s="49"/>
      <c r="E47" s="49"/>
      <c r="G47" s="49"/>
      <c r="H47" s="49"/>
      <c r="O47" s="13"/>
      <c r="P47" s="13"/>
      <c r="Q47" s="13"/>
      <c r="R47" s="13"/>
    </row>
    <row r="48" spans="2:20" ht="51" customHeight="1" x14ac:dyDescent="0.25">
      <c r="D48" s="49"/>
      <c r="E48" s="49"/>
      <c r="G48" s="49"/>
      <c r="H48" s="49"/>
      <c r="O48" s="13"/>
      <c r="P48" s="13"/>
      <c r="Q48" s="13"/>
      <c r="R48" s="13"/>
    </row>
    <row r="49" spans="4:18" ht="25.5" customHeight="1" x14ac:dyDescent="0.25">
      <c r="D49" s="49"/>
      <c r="E49" s="49"/>
      <c r="G49" s="49"/>
      <c r="H49" s="49"/>
      <c r="O49" s="13"/>
      <c r="P49" s="13"/>
      <c r="Q49" s="13"/>
      <c r="R49" s="13"/>
    </row>
    <row r="50" spans="4:18" ht="37.5" customHeight="1" x14ac:dyDescent="0.25">
      <c r="D50" s="49"/>
      <c r="E50" s="49"/>
      <c r="G50" s="49"/>
      <c r="H50" s="49"/>
      <c r="O50" s="13"/>
      <c r="P50" s="13"/>
      <c r="Q50" s="13"/>
      <c r="R50" s="13"/>
    </row>
    <row r="51" spans="4:18" ht="35.25" customHeight="1" x14ac:dyDescent="0.25">
      <c r="D51" s="49"/>
      <c r="E51" s="49"/>
      <c r="G51" s="49"/>
      <c r="H51" s="49"/>
      <c r="O51" s="13"/>
      <c r="P51" s="13"/>
      <c r="Q51" s="13"/>
      <c r="R51" s="13"/>
    </row>
    <row r="52" spans="4:18" ht="12" customHeight="1" x14ac:dyDescent="0.25">
      <c r="D52" s="49"/>
      <c r="E52" s="49"/>
      <c r="G52" s="49"/>
      <c r="H52" s="49"/>
      <c r="O52" s="13"/>
      <c r="P52" s="13"/>
      <c r="Q52" s="13"/>
      <c r="R52" s="13"/>
    </row>
    <row r="53" spans="4:18" ht="66" customHeight="1" x14ac:dyDescent="0.25">
      <c r="D53" s="49"/>
      <c r="E53" s="49"/>
      <c r="G53" s="49"/>
      <c r="H53" s="49"/>
      <c r="O53" s="13"/>
      <c r="P53" s="13"/>
      <c r="Q53" s="13"/>
      <c r="R53" s="13"/>
    </row>
    <row r="54" spans="4:18" ht="14.25" customHeight="1" x14ac:dyDescent="0.25">
      <c r="D54" s="49"/>
      <c r="E54" s="49"/>
      <c r="G54" s="49"/>
      <c r="H54" s="49"/>
      <c r="O54" s="13"/>
      <c r="P54" s="13"/>
      <c r="Q54" s="13"/>
      <c r="R54" s="13"/>
    </row>
    <row r="55" spans="4:18" ht="14.25" customHeight="1" x14ac:dyDescent="0.25">
      <c r="D55" s="49"/>
      <c r="E55" s="49"/>
      <c r="G55" s="49"/>
      <c r="H55" s="49"/>
      <c r="O55" s="13"/>
      <c r="P55" s="13"/>
      <c r="Q55" s="13"/>
      <c r="R55" s="13"/>
    </row>
    <row r="56" spans="4:18" ht="14.25" customHeight="1" x14ac:dyDescent="0.25">
      <c r="D56" s="49"/>
      <c r="E56" s="49"/>
      <c r="G56" s="49"/>
      <c r="H56" s="49"/>
      <c r="O56" s="13"/>
      <c r="P56" s="13"/>
      <c r="Q56" s="13"/>
      <c r="R56" s="13"/>
    </row>
    <row r="57" spans="4:18" ht="14.25" customHeight="1" x14ac:dyDescent="0.25">
      <c r="D57" s="49"/>
      <c r="E57" s="49"/>
      <c r="G57" s="49"/>
      <c r="H57" s="49"/>
      <c r="O57" s="13"/>
      <c r="P57" s="13"/>
      <c r="Q57" s="13"/>
      <c r="R57" s="13"/>
    </row>
    <row r="58" spans="4:18" ht="14.25" customHeight="1" x14ac:dyDescent="0.25">
      <c r="D58" s="49"/>
      <c r="E58" s="49"/>
      <c r="G58" s="49"/>
      <c r="H58" s="49"/>
      <c r="O58" s="13"/>
      <c r="P58" s="13"/>
      <c r="Q58" s="13"/>
      <c r="R58" s="13"/>
    </row>
    <row r="59" spans="4:18" ht="14.25" customHeight="1" x14ac:dyDescent="0.25">
      <c r="D59" s="49"/>
      <c r="E59" s="49"/>
      <c r="G59" s="49"/>
      <c r="H59" s="49"/>
      <c r="O59" s="13"/>
      <c r="P59" s="13"/>
      <c r="Q59" s="13"/>
      <c r="R59" s="13"/>
    </row>
    <row r="60" spans="4:18" ht="14.25" customHeight="1" x14ac:dyDescent="0.25">
      <c r="D60" s="49"/>
      <c r="E60" s="49"/>
      <c r="G60" s="49"/>
      <c r="H60" s="49"/>
      <c r="O60" s="13"/>
      <c r="P60" s="13"/>
      <c r="Q60" s="13"/>
      <c r="R60" s="13"/>
    </row>
    <row r="61" spans="4:18" ht="14.25" customHeight="1" x14ac:dyDescent="0.25">
      <c r="D61" s="49"/>
      <c r="E61" s="49"/>
      <c r="G61" s="49"/>
      <c r="H61" s="49"/>
      <c r="O61" s="13"/>
      <c r="P61" s="13"/>
      <c r="Q61" s="13"/>
      <c r="R61" s="13"/>
    </row>
    <row r="62" spans="4:18" ht="14.25" customHeight="1" x14ac:dyDescent="0.25">
      <c r="D62" s="49"/>
      <c r="E62" s="49"/>
      <c r="G62" s="49"/>
      <c r="H62" s="49"/>
      <c r="O62" s="13"/>
      <c r="P62" s="13"/>
      <c r="Q62" s="13"/>
      <c r="R62" s="13"/>
    </row>
    <row r="63" spans="4:18" ht="14.25" customHeight="1" x14ac:dyDescent="0.25">
      <c r="D63" s="49"/>
      <c r="E63" s="49"/>
      <c r="G63" s="49"/>
      <c r="H63" s="49"/>
      <c r="O63" s="13"/>
      <c r="P63" s="13"/>
      <c r="Q63" s="13"/>
      <c r="R63" s="13"/>
    </row>
    <row r="64" spans="4:18" ht="14.25" customHeight="1" x14ac:dyDescent="0.25">
      <c r="D64" s="49"/>
      <c r="E64" s="49"/>
      <c r="G64" s="49"/>
      <c r="H64" s="49"/>
      <c r="O64" s="13"/>
      <c r="P64" s="13"/>
      <c r="Q64" s="13"/>
      <c r="R64" s="13"/>
    </row>
    <row r="65" spans="4:18" ht="14.25" customHeight="1" x14ac:dyDescent="0.25">
      <c r="D65" s="49"/>
      <c r="E65" s="49"/>
      <c r="G65" s="49"/>
      <c r="H65" s="49"/>
      <c r="O65" s="13"/>
      <c r="P65" s="13"/>
      <c r="Q65" s="13"/>
      <c r="R65" s="13"/>
    </row>
    <row r="66" spans="4:18" ht="14.25" customHeight="1" x14ac:dyDescent="0.25">
      <c r="D66" s="49"/>
      <c r="E66" s="49"/>
      <c r="G66" s="49"/>
      <c r="H66" s="49"/>
      <c r="O66" s="13"/>
      <c r="P66" s="13"/>
      <c r="Q66" s="13"/>
      <c r="R66" s="13"/>
    </row>
    <row r="67" spans="4:18" ht="14.25" customHeight="1" x14ac:dyDescent="0.25">
      <c r="D67" s="49"/>
      <c r="E67" s="49"/>
      <c r="G67" s="49"/>
      <c r="H67" s="49"/>
      <c r="O67" s="13"/>
      <c r="P67" s="13"/>
      <c r="Q67" s="13"/>
      <c r="R67" s="13"/>
    </row>
    <row r="68" spans="4:18" ht="14.25" customHeight="1" x14ac:dyDescent="0.25">
      <c r="D68" s="49"/>
      <c r="E68" s="49"/>
      <c r="G68" s="49"/>
      <c r="H68" s="49"/>
      <c r="O68" s="13"/>
      <c r="P68" s="13"/>
      <c r="Q68" s="13"/>
      <c r="R68" s="13"/>
    </row>
    <row r="69" spans="4:18" ht="14.25" customHeight="1" x14ac:dyDescent="0.25">
      <c r="D69" s="49"/>
      <c r="E69" s="49"/>
      <c r="G69" s="49"/>
      <c r="H69" s="49"/>
      <c r="O69" s="13"/>
      <c r="P69" s="13"/>
      <c r="Q69" s="13"/>
      <c r="R69" s="13"/>
    </row>
    <row r="70" spans="4:18" ht="14.25" customHeight="1" x14ac:dyDescent="0.25">
      <c r="D70" s="49"/>
      <c r="E70" s="49"/>
      <c r="G70" s="49"/>
      <c r="H70" s="49"/>
      <c r="O70" s="13"/>
      <c r="P70" s="13"/>
      <c r="Q70" s="13"/>
      <c r="R70" s="13"/>
    </row>
    <row r="71" spans="4:18" ht="14.25" customHeight="1" x14ac:dyDescent="0.25">
      <c r="D71" s="49"/>
      <c r="E71" s="49"/>
      <c r="G71" s="49"/>
      <c r="H71" s="49"/>
      <c r="O71" s="13"/>
      <c r="P71" s="13"/>
      <c r="Q71" s="13"/>
      <c r="R71" s="13"/>
    </row>
    <row r="72" spans="4:18" ht="14.25" customHeight="1" x14ac:dyDescent="0.25">
      <c r="D72" s="49"/>
      <c r="E72" s="49"/>
      <c r="G72" s="49"/>
      <c r="H72" s="49"/>
      <c r="O72" s="13"/>
      <c r="P72" s="13"/>
      <c r="Q72" s="13"/>
      <c r="R72" s="13"/>
    </row>
    <row r="73" spans="4:18" ht="14.25" customHeight="1" x14ac:dyDescent="0.25">
      <c r="D73" s="49"/>
      <c r="E73" s="49"/>
      <c r="G73" s="49"/>
      <c r="H73" s="49"/>
      <c r="O73" s="13"/>
      <c r="P73" s="13"/>
      <c r="Q73" s="13"/>
      <c r="R73" s="13"/>
    </row>
    <row r="74" spans="4:18" ht="14.25" customHeight="1" x14ac:dyDescent="0.25">
      <c r="D74" s="49"/>
      <c r="E74" s="49"/>
      <c r="G74" s="49"/>
      <c r="H74" s="49"/>
      <c r="O74" s="13"/>
      <c r="P74" s="13"/>
      <c r="Q74" s="13"/>
      <c r="R74" s="13"/>
    </row>
    <row r="75" spans="4:18" ht="14.25" customHeight="1" x14ac:dyDescent="0.25">
      <c r="D75" s="49"/>
      <c r="E75" s="49"/>
      <c r="G75" s="49"/>
      <c r="H75" s="49"/>
      <c r="O75" s="13"/>
      <c r="P75" s="13"/>
      <c r="Q75" s="13"/>
      <c r="R75" s="13"/>
    </row>
    <row r="76" spans="4:18" ht="14.25" customHeight="1" x14ac:dyDescent="0.25">
      <c r="D76" s="49"/>
      <c r="E76" s="49"/>
      <c r="G76" s="49"/>
      <c r="H76" s="49"/>
      <c r="O76" s="13"/>
      <c r="P76" s="13"/>
      <c r="Q76" s="13"/>
      <c r="R76" s="13"/>
    </row>
    <row r="77" spans="4:18" ht="14.25" customHeight="1" x14ac:dyDescent="0.25">
      <c r="D77" s="49"/>
      <c r="E77" s="49"/>
      <c r="G77" s="49"/>
      <c r="H77" s="49"/>
      <c r="O77" s="13"/>
      <c r="P77" s="13"/>
      <c r="Q77" s="13"/>
      <c r="R77" s="13"/>
    </row>
    <row r="78" spans="4:18" ht="14.25" customHeight="1" x14ac:dyDescent="0.25">
      <c r="D78" s="49"/>
      <c r="E78" s="49"/>
      <c r="G78" s="49"/>
      <c r="H78" s="49"/>
      <c r="O78" s="13"/>
      <c r="P78" s="13"/>
      <c r="Q78" s="13"/>
      <c r="R78" s="13"/>
    </row>
    <row r="79" spans="4:18" ht="14.25" customHeight="1" x14ac:dyDescent="0.25">
      <c r="D79" s="49"/>
      <c r="E79" s="49"/>
      <c r="G79" s="49"/>
      <c r="H79" s="49"/>
      <c r="O79" s="13"/>
      <c r="P79" s="13"/>
      <c r="Q79" s="13"/>
      <c r="R79" s="13"/>
    </row>
    <row r="80" spans="4:18" ht="14.25" customHeight="1" x14ac:dyDescent="0.25">
      <c r="D80" s="49"/>
      <c r="E80" s="49"/>
      <c r="G80" s="49"/>
      <c r="H80" s="49"/>
      <c r="O80" s="13"/>
      <c r="P80" s="13"/>
      <c r="Q80" s="13"/>
      <c r="R80" s="13"/>
    </row>
    <row r="81" spans="4:18" ht="14.25" customHeight="1" x14ac:dyDescent="0.25">
      <c r="D81" s="49"/>
      <c r="E81" s="49"/>
      <c r="G81" s="49"/>
      <c r="H81" s="49"/>
      <c r="O81" s="13"/>
      <c r="P81" s="13"/>
      <c r="Q81" s="13"/>
      <c r="R81" s="13"/>
    </row>
    <row r="82" spans="4:18" ht="14.25" customHeight="1" x14ac:dyDescent="0.25">
      <c r="D82" s="49"/>
      <c r="E82" s="49"/>
      <c r="G82" s="49"/>
      <c r="H82" s="49"/>
      <c r="O82" s="13"/>
      <c r="P82" s="13"/>
      <c r="Q82" s="13"/>
      <c r="R82" s="13"/>
    </row>
    <row r="83" spans="4:18" ht="14.25" customHeight="1" x14ac:dyDescent="0.25">
      <c r="D83" s="49"/>
      <c r="E83" s="49"/>
      <c r="G83" s="49"/>
      <c r="H83" s="49"/>
      <c r="O83" s="13"/>
      <c r="P83" s="13"/>
      <c r="Q83" s="13"/>
      <c r="R83" s="13"/>
    </row>
    <row r="84" spans="4:18" ht="14.25" customHeight="1" x14ac:dyDescent="0.25">
      <c r="D84" s="49"/>
      <c r="E84" s="49"/>
      <c r="G84" s="49"/>
      <c r="H84" s="49"/>
      <c r="O84" s="13"/>
      <c r="P84" s="13"/>
      <c r="Q84" s="13"/>
      <c r="R84" s="13"/>
    </row>
    <row r="85" spans="4:18" ht="14.25" customHeight="1" x14ac:dyDescent="0.25">
      <c r="D85" s="49"/>
      <c r="E85" s="49"/>
      <c r="G85" s="49"/>
      <c r="H85" s="49"/>
      <c r="O85" s="13"/>
      <c r="P85" s="13"/>
      <c r="Q85" s="13"/>
      <c r="R85" s="13"/>
    </row>
    <row r="86" spans="4:18" ht="14.25" customHeight="1" x14ac:dyDescent="0.25">
      <c r="D86" s="49"/>
      <c r="E86" s="49"/>
      <c r="G86" s="49"/>
      <c r="H86" s="49"/>
      <c r="O86" s="13"/>
      <c r="P86" s="13"/>
      <c r="Q86" s="13"/>
      <c r="R86" s="13"/>
    </row>
    <row r="87" spans="4:18" ht="14.25" customHeight="1" x14ac:dyDescent="0.25">
      <c r="D87" s="49"/>
      <c r="E87" s="49"/>
      <c r="G87" s="49"/>
      <c r="H87" s="49"/>
      <c r="O87" s="13"/>
      <c r="P87" s="13"/>
      <c r="Q87" s="13"/>
      <c r="R87" s="13"/>
    </row>
    <row r="88" spans="4:18" ht="14.25" customHeight="1" x14ac:dyDescent="0.25">
      <c r="D88" s="49"/>
      <c r="E88" s="49"/>
      <c r="G88" s="49"/>
      <c r="H88" s="49"/>
      <c r="O88" s="13"/>
      <c r="P88" s="13"/>
      <c r="Q88" s="13"/>
      <c r="R88" s="13"/>
    </row>
    <row r="89" spans="4:18" ht="14.25" customHeight="1" x14ac:dyDescent="0.25">
      <c r="D89" s="49"/>
      <c r="E89" s="49"/>
      <c r="G89" s="49"/>
      <c r="H89" s="49"/>
      <c r="O89" s="13"/>
      <c r="P89" s="13"/>
      <c r="Q89" s="13"/>
      <c r="R89" s="13"/>
    </row>
    <row r="90" spans="4:18" ht="14.25" customHeight="1" x14ac:dyDescent="0.25">
      <c r="D90" s="49"/>
      <c r="E90" s="49"/>
      <c r="G90" s="49"/>
      <c r="H90" s="49"/>
      <c r="O90" s="13"/>
      <c r="P90" s="13"/>
      <c r="Q90" s="13"/>
      <c r="R90" s="13"/>
    </row>
    <row r="91" spans="4:18" ht="14.25" customHeight="1" x14ac:dyDescent="0.25">
      <c r="D91" s="49"/>
      <c r="E91" s="49"/>
      <c r="G91" s="49"/>
      <c r="H91" s="49"/>
      <c r="O91" s="13"/>
      <c r="P91" s="13"/>
      <c r="Q91" s="13"/>
      <c r="R91" s="13"/>
    </row>
    <row r="92" spans="4:18" ht="14.25" customHeight="1" x14ac:dyDescent="0.25">
      <c r="D92" s="49"/>
      <c r="E92" s="49"/>
      <c r="G92" s="49"/>
      <c r="H92" s="49"/>
      <c r="O92" s="13"/>
      <c r="P92" s="13"/>
      <c r="Q92" s="13"/>
      <c r="R92" s="13"/>
    </row>
    <row r="93" spans="4:18" ht="14.25" customHeight="1" x14ac:dyDescent="0.25">
      <c r="D93" s="49"/>
      <c r="E93" s="49"/>
      <c r="G93" s="49"/>
      <c r="H93" s="49"/>
      <c r="O93" s="13"/>
      <c r="P93" s="13"/>
      <c r="Q93" s="13"/>
      <c r="R93" s="13"/>
    </row>
    <row r="94" spans="4:18" ht="14.25" customHeight="1" x14ac:dyDescent="0.25">
      <c r="D94" s="49"/>
      <c r="E94" s="49"/>
      <c r="G94" s="49"/>
      <c r="H94" s="49"/>
      <c r="O94" s="13"/>
      <c r="P94" s="13"/>
      <c r="Q94" s="13"/>
      <c r="R94" s="13"/>
    </row>
    <row r="95" spans="4:18" ht="14.25" customHeight="1" x14ac:dyDescent="0.25">
      <c r="D95" s="49"/>
      <c r="E95" s="49"/>
      <c r="G95" s="49"/>
      <c r="H95" s="49"/>
      <c r="O95" s="13"/>
      <c r="P95" s="13"/>
      <c r="Q95" s="13"/>
      <c r="R95" s="13"/>
    </row>
    <row r="96" spans="4:18" ht="14.25" customHeight="1" x14ac:dyDescent="0.25">
      <c r="D96" s="49"/>
      <c r="E96" s="49"/>
      <c r="G96" s="49"/>
      <c r="H96" s="49"/>
      <c r="O96" s="13"/>
      <c r="P96" s="13"/>
      <c r="Q96" s="13"/>
      <c r="R96" s="13"/>
    </row>
    <row r="97" spans="4:18" ht="14.25" customHeight="1" x14ac:dyDescent="0.25">
      <c r="D97" s="49"/>
      <c r="E97" s="49"/>
      <c r="G97" s="49"/>
      <c r="H97" s="49"/>
      <c r="O97" s="13"/>
      <c r="P97" s="13"/>
      <c r="Q97" s="13"/>
      <c r="R97" s="13"/>
    </row>
    <row r="98" spans="4:18" ht="14.25" customHeight="1" x14ac:dyDescent="0.25">
      <c r="D98" s="49"/>
      <c r="E98" s="49"/>
      <c r="G98" s="49"/>
      <c r="H98" s="49"/>
      <c r="O98" s="13"/>
      <c r="P98" s="13"/>
      <c r="Q98" s="13"/>
      <c r="R98" s="13"/>
    </row>
    <row r="99" spans="4:18" ht="14.25" customHeight="1" x14ac:dyDescent="0.25">
      <c r="D99" s="49"/>
      <c r="E99" s="49"/>
      <c r="G99" s="49"/>
      <c r="H99" s="49"/>
      <c r="O99" s="13"/>
      <c r="P99" s="13"/>
      <c r="Q99" s="13"/>
      <c r="R99" s="13"/>
    </row>
    <row r="100" spans="4:18" ht="14.25" customHeight="1" x14ac:dyDescent="0.25">
      <c r="D100" s="49"/>
      <c r="E100" s="49"/>
      <c r="G100" s="49"/>
      <c r="H100" s="49"/>
      <c r="O100" s="13"/>
      <c r="P100" s="13"/>
      <c r="Q100" s="13"/>
      <c r="R100" s="13"/>
    </row>
    <row r="101" spans="4:18" ht="14.25" customHeight="1" x14ac:dyDescent="0.25">
      <c r="D101" s="49"/>
      <c r="E101" s="49"/>
      <c r="G101" s="49"/>
      <c r="H101" s="49"/>
      <c r="O101" s="13"/>
      <c r="P101" s="13"/>
      <c r="Q101" s="13"/>
      <c r="R101" s="13"/>
    </row>
    <row r="102" spans="4:18" ht="14.25" customHeight="1" x14ac:dyDescent="0.25">
      <c r="D102" s="49"/>
      <c r="E102" s="49"/>
      <c r="G102" s="49"/>
      <c r="H102" s="49"/>
      <c r="O102" s="13"/>
      <c r="P102" s="13"/>
      <c r="Q102" s="13"/>
      <c r="R102" s="13"/>
    </row>
    <row r="103" spans="4:18" ht="14.25" customHeight="1" x14ac:dyDescent="0.25">
      <c r="D103" s="49"/>
      <c r="E103" s="49"/>
      <c r="G103" s="49"/>
      <c r="H103" s="49"/>
      <c r="O103" s="13"/>
      <c r="P103" s="13"/>
      <c r="Q103" s="13"/>
      <c r="R103" s="13"/>
    </row>
    <row r="104" spans="4:18" ht="14.25" customHeight="1" x14ac:dyDescent="0.25">
      <c r="D104" s="49"/>
      <c r="E104" s="49"/>
      <c r="G104" s="49"/>
      <c r="H104" s="49"/>
      <c r="O104" s="13"/>
      <c r="P104" s="13"/>
      <c r="Q104" s="13"/>
      <c r="R104" s="13"/>
    </row>
    <row r="105" spans="4:18" ht="14.25" customHeight="1" x14ac:dyDescent="0.25">
      <c r="D105" s="49"/>
      <c r="E105" s="49"/>
      <c r="G105" s="49"/>
      <c r="H105" s="49"/>
      <c r="O105" s="13"/>
      <c r="P105" s="13"/>
      <c r="Q105" s="13"/>
      <c r="R105" s="13"/>
    </row>
    <row r="106" spans="4:18" ht="14.25" customHeight="1" x14ac:dyDescent="0.25">
      <c r="D106" s="49"/>
      <c r="E106" s="49"/>
      <c r="G106" s="49"/>
      <c r="H106" s="49"/>
      <c r="O106" s="13"/>
      <c r="P106" s="13"/>
      <c r="Q106" s="13"/>
      <c r="R106" s="13"/>
    </row>
    <row r="107" spans="4:18" ht="14.25" customHeight="1" x14ac:dyDescent="0.25">
      <c r="D107" s="49"/>
      <c r="E107" s="49"/>
      <c r="G107" s="49"/>
      <c r="H107" s="49"/>
      <c r="O107" s="13"/>
      <c r="P107" s="13"/>
      <c r="Q107" s="13"/>
      <c r="R107" s="13"/>
    </row>
    <row r="108" spans="4:18" ht="14.25" customHeight="1" x14ac:dyDescent="0.25">
      <c r="D108" s="49"/>
      <c r="E108" s="49"/>
      <c r="G108" s="49"/>
      <c r="H108" s="49"/>
      <c r="O108" s="13"/>
      <c r="P108" s="13"/>
      <c r="Q108" s="13"/>
      <c r="R108" s="13"/>
    </row>
    <row r="109" spans="4:18" ht="14.25" customHeight="1" x14ac:dyDescent="0.25">
      <c r="D109" s="49"/>
      <c r="E109" s="49"/>
      <c r="G109" s="49"/>
      <c r="H109" s="49"/>
      <c r="O109" s="13"/>
      <c r="P109" s="13"/>
      <c r="Q109" s="13"/>
      <c r="R109" s="13"/>
    </row>
    <row r="110" spans="4:18" ht="14.25" customHeight="1" x14ac:dyDescent="0.25">
      <c r="D110" s="49"/>
      <c r="E110" s="49"/>
      <c r="G110" s="49"/>
      <c r="H110" s="49"/>
      <c r="O110" s="13"/>
      <c r="P110" s="13"/>
      <c r="Q110" s="13"/>
      <c r="R110" s="13"/>
    </row>
    <row r="111" spans="4:18" ht="14.25" customHeight="1" x14ac:dyDescent="0.25">
      <c r="D111" s="49"/>
      <c r="E111" s="49"/>
      <c r="G111" s="49"/>
      <c r="H111" s="49"/>
      <c r="O111" s="13"/>
      <c r="P111" s="13"/>
      <c r="Q111" s="13"/>
      <c r="R111" s="13"/>
    </row>
    <row r="112" spans="4:18" ht="14.25" customHeight="1" x14ac:dyDescent="0.25">
      <c r="D112" s="49"/>
      <c r="E112" s="49"/>
      <c r="G112" s="49"/>
      <c r="H112" s="49"/>
      <c r="O112" s="13"/>
      <c r="P112" s="13"/>
      <c r="Q112" s="13"/>
      <c r="R112" s="13"/>
    </row>
    <row r="113" spans="4:18" ht="14.25" customHeight="1" x14ac:dyDescent="0.25">
      <c r="D113" s="49"/>
      <c r="E113" s="49"/>
      <c r="G113" s="49"/>
      <c r="H113" s="49"/>
      <c r="O113" s="13"/>
      <c r="P113" s="13"/>
      <c r="Q113" s="13"/>
      <c r="R113" s="13"/>
    </row>
    <row r="114" spans="4:18" ht="14.25" customHeight="1" x14ac:dyDescent="0.25">
      <c r="D114" s="49"/>
      <c r="E114" s="49"/>
      <c r="G114" s="49"/>
      <c r="H114" s="49"/>
      <c r="O114" s="13"/>
      <c r="P114" s="13"/>
      <c r="Q114" s="13"/>
      <c r="R114" s="13"/>
    </row>
    <row r="115" spans="4:18" ht="14.25" customHeight="1" x14ac:dyDescent="0.25">
      <c r="D115" s="49"/>
      <c r="E115" s="49"/>
      <c r="G115" s="49"/>
      <c r="H115" s="49"/>
      <c r="O115" s="13"/>
      <c r="P115" s="13"/>
      <c r="Q115" s="13"/>
      <c r="R115" s="13"/>
    </row>
    <row r="116" spans="4:18" ht="14.25" customHeight="1" x14ac:dyDescent="0.25">
      <c r="D116" s="49"/>
      <c r="E116" s="49"/>
      <c r="G116" s="49"/>
      <c r="H116" s="49"/>
      <c r="O116" s="13"/>
      <c r="P116" s="13"/>
      <c r="Q116" s="13"/>
      <c r="R116" s="13"/>
    </row>
    <row r="117" spans="4:18" ht="14.25" customHeight="1" x14ac:dyDescent="0.25">
      <c r="D117" s="49"/>
      <c r="E117" s="49"/>
      <c r="G117" s="49"/>
      <c r="H117" s="49"/>
      <c r="O117" s="13"/>
      <c r="P117" s="13"/>
      <c r="Q117" s="13"/>
      <c r="R117" s="13"/>
    </row>
    <row r="118" spans="4:18" ht="14.25" customHeight="1" x14ac:dyDescent="0.25">
      <c r="D118" s="49"/>
      <c r="E118" s="49"/>
      <c r="G118" s="49"/>
      <c r="H118" s="49"/>
      <c r="O118" s="13"/>
      <c r="P118" s="13"/>
      <c r="Q118" s="13"/>
      <c r="R118" s="13"/>
    </row>
    <row r="119" spans="4:18" ht="14.25" customHeight="1" x14ac:dyDescent="0.25">
      <c r="D119" s="49"/>
      <c r="E119" s="49"/>
      <c r="G119" s="49"/>
      <c r="H119" s="49"/>
      <c r="O119" s="13"/>
      <c r="P119" s="13"/>
      <c r="Q119" s="13"/>
      <c r="R119" s="13"/>
    </row>
    <row r="120" spans="4:18" ht="14.25" customHeight="1" x14ac:dyDescent="0.25">
      <c r="D120" s="49"/>
      <c r="E120" s="49"/>
      <c r="G120" s="49"/>
      <c r="H120" s="49"/>
      <c r="O120" s="13"/>
      <c r="P120" s="13"/>
      <c r="Q120" s="13"/>
      <c r="R120" s="13"/>
    </row>
    <row r="121" spans="4:18" ht="14.25" customHeight="1" x14ac:dyDescent="0.25">
      <c r="D121" s="49"/>
      <c r="E121" s="49"/>
      <c r="G121" s="49"/>
      <c r="H121" s="49"/>
      <c r="O121" s="13"/>
      <c r="P121" s="13"/>
      <c r="Q121" s="13"/>
      <c r="R121" s="13"/>
    </row>
    <row r="122" spans="4:18" ht="14.25" customHeight="1" x14ac:dyDescent="0.25">
      <c r="D122" s="49"/>
      <c r="E122" s="49"/>
      <c r="G122" s="49"/>
      <c r="H122" s="49"/>
      <c r="O122" s="13"/>
      <c r="P122" s="13"/>
      <c r="Q122" s="13"/>
      <c r="R122" s="13"/>
    </row>
    <row r="123" spans="4:18" ht="14.25" customHeight="1" x14ac:dyDescent="0.25">
      <c r="D123" s="49"/>
      <c r="E123" s="49"/>
      <c r="G123" s="49"/>
      <c r="H123" s="49"/>
      <c r="O123" s="13"/>
      <c r="P123" s="13"/>
      <c r="Q123" s="13"/>
      <c r="R123" s="13"/>
    </row>
    <row r="124" spans="4:18" ht="14.25" customHeight="1" x14ac:dyDescent="0.25">
      <c r="D124" s="49"/>
      <c r="E124" s="49"/>
      <c r="G124" s="49"/>
      <c r="H124" s="49"/>
      <c r="O124" s="13"/>
      <c r="P124" s="13"/>
      <c r="Q124" s="13"/>
      <c r="R124" s="13"/>
    </row>
    <row r="125" spans="4:18" ht="14.25" customHeight="1" x14ac:dyDescent="0.25">
      <c r="D125" s="49"/>
      <c r="E125" s="49"/>
      <c r="G125" s="49"/>
      <c r="H125" s="49"/>
      <c r="O125" s="13"/>
      <c r="P125" s="13"/>
      <c r="Q125" s="13"/>
      <c r="R125" s="13"/>
    </row>
    <row r="126" spans="4:18" ht="14.25" customHeight="1" x14ac:dyDescent="0.25">
      <c r="D126" s="49"/>
      <c r="E126" s="49"/>
      <c r="G126" s="49"/>
      <c r="H126" s="49"/>
      <c r="O126" s="13"/>
      <c r="P126" s="13"/>
      <c r="Q126" s="13"/>
      <c r="R126" s="13"/>
    </row>
    <row r="127" spans="4:18" ht="14.25" customHeight="1" x14ac:dyDescent="0.25">
      <c r="D127" s="49"/>
      <c r="E127" s="49"/>
      <c r="G127" s="49"/>
      <c r="H127" s="49"/>
      <c r="O127" s="13"/>
      <c r="P127" s="13"/>
      <c r="Q127" s="13"/>
      <c r="R127" s="13"/>
    </row>
    <row r="128" spans="4:18" ht="14.25" customHeight="1" x14ac:dyDescent="0.25">
      <c r="D128" s="49"/>
      <c r="E128" s="49"/>
      <c r="G128" s="49"/>
      <c r="H128" s="49"/>
      <c r="O128" s="13"/>
      <c r="P128" s="13"/>
      <c r="Q128" s="13"/>
      <c r="R128" s="13"/>
    </row>
    <row r="129" spans="4:18" ht="14.25" customHeight="1" x14ac:dyDescent="0.25">
      <c r="D129" s="49"/>
      <c r="E129" s="49"/>
      <c r="G129" s="49"/>
      <c r="H129" s="49"/>
      <c r="O129" s="13"/>
      <c r="P129" s="13"/>
      <c r="Q129" s="13"/>
      <c r="R129" s="13"/>
    </row>
    <row r="130" spans="4:18" ht="14.25" customHeight="1" x14ac:dyDescent="0.25">
      <c r="D130" s="49"/>
      <c r="E130" s="49"/>
      <c r="G130" s="49"/>
      <c r="H130" s="49"/>
      <c r="O130" s="13"/>
      <c r="P130" s="13"/>
      <c r="Q130" s="13"/>
      <c r="R130" s="13"/>
    </row>
    <row r="131" spans="4:18" ht="14.25" customHeight="1" x14ac:dyDescent="0.25">
      <c r="D131" s="49"/>
      <c r="E131" s="49"/>
      <c r="G131" s="49"/>
      <c r="H131" s="49"/>
      <c r="O131" s="13"/>
      <c r="P131" s="13"/>
      <c r="Q131" s="13"/>
      <c r="R131" s="13"/>
    </row>
    <row r="132" spans="4:18" ht="14.25" customHeight="1" x14ac:dyDescent="0.25">
      <c r="D132" s="49"/>
      <c r="E132" s="49"/>
      <c r="G132" s="49"/>
      <c r="H132" s="49"/>
      <c r="O132" s="13"/>
      <c r="P132" s="13"/>
      <c r="Q132" s="13"/>
      <c r="R132" s="13"/>
    </row>
    <row r="133" spans="4:18" ht="14.25" customHeight="1" x14ac:dyDescent="0.25">
      <c r="D133" s="49"/>
      <c r="E133" s="49"/>
      <c r="G133" s="49"/>
      <c r="H133" s="49"/>
      <c r="O133" s="13"/>
      <c r="P133" s="13"/>
      <c r="Q133" s="13"/>
      <c r="R133" s="13"/>
    </row>
    <row r="134" spans="4:18" ht="14.25" customHeight="1" x14ac:dyDescent="0.25">
      <c r="D134" s="49"/>
      <c r="E134" s="49"/>
      <c r="G134" s="49"/>
      <c r="H134" s="49"/>
      <c r="O134" s="13"/>
      <c r="P134" s="13"/>
      <c r="Q134" s="13"/>
      <c r="R134" s="13"/>
    </row>
    <row r="135" spans="4:18" ht="14.25" customHeight="1" x14ac:dyDescent="0.25">
      <c r="D135" s="49"/>
      <c r="E135" s="49"/>
      <c r="G135" s="49"/>
      <c r="H135" s="49"/>
      <c r="O135" s="13"/>
      <c r="P135" s="13"/>
      <c r="Q135" s="13"/>
      <c r="R135" s="13"/>
    </row>
    <row r="136" spans="4:18" ht="14.25" customHeight="1" x14ac:dyDescent="0.25">
      <c r="D136" s="49"/>
      <c r="E136" s="49"/>
      <c r="G136" s="49"/>
      <c r="H136" s="49"/>
      <c r="O136" s="13"/>
      <c r="P136" s="13"/>
      <c r="Q136" s="13"/>
      <c r="R136" s="13"/>
    </row>
    <row r="137" spans="4:18" ht="14.25" customHeight="1" x14ac:dyDescent="0.25">
      <c r="D137" s="49"/>
      <c r="E137" s="49"/>
      <c r="G137" s="49"/>
      <c r="H137" s="49"/>
      <c r="O137" s="13"/>
      <c r="P137" s="13"/>
      <c r="Q137" s="13"/>
      <c r="R137" s="13"/>
    </row>
    <row r="138" spans="4:18" ht="14.25" customHeight="1" x14ac:dyDescent="0.25">
      <c r="D138" s="49"/>
      <c r="E138" s="49"/>
      <c r="G138" s="49"/>
      <c r="H138" s="49"/>
      <c r="O138" s="13"/>
      <c r="P138" s="13"/>
      <c r="Q138" s="13"/>
      <c r="R138" s="13"/>
    </row>
    <row r="139" spans="4:18" ht="14.25" customHeight="1" x14ac:dyDescent="0.25">
      <c r="D139" s="49"/>
      <c r="E139" s="49"/>
      <c r="G139" s="49"/>
      <c r="H139" s="49"/>
      <c r="O139" s="13"/>
      <c r="P139" s="13"/>
      <c r="Q139" s="13"/>
      <c r="R139" s="13"/>
    </row>
    <row r="140" spans="4:18" ht="14.25" customHeight="1" x14ac:dyDescent="0.25">
      <c r="D140" s="49"/>
      <c r="E140" s="49"/>
      <c r="G140" s="49"/>
      <c r="H140" s="49"/>
      <c r="O140" s="13"/>
      <c r="P140" s="13"/>
      <c r="Q140" s="13"/>
      <c r="R140" s="13"/>
    </row>
    <row r="141" spans="4:18" ht="14.25" customHeight="1" x14ac:dyDescent="0.25">
      <c r="D141" s="49"/>
      <c r="E141" s="49"/>
      <c r="G141" s="49"/>
      <c r="H141" s="49"/>
      <c r="O141" s="13"/>
      <c r="P141" s="13"/>
      <c r="Q141" s="13"/>
      <c r="R141" s="13"/>
    </row>
    <row r="142" spans="4:18" ht="14.25" customHeight="1" x14ac:dyDescent="0.25">
      <c r="D142" s="49"/>
      <c r="E142" s="49"/>
      <c r="G142" s="49"/>
      <c r="H142" s="49"/>
      <c r="O142" s="13"/>
      <c r="P142" s="13"/>
      <c r="Q142" s="13"/>
      <c r="R142" s="13"/>
    </row>
    <row r="143" spans="4:18" ht="14.25" customHeight="1" x14ac:dyDescent="0.25">
      <c r="D143" s="49"/>
      <c r="E143" s="49"/>
      <c r="G143" s="49"/>
      <c r="H143" s="49"/>
      <c r="O143" s="13"/>
      <c r="P143" s="13"/>
      <c r="Q143" s="13"/>
      <c r="R143" s="13"/>
    </row>
    <row r="144" spans="4:18" ht="14.25" customHeight="1" x14ac:dyDescent="0.25">
      <c r="D144" s="49"/>
      <c r="E144" s="49"/>
      <c r="G144" s="49"/>
      <c r="H144" s="49"/>
      <c r="O144" s="13"/>
      <c r="P144" s="13"/>
      <c r="Q144" s="13"/>
      <c r="R144" s="13"/>
    </row>
    <row r="145" spans="4:18" ht="14.25" customHeight="1" x14ac:dyDescent="0.25">
      <c r="D145" s="49"/>
      <c r="E145" s="49"/>
      <c r="G145" s="49"/>
      <c r="H145" s="49"/>
      <c r="O145" s="13"/>
      <c r="P145" s="13"/>
      <c r="Q145" s="13"/>
      <c r="R145" s="13"/>
    </row>
    <row r="146" spans="4:18" ht="14.25" customHeight="1" x14ac:dyDescent="0.25">
      <c r="D146" s="49"/>
      <c r="E146" s="49"/>
      <c r="G146" s="49"/>
      <c r="H146" s="49"/>
      <c r="O146" s="13"/>
      <c r="P146" s="13"/>
      <c r="Q146" s="13"/>
      <c r="R146" s="13"/>
    </row>
    <row r="147" spans="4:18" ht="14.25" customHeight="1" x14ac:dyDescent="0.25">
      <c r="D147" s="49"/>
      <c r="E147" s="49"/>
      <c r="G147" s="49"/>
      <c r="H147" s="49"/>
      <c r="O147" s="13"/>
      <c r="P147" s="13"/>
      <c r="Q147" s="13"/>
      <c r="R147" s="13"/>
    </row>
    <row r="148" spans="4:18" ht="14.25" customHeight="1" x14ac:dyDescent="0.25">
      <c r="D148" s="49"/>
      <c r="E148" s="49"/>
      <c r="G148" s="49"/>
      <c r="H148" s="49"/>
      <c r="O148" s="13"/>
      <c r="P148" s="13"/>
      <c r="Q148" s="13"/>
      <c r="R148" s="13"/>
    </row>
    <row r="149" spans="4:18" ht="14.25" customHeight="1" x14ac:dyDescent="0.25">
      <c r="D149" s="49"/>
      <c r="E149" s="49"/>
      <c r="G149" s="49"/>
      <c r="H149" s="49"/>
      <c r="O149" s="13"/>
      <c r="P149" s="13"/>
      <c r="Q149" s="13"/>
      <c r="R149" s="13"/>
    </row>
    <row r="150" spans="4:18" ht="14.25" customHeight="1" x14ac:dyDescent="0.25">
      <c r="D150" s="49"/>
      <c r="E150" s="49"/>
      <c r="G150" s="49"/>
      <c r="H150" s="49"/>
      <c r="O150" s="13"/>
      <c r="P150" s="13"/>
      <c r="Q150" s="13"/>
      <c r="R150" s="13"/>
    </row>
    <row r="151" spans="4:18" ht="14.25" customHeight="1" x14ac:dyDescent="0.25">
      <c r="D151" s="49"/>
      <c r="E151" s="49"/>
      <c r="G151" s="49"/>
      <c r="H151" s="49"/>
      <c r="O151" s="13"/>
      <c r="P151" s="13"/>
      <c r="Q151" s="13"/>
      <c r="R151" s="13"/>
    </row>
    <row r="152" spans="4:18" ht="14.25" customHeight="1" x14ac:dyDescent="0.25">
      <c r="D152" s="49"/>
      <c r="E152" s="49"/>
      <c r="G152" s="49"/>
      <c r="H152" s="49"/>
      <c r="O152" s="13"/>
      <c r="P152" s="13"/>
      <c r="Q152" s="13"/>
      <c r="R152" s="13"/>
    </row>
    <row r="153" spans="4:18" ht="14.25" customHeight="1" x14ac:dyDescent="0.25">
      <c r="D153" s="49"/>
      <c r="E153" s="49"/>
      <c r="G153" s="49"/>
      <c r="H153" s="49"/>
      <c r="O153" s="13"/>
      <c r="P153" s="13"/>
      <c r="Q153" s="13"/>
      <c r="R153" s="13"/>
    </row>
    <row r="154" spans="4:18" ht="14.25" customHeight="1" x14ac:dyDescent="0.25">
      <c r="D154" s="49"/>
      <c r="E154" s="49"/>
      <c r="G154" s="49"/>
      <c r="H154" s="49"/>
      <c r="O154" s="13"/>
      <c r="P154" s="13"/>
      <c r="Q154" s="13"/>
      <c r="R154" s="13"/>
    </row>
    <row r="155" spans="4:18" ht="14.25" customHeight="1" x14ac:dyDescent="0.25">
      <c r="D155" s="49"/>
      <c r="E155" s="49"/>
      <c r="G155" s="49"/>
      <c r="H155" s="49"/>
      <c r="O155" s="13"/>
      <c r="P155" s="13"/>
      <c r="Q155" s="13"/>
      <c r="R155" s="13"/>
    </row>
    <row r="156" spans="4:18" ht="14.25" customHeight="1" x14ac:dyDescent="0.25">
      <c r="D156" s="49"/>
      <c r="E156" s="49"/>
      <c r="G156" s="49"/>
      <c r="H156" s="49"/>
      <c r="O156" s="13"/>
      <c r="P156" s="13"/>
      <c r="Q156" s="13"/>
      <c r="R156" s="13"/>
    </row>
    <row r="157" spans="4:18" ht="14.25" customHeight="1" x14ac:dyDescent="0.25">
      <c r="D157" s="49"/>
      <c r="E157" s="49"/>
      <c r="G157" s="49"/>
      <c r="H157" s="49"/>
      <c r="O157" s="13"/>
      <c r="P157" s="13"/>
      <c r="Q157" s="13"/>
      <c r="R157" s="13"/>
    </row>
    <row r="158" spans="4:18" ht="14.25" customHeight="1" x14ac:dyDescent="0.25">
      <c r="D158" s="49"/>
      <c r="E158" s="49"/>
      <c r="G158" s="49"/>
      <c r="H158" s="49"/>
      <c r="O158" s="13"/>
      <c r="P158" s="13"/>
      <c r="Q158" s="13"/>
      <c r="R158" s="13"/>
    </row>
    <row r="159" spans="4:18" ht="14.25" customHeight="1" x14ac:dyDescent="0.25">
      <c r="D159" s="49"/>
      <c r="E159" s="49"/>
      <c r="G159" s="49"/>
      <c r="H159" s="49"/>
      <c r="O159" s="13"/>
      <c r="P159" s="13"/>
      <c r="Q159" s="13"/>
      <c r="R159" s="13"/>
    </row>
    <row r="160" spans="4:18" ht="14.25" customHeight="1" x14ac:dyDescent="0.25">
      <c r="D160" s="49"/>
      <c r="E160" s="49"/>
      <c r="G160" s="49"/>
      <c r="H160" s="49"/>
      <c r="O160" s="13"/>
      <c r="P160" s="13"/>
      <c r="Q160" s="13"/>
      <c r="R160" s="13"/>
    </row>
    <row r="161" spans="4:18" ht="14.25" customHeight="1" x14ac:dyDescent="0.25">
      <c r="D161" s="49"/>
      <c r="E161" s="49"/>
      <c r="G161" s="49"/>
      <c r="H161" s="49"/>
      <c r="O161" s="13"/>
      <c r="P161" s="13"/>
      <c r="Q161" s="13"/>
      <c r="R161" s="13"/>
    </row>
    <row r="162" spans="4:18" ht="14.25" customHeight="1" x14ac:dyDescent="0.25">
      <c r="D162" s="49"/>
      <c r="E162" s="49"/>
      <c r="G162" s="49"/>
      <c r="H162" s="49"/>
      <c r="O162" s="13"/>
      <c r="P162" s="13"/>
      <c r="Q162" s="13"/>
      <c r="R162" s="13"/>
    </row>
    <row r="163" spans="4:18" ht="14.25" customHeight="1" x14ac:dyDescent="0.25">
      <c r="D163" s="49"/>
      <c r="E163" s="49"/>
      <c r="G163" s="49"/>
      <c r="H163" s="49"/>
      <c r="O163" s="13"/>
      <c r="P163" s="13"/>
      <c r="Q163" s="13"/>
      <c r="R163" s="13"/>
    </row>
    <row r="164" spans="4:18" ht="14.25" customHeight="1" x14ac:dyDescent="0.25">
      <c r="D164" s="49"/>
      <c r="E164" s="49"/>
      <c r="G164" s="49"/>
      <c r="H164" s="49"/>
      <c r="O164" s="13"/>
      <c r="P164" s="13"/>
      <c r="Q164" s="13"/>
      <c r="R164" s="13"/>
    </row>
    <row r="165" spans="4:18" ht="14.25" customHeight="1" x14ac:dyDescent="0.25">
      <c r="D165" s="49"/>
      <c r="E165" s="49"/>
      <c r="G165" s="49"/>
      <c r="H165" s="49"/>
      <c r="O165" s="13"/>
      <c r="P165" s="13"/>
      <c r="Q165" s="13"/>
      <c r="R165" s="13"/>
    </row>
    <row r="166" spans="4:18" ht="14.25" customHeight="1" x14ac:dyDescent="0.25">
      <c r="D166" s="49"/>
      <c r="E166" s="49"/>
      <c r="G166" s="49"/>
      <c r="H166" s="49"/>
      <c r="O166" s="13"/>
      <c r="P166" s="13"/>
      <c r="Q166" s="13"/>
      <c r="R166" s="13"/>
    </row>
    <row r="167" spans="4:18" ht="14.25" customHeight="1" x14ac:dyDescent="0.25">
      <c r="D167" s="49"/>
      <c r="E167" s="49"/>
      <c r="G167" s="49"/>
      <c r="H167" s="49"/>
      <c r="O167" s="13"/>
      <c r="P167" s="13"/>
      <c r="Q167" s="13"/>
      <c r="R167" s="13"/>
    </row>
    <row r="168" spans="4:18" ht="14.25" customHeight="1" x14ac:dyDescent="0.25">
      <c r="D168" s="49"/>
      <c r="E168" s="49"/>
      <c r="G168" s="49"/>
      <c r="H168" s="49"/>
      <c r="O168" s="13"/>
      <c r="P168" s="13"/>
      <c r="Q168" s="13"/>
      <c r="R168" s="13"/>
    </row>
    <row r="169" spans="4:18" ht="14.25" customHeight="1" x14ac:dyDescent="0.25">
      <c r="D169" s="49"/>
      <c r="E169" s="49"/>
      <c r="G169" s="49"/>
      <c r="H169" s="49"/>
      <c r="O169" s="13"/>
      <c r="P169" s="13"/>
      <c r="Q169" s="13"/>
      <c r="R169" s="13"/>
    </row>
    <row r="170" spans="4:18" ht="14.25" customHeight="1" x14ac:dyDescent="0.25">
      <c r="D170" s="49"/>
      <c r="E170" s="49"/>
      <c r="G170" s="49"/>
      <c r="H170" s="49"/>
      <c r="O170" s="13"/>
      <c r="P170" s="13"/>
      <c r="Q170" s="13"/>
      <c r="R170" s="13"/>
    </row>
    <row r="171" spans="4:18" ht="14.25" customHeight="1" x14ac:dyDescent="0.25">
      <c r="D171" s="49"/>
      <c r="E171" s="49"/>
      <c r="G171" s="49"/>
      <c r="H171" s="49"/>
      <c r="O171" s="13"/>
      <c r="P171" s="13"/>
      <c r="Q171" s="13"/>
      <c r="R171" s="13"/>
    </row>
    <row r="172" spans="4:18" ht="14.25" customHeight="1" x14ac:dyDescent="0.25">
      <c r="D172" s="49"/>
      <c r="E172" s="49"/>
      <c r="G172" s="49"/>
      <c r="H172" s="49"/>
      <c r="O172" s="13"/>
      <c r="P172" s="13"/>
      <c r="Q172" s="13"/>
      <c r="R172" s="13"/>
    </row>
    <row r="173" spans="4:18" ht="14.25" customHeight="1" x14ac:dyDescent="0.25">
      <c r="D173" s="49"/>
      <c r="E173" s="49"/>
      <c r="G173" s="49"/>
      <c r="H173" s="49"/>
      <c r="O173" s="13"/>
      <c r="P173" s="13"/>
      <c r="Q173" s="13"/>
      <c r="R173" s="13"/>
    </row>
    <row r="174" spans="4:18" ht="14.25" customHeight="1" x14ac:dyDescent="0.25">
      <c r="D174" s="49"/>
      <c r="E174" s="49"/>
      <c r="G174" s="49"/>
      <c r="H174" s="49"/>
      <c r="O174" s="13"/>
      <c r="P174" s="13"/>
      <c r="Q174" s="13"/>
      <c r="R174" s="13"/>
    </row>
    <row r="175" spans="4:18" ht="14.25" customHeight="1" x14ac:dyDescent="0.25">
      <c r="D175" s="49"/>
      <c r="E175" s="49"/>
      <c r="G175" s="49"/>
      <c r="H175" s="49"/>
      <c r="O175" s="13"/>
      <c r="P175" s="13"/>
      <c r="Q175" s="13"/>
      <c r="R175" s="13"/>
    </row>
    <row r="176" spans="4:18" ht="14.25" customHeight="1" x14ac:dyDescent="0.25">
      <c r="D176" s="49"/>
      <c r="E176" s="49"/>
      <c r="G176" s="49"/>
      <c r="H176" s="49"/>
      <c r="O176" s="13"/>
      <c r="P176" s="13"/>
      <c r="Q176" s="13"/>
      <c r="R176" s="13"/>
    </row>
    <row r="177" spans="4:18" ht="14.25" customHeight="1" x14ac:dyDescent="0.25">
      <c r="D177" s="49"/>
      <c r="E177" s="49"/>
      <c r="G177" s="49"/>
      <c r="H177" s="49"/>
      <c r="O177" s="13"/>
      <c r="P177" s="13"/>
      <c r="Q177" s="13"/>
      <c r="R177" s="13"/>
    </row>
    <row r="178" spans="4:18" ht="14.25" customHeight="1" x14ac:dyDescent="0.25">
      <c r="D178" s="49"/>
      <c r="E178" s="49"/>
      <c r="G178" s="49"/>
      <c r="H178" s="49"/>
      <c r="O178" s="13"/>
      <c r="P178" s="13"/>
      <c r="Q178" s="13"/>
      <c r="R178" s="13"/>
    </row>
    <row r="179" spans="4:18" ht="14.25" customHeight="1" x14ac:dyDescent="0.25">
      <c r="D179" s="49"/>
      <c r="E179" s="49"/>
      <c r="G179" s="49"/>
      <c r="H179" s="49"/>
      <c r="O179" s="13"/>
      <c r="P179" s="13"/>
      <c r="Q179" s="13"/>
      <c r="R179" s="13"/>
    </row>
    <row r="180" spans="4:18" ht="14.25" customHeight="1" x14ac:dyDescent="0.25">
      <c r="D180" s="49"/>
      <c r="E180" s="49"/>
      <c r="G180" s="49"/>
      <c r="H180" s="49"/>
      <c r="O180" s="13"/>
      <c r="P180" s="13"/>
      <c r="Q180" s="13"/>
      <c r="R180" s="13"/>
    </row>
    <row r="181" spans="4:18" ht="14.25" customHeight="1" x14ac:dyDescent="0.25">
      <c r="D181" s="49"/>
      <c r="E181" s="49"/>
      <c r="G181" s="49"/>
      <c r="H181" s="49"/>
      <c r="O181" s="13"/>
      <c r="P181" s="13"/>
      <c r="Q181" s="13"/>
      <c r="R181" s="13"/>
    </row>
    <row r="182" spans="4:18" ht="14.25" customHeight="1" x14ac:dyDescent="0.25">
      <c r="D182" s="49"/>
      <c r="E182" s="49"/>
      <c r="G182" s="49"/>
      <c r="H182" s="49"/>
      <c r="O182" s="13"/>
      <c r="P182" s="13"/>
      <c r="Q182" s="13"/>
      <c r="R182" s="13"/>
    </row>
    <row r="183" spans="4:18" ht="14.25" customHeight="1" x14ac:dyDescent="0.25">
      <c r="D183" s="49"/>
      <c r="E183" s="49"/>
      <c r="G183" s="49"/>
      <c r="H183" s="49"/>
      <c r="O183" s="13"/>
      <c r="P183" s="13"/>
      <c r="Q183" s="13"/>
      <c r="R183" s="13"/>
    </row>
    <row r="184" spans="4:18" ht="14.25" customHeight="1" x14ac:dyDescent="0.25">
      <c r="D184" s="49"/>
      <c r="E184" s="49"/>
      <c r="G184" s="49"/>
      <c r="H184" s="49"/>
      <c r="O184" s="13"/>
      <c r="P184" s="13"/>
      <c r="Q184" s="13"/>
      <c r="R184" s="13"/>
    </row>
    <row r="185" spans="4:18" ht="14.25" customHeight="1" x14ac:dyDescent="0.25">
      <c r="D185" s="49"/>
      <c r="E185" s="49"/>
      <c r="G185" s="49"/>
      <c r="H185" s="49"/>
      <c r="O185" s="13"/>
      <c r="P185" s="13"/>
      <c r="Q185" s="13"/>
      <c r="R185" s="13"/>
    </row>
    <row r="186" spans="4:18" ht="14.25" customHeight="1" x14ac:dyDescent="0.25">
      <c r="D186" s="49"/>
      <c r="E186" s="49"/>
      <c r="G186" s="49"/>
      <c r="H186" s="49"/>
      <c r="O186" s="13"/>
      <c r="P186" s="13"/>
      <c r="Q186" s="13"/>
      <c r="R186" s="13"/>
    </row>
    <row r="187" spans="4:18" ht="14.25" customHeight="1" x14ac:dyDescent="0.25">
      <c r="D187" s="49"/>
      <c r="E187" s="49"/>
      <c r="G187" s="49"/>
      <c r="H187" s="49"/>
      <c r="O187" s="13"/>
      <c r="P187" s="13"/>
      <c r="Q187" s="13"/>
      <c r="R187" s="13"/>
    </row>
    <row r="188" spans="4:18" ht="14.25" customHeight="1" x14ac:dyDescent="0.25">
      <c r="D188" s="49"/>
      <c r="E188" s="49"/>
      <c r="G188" s="49"/>
      <c r="H188" s="49"/>
      <c r="O188" s="13"/>
      <c r="P188" s="13"/>
      <c r="Q188" s="13"/>
      <c r="R188" s="13"/>
    </row>
    <row r="189" spans="4:18" ht="14.25" customHeight="1" x14ac:dyDescent="0.25">
      <c r="D189" s="49"/>
      <c r="E189" s="49"/>
      <c r="G189" s="49"/>
      <c r="H189" s="49"/>
      <c r="O189" s="13"/>
      <c r="P189" s="13"/>
      <c r="Q189" s="13"/>
      <c r="R189" s="13"/>
    </row>
    <row r="190" spans="4:18" ht="14.25" customHeight="1" x14ac:dyDescent="0.25">
      <c r="D190" s="49"/>
      <c r="E190" s="49"/>
      <c r="G190" s="49"/>
      <c r="H190" s="49"/>
      <c r="O190" s="13"/>
      <c r="P190" s="13"/>
      <c r="Q190" s="13"/>
      <c r="R190" s="13"/>
    </row>
    <row r="191" spans="4:18" ht="14.25" customHeight="1" x14ac:dyDescent="0.25">
      <c r="D191" s="49"/>
      <c r="E191" s="49"/>
      <c r="G191" s="49"/>
      <c r="H191" s="49"/>
      <c r="O191" s="13"/>
      <c r="P191" s="13"/>
      <c r="Q191" s="13"/>
      <c r="R191" s="13"/>
    </row>
    <row r="192" spans="4:18" ht="14.25" customHeight="1" x14ac:dyDescent="0.25">
      <c r="D192" s="49"/>
      <c r="E192" s="49"/>
      <c r="G192" s="49"/>
      <c r="H192" s="49"/>
      <c r="O192" s="13"/>
      <c r="P192" s="13"/>
      <c r="Q192" s="13"/>
      <c r="R192" s="13"/>
    </row>
    <row r="193" spans="4:18" ht="14.25" customHeight="1" x14ac:dyDescent="0.25">
      <c r="D193" s="49"/>
      <c r="E193" s="49"/>
      <c r="G193" s="49"/>
      <c r="H193" s="49"/>
      <c r="O193" s="13"/>
      <c r="P193" s="13"/>
      <c r="Q193" s="13"/>
      <c r="R193" s="13"/>
    </row>
    <row r="194" spans="4:18" ht="14.25" customHeight="1" x14ac:dyDescent="0.25">
      <c r="D194" s="49"/>
      <c r="E194" s="49"/>
      <c r="G194" s="49"/>
      <c r="H194" s="49"/>
      <c r="O194" s="13"/>
      <c r="P194" s="13"/>
      <c r="Q194" s="13"/>
      <c r="R194" s="13"/>
    </row>
    <row r="195" spans="4:18" ht="14.25" customHeight="1" x14ac:dyDescent="0.25">
      <c r="D195" s="49"/>
      <c r="E195" s="49"/>
      <c r="G195" s="49"/>
      <c r="H195" s="49"/>
      <c r="O195" s="13"/>
      <c r="P195" s="13"/>
      <c r="Q195" s="13"/>
      <c r="R195" s="13"/>
    </row>
    <row r="196" spans="4:18" ht="14.25" customHeight="1" x14ac:dyDescent="0.25">
      <c r="D196" s="49"/>
      <c r="E196" s="49"/>
      <c r="G196" s="49"/>
      <c r="H196" s="49"/>
      <c r="O196" s="13"/>
      <c r="P196" s="13"/>
      <c r="Q196" s="13"/>
      <c r="R196" s="13"/>
    </row>
    <row r="197" spans="4:18" ht="14.25" customHeight="1" x14ac:dyDescent="0.25">
      <c r="D197" s="49"/>
      <c r="E197" s="49"/>
      <c r="G197" s="49"/>
      <c r="H197" s="49"/>
      <c r="O197" s="13"/>
      <c r="P197" s="13"/>
      <c r="Q197" s="13"/>
      <c r="R197" s="13"/>
    </row>
    <row r="198" spans="4:18" ht="14.25" customHeight="1" x14ac:dyDescent="0.25">
      <c r="D198" s="49"/>
      <c r="E198" s="49"/>
      <c r="G198" s="49"/>
      <c r="H198" s="49"/>
      <c r="O198" s="13"/>
      <c r="P198" s="13"/>
      <c r="Q198" s="13"/>
      <c r="R198" s="13"/>
    </row>
    <row r="199" spans="4:18" ht="14.25" customHeight="1" x14ac:dyDescent="0.25">
      <c r="D199" s="49"/>
      <c r="E199" s="49"/>
      <c r="G199" s="49"/>
      <c r="H199" s="49"/>
      <c r="O199" s="13"/>
      <c r="P199" s="13"/>
      <c r="Q199" s="13"/>
      <c r="R199" s="13"/>
    </row>
    <row r="200" spans="4:18" ht="14.25" customHeight="1" x14ac:dyDescent="0.25">
      <c r="D200" s="49"/>
      <c r="E200" s="49"/>
      <c r="G200" s="49"/>
      <c r="H200" s="49"/>
      <c r="O200" s="13"/>
      <c r="P200" s="13"/>
      <c r="Q200" s="13"/>
      <c r="R200" s="13"/>
    </row>
    <row r="201" spans="4:18" ht="14.25" customHeight="1" x14ac:dyDescent="0.25">
      <c r="D201" s="49"/>
      <c r="E201" s="49"/>
      <c r="G201" s="49"/>
      <c r="H201" s="49"/>
      <c r="O201" s="13"/>
      <c r="P201" s="13"/>
      <c r="Q201" s="13"/>
      <c r="R201" s="13"/>
    </row>
    <row r="202" spans="4:18" ht="14.25" customHeight="1" x14ac:dyDescent="0.25">
      <c r="D202" s="49"/>
      <c r="E202" s="49"/>
      <c r="G202" s="49"/>
      <c r="H202" s="49"/>
      <c r="O202" s="13"/>
      <c r="P202" s="13"/>
      <c r="Q202" s="13"/>
      <c r="R202" s="13"/>
    </row>
    <row r="203" spans="4:18" ht="14.25" customHeight="1" x14ac:dyDescent="0.25">
      <c r="D203" s="49"/>
      <c r="E203" s="49"/>
      <c r="G203" s="49"/>
      <c r="H203" s="49"/>
      <c r="O203" s="13"/>
      <c r="P203" s="13"/>
      <c r="Q203" s="13"/>
      <c r="R203" s="13"/>
    </row>
    <row r="204" spans="4:18" ht="14.25" customHeight="1" x14ac:dyDescent="0.25">
      <c r="D204" s="49"/>
      <c r="E204" s="49"/>
      <c r="G204" s="49"/>
      <c r="H204" s="49"/>
      <c r="O204" s="13"/>
      <c r="P204" s="13"/>
      <c r="Q204" s="13"/>
      <c r="R204" s="13"/>
    </row>
    <row r="205" spans="4:18" ht="14.25" customHeight="1" x14ac:dyDescent="0.25">
      <c r="D205" s="49"/>
      <c r="E205" s="49"/>
      <c r="G205" s="49"/>
      <c r="H205" s="49"/>
      <c r="O205" s="13"/>
      <c r="P205" s="13"/>
      <c r="Q205" s="13"/>
      <c r="R205" s="13"/>
    </row>
    <row r="206" spans="4:18" ht="14.25" customHeight="1" x14ac:dyDescent="0.25">
      <c r="D206" s="49"/>
      <c r="E206" s="49"/>
      <c r="G206" s="49"/>
      <c r="H206" s="49"/>
      <c r="O206" s="13"/>
      <c r="P206" s="13"/>
      <c r="Q206" s="13"/>
      <c r="R206" s="13"/>
    </row>
    <row r="207" spans="4:18" ht="14.25" customHeight="1" x14ac:dyDescent="0.25">
      <c r="D207" s="49"/>
      <c r="E207" s="49"/>
      <c r="G207" s="49"/>
      <c r="H207" s="49"/>
      <c r="O207" s="13"/>
      <c r="P207" s="13"/>
      <c r="Q207" s="13"/>
      <c r="R207" s="13"/>
    </row>
    <row r="208" spans="4:18" ht="14.25" customHeight="1" x14ac:dyDescent="0.25">
      <c r="D208" s="49"/>
      <c r="E208" s="49"/>
      <c r="G208" s="49"/>
      <c r="H208" s="49"/>
      <c r="O208" s="13"/>
      <c r="P208" s="13"/>
      <c r="Q208" s="13"/>
      <c r="R208" s="13"/>
    </row>
    <row r="209" spans="4:18" ht="14.25" customHeight="1" x14ac:dyDescent="0.25">
      <c r="D209" s="49"/>
      <c r="E209" s="49"/>
      <c r="G209" s="49"/>
      <c r="H209" s="49"/>
      <c r="O209" s="13"/>
      <c r="P209" s="13"/>
      <c r="Q209" s="13"/>
      <c r="R209" s="13"/>
    </row>
    <row r="210" spans="4:18" ht="14.25" customHeight="1" x14ac:dyDescent="0.25">
      <c r="D210" s="49"/>
      <c r="E210" s="49"/>
      <c r="G210" s="49"/>
      <c r="H210" s="49"/>
      <c r="O210" s="13"/>
      <c r="P210" s="13"/>
      <c r="Q210" s="13"/>
      <c r="R210" s="13"/>
    </row>
    <row r="211" spans="4:18" ht="14.25" customHeight="1" x14ac:dyDescent="0.25">
      <c r="D211" s="49"/>
      <c r="E211" s="49"/>
      <c r="G211" s="49"/>
      <c r="H211" s="49"/>
      <c r="O211" s="13"/>
      <c r="P211" s="13"/>
      <c r="Q211" s="13"/>
      <c r="R211" s="13"/>
    </row>
    <row r="212" spans="4:18" ht="14.25" customHeight="1" x14ac:dyDescent="0.25">
      <c r="D212" s="49"/>
      <c r="E212" s="49"/>
      <c r="G212" s="49"/>
      <c r="H212" s="49"/>
      <c r="O212" s="13"/>
      <c r="P212" s="13"/>
      <c r="Q212" s="13"/>
      <c r="R212" s="13"/>
    </row>
    <row r="213" spans="4:18" ht="14.25" customHeight="1" x14ac:dyDescent="0.25">
      <c r="D213" s="49"/>
      <c r="E213" s="49"/>
      <c r="G213" s="49"/>
      <c r="H213" s="49"/>
      <c r="O213" s="13"/>
      <c r="P213" s="13"/>
      <c r="Q213" s="13"/>
      <c r="R213" s="13"/>
    </row>
    <row r="214" spans="4:18" ht="14.25" customHeight="1" x14ac:dyDescent="0.25">
      <c r="D214" s="49"/>
      <c r="E214" s="49"/>
      <c r="G214" s="49"/>
      <c r="H214" s="49"/>
      <c r="O214" s="13"/>
      <c r="P214" s="13"/>
      <c r="Q214" s="13"/>
      <c r="R214" s="13"/>
    </row>
    <row r="215" spans="4:18" ht="14.25" customHeight="1" x14ac:dyDescent="0.25">
      <c r="D215" s="49"/>
      <c r="E215" s="49"/>
      <c r="G215" s="49"/>
      <c r="H215" s="49"/>
      <c r="O215" s="13"/>
      <c r="P215" s="13"/>
      <c r="Q215" s="13"/>
      <c r="R215" s="13"/>
    </row>
    <row r="216" spans="4:18" ht="14.25" customHeight="1" x14ac:dyDescent="0.25">
      <c r="D216" s="49"/>
      <c r="E216" s="49"/>
      <c r="G216" s="49"/>
      <c r="H216" s="49"/>
      <c r="O216" s="13"/>
      <c r="P216" s="13"/>
      <c r="Q216" s="13"/>
      <c r="R216" s="13"/>
    </row>
    <row r="217" spans="4:18" ht="14.25" customHeight="1" x14ac:dyDescent="0.25">
      <c r="D217" s="49"/>
      <c r="E217" s="49"/>
      <c r="G217" s="49"/>
      <c r="H217" s="49"/>
      <c r="O217" s="13"/>
      <c r="P217" s="13"/>
      <c r="Q217" s="13"/>
      <c r="R217" s="13"/>
    </row>
    <row r="218" spans="4:18" ht="14.25" customHeight="1" x14ac:dyDescent="0.25">
      <c r="D218" s="49"/>
      <c r="E218" s="49"/>
      <c r="G218" s="49"/>
      <c r="H218" s="49"/>
      <c r="O218" s="13"/>
      <c r="P218" s="13"/>
      <c r="Q218" s="13"/>
      <c r="R218" s="13"/>
    </row>
    <row r="219" spans="4:18" ht="14.25" customHeight="1" x14ac:dyDescent="0.25">
      <c r="D219" s="49"/>
      <c r="E219" s="49"/>
      <c r="G219" s="49"/>
      <c r="H219" s="49"/>
      <c r="O219" s="13"/>
      <c r="P219" s="13"/>
      <c r="Q219" s="13"/>
      <c r="R219" s="13"/>
    </row>
    <row r="220" spans="4:18" ht="14.25" customHeight="1" x14ac:dyDescent="0.25">
      <c r="D220" s="49"/>
      <c r="E220" s="49"/>
      <c r="G220" s="49"/>
      <c r="H220" s="49"/>
      <c r="O220" s="13"/>
      <c r="P220" s="13"/>
      <c r="Q220" s="13"/>
      <c r="R220" s="13"/>
    </row>
    <row r="221" spans="4:18" ht="14.25" customHeight="1" x14ac:dyDescent="0.25">
      <c r="D221" s="49"/>
      <c r="E221" s="49"/>
      <c r="G221" s="49"/>
      <c r="H221" s="49"/>
      <c r="O221" s="13"/>
      <c r="P221" s="13"/>
      <c r="Q221" s="13"/>
      <c r="R221" s="13"/>
    </row>
    <row r="222" spans="4:18" ht="14.25" customHeight="1" x14ac:dyDescent="0.25">
      <c r="D222" s="49"/>
      <c r="E222" s="49"/>
      <c r="G222" s="49"/>
      <c r="H222" s="49"/>
      <c r="O222" s="13"/>
      <c r="P222" s="13"/>
      <c r="Q222" s="13"/>
      <c r="R222" s="13"/>
    </row>
    <row r="223" spans="4:18" ht="14.25" customHeight="1" x14ac:dyDescent="0.25">
      <c r="D223" s="49"/>
      <c r="E223" s="49"/>
      <c r="G223" s="49"/>
      <c r="H223" s="49"/>
      <c r="O223" s="13"/>
      <c r="P223" s="13"/>
      <c r="Q223" s="13"/>
      <c r="R223" s="13"/>
    </row>
    <row r="224" spans="4:18" ht="14.25" customHeight="1" x14ac:dyDescent="0.25">
      <c r="D224" s="49"/>
      <c r="E224" s="49"/>
      <c r="G224" s="49"/>
      <c r="H224" s="49"/>
      <c r="O224" s="13"/>
      <c r="P224" s="13"/>
      <c r="Q224" s="13"/>
      <c r="R224" s="13"/>
    </row>
    <row r="225" spans="4:18" ht="14.25" customHeight="1" x14ac:dyDescent="0.25">
      <c r="D225" s="49"/>
      <c r="E225" s="49"/>
      <c r="G225" s="49"/>
      <c r="H225" s="49"/>
      <c r="O225" s="13"/>
      <c r="P225" s="13"/>
      <c r="Q225" s="13"/>
      <c r="R225" s="13"/>
    </row>
    <row r="226" spans="4:18" ht="14.25" customHeight="1" x14ac:dyDescent="0.25">
      <c r="D226" s="49"/>
      <c r="E226" s="49"/>
      <c r="G226" s="49"/>
      <c r="H226" s="49"/>
      <c r="O226" s="13"/>
      <c r="P226" s="13"/>
      <c r="Q226" s="13"/>
      <c r="R226" s="13"/>
    </row>
    <row r="227" spans="4:18" ht="14.25" customHeight="1" x14ac:dyDescent="0.25">
      <c r="D227" s="49"/>
      <c r="E227" s="49"/>
      <c r="G227" s="49"/>
      <c r="H227" s="49"/>
      <c r="O227" s="13"/>
      <c r="P227" s="13"/>
      <c r="Q227" s="13"/>
      <c r="R227" s="13"/>
    </row>
    <row r="228" spans="4:18" ht="14.25" customHeight="1" x14ac:dyDescent="0.25">
      <c r="D228" s="49"/>
      <c r="E228" s="49"/>
      <c r="G228" s="49"/>
      <c r="H228" s="49"/>
      <c r="O228" s="13"/>
      <c r="P228" s="13"/>
      <c r="Q228" s="13"/>
      <c r="R228" s="13"/>
    </row>
    <row r="229" spans="4:18" ht="14.25" customHeight="1" x14ac:dyDescent="0.25">
      <c r="D229" s="49"/>
      <c r="E229" s="49"/>
      <c r="G229" s="49"/>
      <c r="H229" s="49"/>
      <c r="O229" s="13"/>
      <c r="P229" s="13"/>
      <c r="Q229" s="13"/>
      <c r="R229" s="13"/>
    </row>
    <row r="230" spans="4:18" ht="14.25" customHeight="1" x14ac:dyDescent="0.25">
      <c r="D230" s="49"/>
      <c r="E230" s="49"/>
      <c r="G230" s="49"/>
      <c r="H230" s="49"/>
      <c r="O230" s="13"/>
      <c r="P230" s="13"/>
      <c r="Q230" s="13"/>
      <c r="R230" s="13"/>
    </row>
    <row r="231" spans="4:18" ht="14.25" customHeight="1" x14ac:dyDescent="0.25">
      <c r="D231" s="49"/>
      <c r="E231" s="49"/>
      <c r="G231" s="49"/>
      <c r="H231" s="49"/>
      <c r="O231" s="13"/>
      <c r="P231" s="13"/>
      <c r="Q231" s="13"/>
      <c r="R231" s="13"/>
    </row>
    <row r="232" spans="4:18" ht="14.25" customHeight="1" x14ac:dyDescent="0.25">
      <c r="D232" s="49"/>
      <c r="E232" s="49"/>
      <c r="G232" s="49"/>
      <c r="H232" s="49"/>
      <c r="O232" s="13"/>
      <c r="P232" s="13"/>
      <c r="Q232" s="13"/>
      <c r="R232" s="13"/>
    </row>
    <row r="233" spans="4:18" ht="14.25" customHeight="1" x14ac:dyDescent="0.25">
      <c r="D233" s="49"/>
      <c r="E233" s="49"/>
      <c r="G233" s="49"/>
      <c r="H233" s="49"/>
      <c r="O233" s="13"/>
      <c r="P233" s="13"/>
      <c r="Q233" s="13"/>
      <c r="R233" s="13"/>
    </row>
    <row r="234" spans="4:18" ht="14.25" customHeight="1" x14ac:dyDescent="0.25">
      <c r="D234" s="49"/>
      <c r="E234" s="49"/>
      <c r="G234" s="49"/>
      <c r="H234" s="49"/>
      <c r="O234" s="13"/>
      <c r="P234" s="13"/>
      <c r="Q234" s="13"/>
      <c r="R234" s="13"/>
    </row>
    <row r="235" spans="4:18" ht="14.25" customHeight="1" x14ac:dyDescent="0.25">
      <c r="D235" s="49"/>
      <c r="E235" s="49"/>
      <c r="G235" s="49"/>
      <c r="H235" s="49"/>
      <c r="O235" s="13"/>
      <c r="P235" s="13"/>
      <c r="Q235" s="13"/>
      <c r="R235" s="13"/>
    </row>
    <row r="236" spans="4:18" ht="15.75" customHeight="1" x14ac:dyDescent="0.25">
      <c r="O236" s="13"/>
      <c r="P236" s="13"/>
      <c r="Q236" s="13"/>
      <c r="R236" s="13"/>
    </row>
    <row r="237" spans="4:18" ht="15.75" customHeight="1" x14ac:dyDescent="0.25">
      <c r="O237" s="13"/>
      <c r="P237" s="13"/>
      <c r="Q237" s="13"/>
      <c r="R237" s="13"/>
    </row>
    <row r="238" spans="4:18" ht="15.75" customHeight="1" x14ac:dyDescent="0.25">
      <c r="O238" s="13"/>
      <c r="P238" s="13"/>
      <c r="Q238" s="13"/>
      <c r="R238" s="13"/>
    </row>
    <row r="239" spans="4:18" ht="15.75" customHeight="1" x14ac:dyDescent="0.25">
      <c r="O239" s="13"/>
      <c r="P239" s="13"/>
      <c r="Q239" s="13"/>
      <c r="R239" s="13"/>
    </row>
    <row r="240" spans="4:18" ht="15.75" customHeight="1" x14ac:dyDescent="0.25">
      <c r="O240" s="13"/>
      <c r="P240" s="13"/>
      <c r="Q240" s="13"/>
      <c r="R240" s="13"/>
    </row>
    <row r="241" spans="15:18" ht="15.75" customHeight="1" x14ac:dyDescent="0.25">
      <c r="O241" s="13"/>
      <c r="P241" s="13"/>
      <c r="Q241" s="13"/>
      <c r="R241" s="13"/>
    </row>
    <row r="242" spans="15:18" ht="15.75" customHeight="1" x14ac:dyDescent="0.25">
      <c r="O242" s="13"/>
      <c r="P242" s="13"/>
      <c r="Q242" s="13"/>
      <c r="R242" s="13"/>
    </row>
    <row r="243" spans="15:18" ht="15.75" customHeight="1" x14ac:dyDescent="0.25">
      <c r="O243" s="13"/>
      <c r="P243" s="13"/>
      <c r="Q243" s="13"/>
      <c r="R243" s="13"/>
    </row>
    <row r="244" spans="15:18" ht="15.75" customHeight="1" x14ac:dyDescent="0.25">
      <c r="O244" s="13"/>
      <c r="P244" s="13"/>
      <c r="Q244" s="13"/>
      <c r="R244" s="13"/>
    </row>
    <row r="245" spans="15:18" ht="15.75" customHeight="1" x14ac:dyDescent="0.25">
      <c r="O245" s="13"/>
      <c r="P245" s="13"/>
      <c r="Q245" s="13"/>
      <c r="R245" s="13"/>
    </row>
    <row r="246" spans="15:18" ht="15.75" customHeight="1" x14ac:dyDescent="0.25">
      <c r="O246" s="13"/>
      <c r="P246" s="13"/>
      <c r="Q246" s="13"/>
      <c r="R246" s="13"/>
    </row>
    <row r="247" spans="15:18" ht="15.75" customHeight="1" x14ac:dyDescent="0.25">
      <c r="O247" s="13"/>
      <c r="P247" s="13"/>
      <c r="Q247" s="13"/>
      <c r="R247" s="13"/>
    </row>
    <row r="248" spans="15:18" ht="15.75" customHeight="1" x14ac:dyDescent="0.25">
      <c r="O248" s="13"/>
      <c r="P248" s="13"/>
      <c r="Q248" s="13"/>
      <c r="R248" s="13"/>
    </row>
    <row r="249" spans="15:18" ht="15.75" customHeight="1" x14ac:dyDescent="0.25">
      <c r="O249" s="13"/>
      <c r="P249" s="13"/>
      <c r="Q249" s="13"/>
      <c r="R249" s="13"/>
    </row>
    <row r="250" spans="15:18" ht="15.75" customHeight="1" x14ac:dyDescent="0.25">
      <c r="O250" s="13"/>
      <c r="P250" s="13"/>
      <c r="Q250" s="13"/>
      <c r="R250" s="13"/>
    </row>
    <row r="251" spans="15:18" ht="15.75" customHeight="1" x14ac:dyDescent="0.25">
      <c r="O251" s="13"/>
      <c r="P251" s="13"/>
      <c r="Q251" s="13"/>
      <c r="R251" s="13"/>
    </row>
    <row r="252" spans="15:18" ht="15.75" customHeight="1" x14ac:dyDescent="0.25">
      <c r="O252" s="13"/>
      <c r="P252" s="13"/>
      <c r="Q252" s="13"/>
      <c r="R252" s="13"/>
    </row>
    <row r="253" spans="15:18" ht="15.75" customHeight="1" x14ac:dyDescent="0.25">
      <c r="O253" s="13"/>
      <c r="P253" s="13"/>
      <c r="Q253" s="13"/>
      <c r="R253" s="13"/>
    </row>
    <row r="254" spans="15:18" ht="15.75" customHeight="1" x14ac:dyDescent="0.25">
      <c r="O254" s="13"/>
      <c r="P254" s="13"/>
      <c r="Q254" s="13"/>
      <c r="R254" s="13"/>
    </row>
    <row r="255" spans="15:18" ht="15.75" customHeight="1" x14ac:dyDescent="0.25">
      <c r="O255" s="13"/>
      <c r="P255" s="13"/>
      <c r="Q255" s="13"/>
      <c r="R255" s="13"/>
    </row>
    <row r="256" spans="15:18" ht="15.75" customHeight="1" x14ac:dyDescent="0.25">
      <c r="O256" s="13"/>
      <c r="P256" s="13"/>
      <c r="Q256" s="13"/>
      <c r="R256" s="13"/>
    </row>
    <row r="257" spans="15:18" ht="15.75" customHeight="1" x14ac:dyDescent="0.25">
      <c r="O257" s="13"/>
      <c r="P257" s="13"/>
      <c r="Q257" s="13"/>
      <c r="R257" s="13"/>
    </row>
    <row r="258" spans="15:18" ht="15.75" customHeight="1" x14ac:dyDescent="0.25">
      <c r="O258" s="13"/>
      <c r="P258" s="13"/>
      <c r="Q258" s="13"/>
      <c r="R258" s="13"/>
    </row>
    <row r="259" spans="15:18" ht="15.75" customHeight="1" x14ac:dyDescent="0.25">
      <c r="O259" s="13"/>
      <c r="P259" s="13"/>
      <c r="Q259" s="13"/>
      <c r="R259" s="13"/>
    </row>
    <row r="260" spans="15:18" ht="15.75" customHeight="1" x14ac:dyDescent="0.25">
      <c r="O260" s="13"/>
      <c r="P260" s="13"/>
      <c r="Q260" s="13"/>
      <c r="R260" s="13"/>
    </row>
    <row r="261" spans="15:18" ht="15.75" customHeight="1" x14ac:dyDescent="0.25">
      <c r="O261" s="13"/>
      <c r="P261" s="13"/>
      <c r="Q261" s="13"/>
      <c r="R261" s="13"/>
    </row>
    <row r="262" spans="15:18" ht="15.75" customHeight="1" x14ac:dyDescent="0.25">
      <c r="O262" s="13"/>
      <c r="P262" s="13"/>
      <c r="Q262" s="13"/>
      <c r="R262" s="13"/>
    </row>
    <row r="263" spans="15:18" ht="15.75" customHeight="1" x14ac:dyDescent="0.25">
      <c r="O263" s="13"/>
      <c r="P263" s="13"/>
      <c r="Q263" s="13"/>
      <c r="R263" s="13"/>
    </row>
    <row r="264" spans="15:18" ht="15.75" customHeight="1" x14ac:dyDescent="0.25">
      <c r="O264" s="13"/>
      <c r="P264" s="13"/>
      <c r="Q264" s="13"/>
      <c r="R264" s="13"/>
    </row>
    <row r="265" spans="15:18" ht="15.75" customHeight="1" x14ac:dyDescent="0.25">
      <c r="O265" s="13"/>
      <c r="P265" s="13"/>
      <c r="Q265" s="13"/>
      <c r="R265" s="13"/>
    </row>
    <row r="266" spans="15:18" ht="15.75" customHeight="1" x14ac:dyDescent="0.25">
      <c r="O266" s="13"/>
      <c r="P266" s="13"/>
      <c r="Q266" s="13"/>
      <c r="R266" s="13"/>
    </row>
    <row r="267" spans="15:18" ht="15.75" customHeight="1" x14ac:dyDescent="0.25">
      <c r="O267" s="13"/>
      <c r="P267" s="13"/>
      <c r="Q267" s="13"/>
      <c r="R267" s="13"/>
    </row>
    <row r="268" spans="15:18" ht="15.75" customHeight="1" x14ac:dyDescent="0.25">
      <c r="O268" s="13"/>
      <c r="P268" s="13"/>
      <c r="Q268" s="13"/>
      <c r="R268" s="13"/>
    </row>
    <row r="269" spans="15:18" ht="15.75" customHeight="1" x14ac:dyDescent="0.25">
      <c r="O269" s="13"/>
      <c r="P269" s="13"/>
      <c r="Q269" s="13"/>
      <c r="R269" s="13"/>
    </row>
    <row r="270" spans="15:18" ht="15.75" customHeight="1" x14ac:dyDescent="0.25">
      <c r="O270" s="13"/>
      <c r="P270" s="13"/>
      <c r="Q270" s="13"/>
      <c r="R270" s="13"/>
    </row>
    <row r="271" spans="15:18" ht="15.75" customHeight="1" x14ac:dyDescent="0.25">
      <c r="O271" s="13"/>
      <c r="P271" s="13"/>
      <c r="Q271" s="13"/>
      <c r="R271" s="13"/>
    </row>
    <row r="272" spans="15:18" ht="15.75" customHeight="1" x14ac:dyDescent="0.25">
      <c r="O272" s="13"/>
      <c r="P272" s="13"/>
      <c r="Q272" s="13"/>
      <c r="R272" s="13"/>
    </row>
    <row r="273" spans="15:18" ht="15.75" customHeight="1" x14ac:dyDescent="0.25">
      <c r="O273" s="13"/>
      <c r="P273" s="13"/>
      <c r="Q273" s="13"/>
      <c r="R273" s="13"/>
    </row>
    <row r="274" spans="15:18" ht="15.75" customHeight="1" x14ac:dyDescent="0.25">
      <c r="O274" s="13"/>
      <c r="P274" s="13"/>
      <c r="Q274" s="13"/>
      <c r="R274" s="13"/>
    </row>
    <row r="275" spans="15:18" ht="15.75" customHeight="1" x14ac:dyDescent="0.25">
      <c r="O275" s="13"/>
      <c r="P275" s="13"/>
      <c r="Q275" s="13"/>
      <c r="R275" s="13"/>
    </row>
    <row r="276" spans="15:18" ht="15.75" customHeight="1" x14ac:dyDescent="0.25">
      <c r="O276" s="13"/>
      <c r="P276" s="13"/>
      <c r="Q276" s="13"/>
      <c r="R276" s="13"/>
    </row>
    <row r="277" spans="15:18" ht="15.75" customHeight="1" x14ac:dyDescent="0.25">
      <c r="O277" s="13"/>
      <c r="P277" s="13"/>
      <c r="Q277" s="13"/>
      <c r="R277" s="13"/>
    </row>
    <row r="278" spans="15:18" ht="15.75" customHeight="1" x14ac:dyDescent="0.25">
      <c r="O278" s="13"/>
      <c r="P278" s="13"/>
      <c r="Q278" s="13"/>
      <c r="R278" s="13"/>
    </row>
    <row r="279" spans="15:18" ht="15.75" customHeight="1" x14ac:dyDescent="0.25">
      <c r="O279" s="13"/>
      <c r="P279" s="13"/>
      <c r="Q279" s="13"/>
      <c r="R279" s="13"/>
    </row>
    <row r="280" spans="15:18" ht="15.75" customHeight="1" x14ac:dyDescent="0.25">
      <c r="O280" s="13"/>
      <c r="P280" s="13"/>
      <c r="Q280" s="13"/>
      <c r="R280" s="13"/>
    </row>
    <row r="281" spans="15:18" ht="15.75" customHeight="1" x14ac:dyDescent="0.25">
      <c r="O281" s="13"/>
      <c r="P281" s="13"/>
      <c r="Q281" s="13"/>
      <c r="R281" s="13"/>
    </row>
    <row r="282" spans="15:18" ht="15.75" customHeight="1" x14ac:dyDescent="0.25">
      <c r="O282" s="13"/>
      <c r="P282" s="13"/>
      <c r="Q282" s="13"/>
      <c r="R282" s="13"/>
    </row>
    <row r="283" spans="15:18" ht="15.75" customHeight="1" x14ac:dyDescent="0.25">
      <c r="O283" s="13"/>
      <c r="P283" s="13"/>
      <c r="Q283" s="13"/>
      <c r="R283" s="13"/>
    </row>
    <row r="284" spans="15:18" ht="15.75" customHeight="1" x14ac:dyDescent="0.25">
      <c r="O284" s="13"/>
      <c r="P284" s="13"/>
      <c r="Q284" s="13"/>
      <c r="R284" s="13"/>
    </row>
    <row r="285" spans="15:18" ht="15.75" customHeight="1" x14ac:dyDescent="0.25">
      <c r="O285" s="13"/>
      <c r="P285" s="13"/>
      <c r="Q285" s="13"/>
      <c r="R285" s="13"/>
    </row>
    <row r="286" spans="15:18" ht="15.75" customHeight="1" x14ac:dyDescent="0.25">
      <c r="O286" s="13"/>
      <c r="P286" s="13"/>
      <c r="Q286" s="13"/>
      <c r="R286" s="13"/>
    </row>
    <row r="287" spans="15:18" ht="15.75" customHeight="1" x14ac:dyDescent="0.25">
      <c r="O287" s="13"/>
      <c r="P287" s="13"/>
      <c r="Q287" s="13"/>
      <c r="R287" s="13"/>
    </row>
    <row r="288" spans="15:18" ht="15.75" customHeight="1" x14ac:dyDescent="0.25">
      <c r="O288" s="13"/>
      <c r="P288" s="13"/>
      <c r="Q288" s="13"/>
      <c r="R288" s="13"/>
    </row>
    <row r="289" spans="15:18" ht="15.75" customHeight="1" x14ac:dyDescent="0.25">
      <c r="O289" s="13"/>
      <c r="P289" s="13"/>
      <c r="Q289" s="13"/>
      <c r="R289" s="13"/>
    </row>
    <row r="290" spans="15:18" ht="15.75" customHeight="1" x14ac:dyDescent="0.25">
      <c r="O290" s="13"/>
      <c r="P290" s="13"/>
      <c r="Q290" s="13"/>
      <c r="R290" s="13"/>
    </row>
    <row r="291" spans="15:18" ht="15.75" customHeight="1" x14ac:dyDescent="0.25">
      <c r="O291" s="13"/>
      <c r="P291" s="13"/>
      <c r="Q291" s="13"/>
      <c r="R291" s="13"/>
    </row>
    <row r="292" spans="15:18" ht="15.75" customHeight="1" x14ac:dyDescent="0.25">
      <c r="O292" s="13"/>
      <c r="P292" s="13"/>
      <c r="Q292" s="13"/>
      <c r="R292" s="13"/>
    </row>
    <row r="293" spans="15:18" ht="15.75" customHeight="1" x14ac:dyDescent="0.25">
      <c r="O293" s="13"/>
      <c r="P293" s="13"/>
      <c r="Q293" s="13"/>
      <c r="R293" s="13"/>
    </row>
    <row r="294" spans="15:18" ht="15.75" customHeight="1" x14ac:dyDescent="0.25">
      <c r="O294" s="13"/>
      <c r="P294" s="13"/>
      <c r="Q294" s="13"/>
      <c r="R294" s="13"/>
    </row>
    <row r="295" spans="15:18" ht="15.75" customHeight="1" x14ac:dyDescent="0.25">
      <c r="O295" s="13"/>
      <c r="P295" s="13"/>
      <c r="Q295" s="13"/>
      <c r="R295" s="13"/>
    </row>
    <row r="296" spans="15:18" ht="15.75" customHeight="1" x14ac:dyDescent="0.25">
      <c r="O296" s="13"/>
      <c r="P296" s="13"/>
      <c r="Q296" s="13"/>
      <c r="R296" s="13"/>
    </row>
    <row r="297" spans="15:18" ht="15.75" customHeight="1" x14ac:dyDescent="0.25">
      <c r="O297" s="13"/>
      <c r="P297" s="13"/>
      <c r="Q297" s="13"/>
      <c r="R297" s="13"/>
    </row>
    <row r="298" spans="15:18" ht="15.75" customHeight="1" x14ac:dyDescent="0.25">
      <c r="O298" s="13"/>
      <c r="P298" s="13"/>
      <c r="Q298" s="13"/>
      <c r="R298" s="13"/>
    </row>
    <row r="299" spans="15:18" ht="15.75" customHeight="1" x14ac:dyDescent="0.25">
      <c r="O299" s="13"/>
      <c r="P299" s="13"/>
      <c r="Q299" s="13"/>
      <c r="R299" s="13"/>
    </row>
    <row r="300" spans="15:18" ht="15.75" customHeight="1" x14ac:dyDescent="0.25">
      <c r="O300" s="13"/>
      <c r="P300" s="13"/>
      <c r="Q300" s="13"/>
      <c r="R300" s="13"/>
    </row>
    <row r="301" spans="15:18" ht="15.75" customHeight="1" x14ac:dyDescent="0.25">
      <c r="O301" s="13"/>
      <c r="P301" s="13"/>
      <c r="Q301" s="13"/>
      <c r="R301" s="13"/>
    </row>
    <row r="302" spans="15:18" ht="15.75" customHeight="1" x14ac:dyDescent="0.25">
      <c r="O302" s="13"/>
      <c r="P302" s="13"/>
      <c r="Q302" s="13"/>
      <c r="R302" s="13"/>
    </row>
    <row r="303" spans="15:18" ht="15.75" customHeight="1" x14ac:dyDescent="0.25">
      <c r="O303" s="13"/>
      <c r="P303" s="13"/>
      <c r="Q303" s="13"/>
      <c r="R303" s="13"/>
    </row>
    <row r="304" spans="15:18" ht="15.75" customHeight="1" x14ac:dyDescent="0.25">
      <c r="O304" s="13"/>
      <c r="P304" s="13"/>
      <c r="Q304" s="13"/>
      <c r="R304" s="13"/>
    </row>
    <row r="305" spans="15:18" ht="15.75" customHeight="1" x14ac:dyDescent="0.25">
      <c r="O305" s="13"/>
      <c r="P305" s="13"/>
      <c r="Q305" s="13"/>
      <c r="R305" s="13"/>
    </row>
    <row r="306" spans="15:18" ht="15.75" customHeight="1" x14ac:dyDescent="0.25">
      <c r="O306" s="13"/>
      <c r="P306" s="13"/>
      <c r="Q306" s="13"/>
      <c r="R306" s="13"/>
    </row>
    <row r="307" spans="15:18" ht="15.75" customHeight="1" x14ac:dyDescent="0.25">
      <c r="O307" s="13"/>
      <c r="P307" s="13"/>
      <c r="Q307" s="13"/>
      <c r="R307" s="13"/>
    </row>
    <row r="308" spans="15:18" ht="15.75" customHeight="1" x14ac:dyDescent="0.25">
      <c r="O308" s="13"/>
      <c r="P308" s="13"/>
      <c r="Q308" s="13"/>
      <c r="R308" s="13"/>
    </row>
    <row r="309" spans="15:18" ht="15.75" customHeight="1" x14ac:dyDescent="0.25">
      <c r="O309" s="13"/>
      <c r="P309" s="13"/>
      <c r="Q309" s="13"/>
      <c r="R309" s="13"/>
    </row>
    <row r="310" spans="15:18" ht="15.75" customHeight="1" x14ac:dyDescent="0.25">
      <c r="O310" s="13"/>
      <c r="P310" s="13"/>
      <c r="Q310" s="13"/>
      <c r="R310" s="13"/>
    </row>
    <row r="311" spans="15:18" ht="15.75" customHeight="1" x14ac:dyDescent="0.25">
      <c r="O311" s="13"/>
      <c r="P311" s="13"/>
      <c r="Q311" s="13"/>
      <c r="R311" s="13"/>
    </row>
    <row r="312" spans="15:18" ht="15.75" customHeight="1" x14ac:dyDescent="0.25">
      <c r="O312" s="13"/>
      <c r="P312" s="13"/>
      <c r="Q312" s="13"/>
      <c r="R312" s="13"/>
    </row>
    <row r="313" spans="15:18" ht="15.75" customHeight="1" x14ac:dyDescent="0.25">
      <c r="O313" s="13"/>
      <c r="P313" s="13"/>
      <c r="Q313" s="13"/>
      <c r="R313" s="13"/>
    </row>
    <row r="314" spans="15:18" ht="15.75" customHeight="1" x14ac:dyDescent="0.25">
      <c r="O314" s="13"/>
      <c r="P314" s="13"/>
      <c r="Q314" s="13"/>
      <c r="R314" s="13"/>
    </row>
    <row r="315" spans="15:18" ht="15.75" customHeight="1" x14ac:dyDescent="0.25">
      <c r="O315" s="13"/>
      <c r="P315" s="13"/>
      <c r="Q315" s="13"/>
      <c r="R315" s="13"/>
    </row>
    <row r="316" spans="15:18" ht="15.75" customHeight="1" x14ac:dyDescent="0.25">
      <c r="O316" s="13"/>
      <c r="P316" s="13"/>
      <c r="Q316" s="13"/>
      <c r="R316" s="13"/>
    </row>
    <row r="317" spans="15:18" ht="15.75" customHeight="1" x14ac:dyDescent="0.25">
      <c r="O317" s="13"/>
      <c r="P317" s="13"/>
      <c r="Q317" s="13"/>
      <c r="R317" s="13"/>
    </row>
    <row r="318" spans="15:18" ht="15.75" customHeight="1" x14ac:dyDescent="0.25">
      <c r="O318" s="13"/>
      <c r="P318" s="13"/>
      <c r="Q318" s="13"/>
      <c r="R318" s="13"/>
    </row>
    <row r="319" spans="15:18" ht="15.75" customHeight="1" x14ac:dyDescent="0.25">
      <c r="O319" s="13"/>
      <c r="P319" s="13"/>
      <c r="Q319" s="13"/>
      <c r="R319" s="13"/>
    </row>
    <row r="320" spans="15:18" ht="15.75" customHeight="1" x14ac:dyDescent="0.25">
      <c r="O320" s="13"/>
      <c r="P320" s="13"/>
      <c r="Q320" s="13"/>
      <c r="R320" s="13"/>
    </row>
    <row r="321" spans="15:18" ht="15.75" customHeight="1" x14ac:dyDescent="0.25">
      <c r="O321" s="13"/>
      <c r="P321" s="13"/>
      <c r="Q321" s="13"/>
      <c r="R321" s="13"/>
    </row>
    <row r="322" spans="15:18" ht="15.75" customHeight="1" x14ac:dyDescent="0.25">
      <c r="O322" s="13"/>
      <c r="P322" s="13"/>
      <c r="Q322" s="13"/>
      <c r="R322" s="13"/>
    </row>
    <row r="323" spans="15:18" ht="15.75" customHeight="1" x14ac:dyDescent="0.25">
      <c r="O323" s="13"/>
      <c r="P323" s="13"/>
      <c r="Q323" s="13"/>
      <c r="R323" s="13"/>
    </row>
    <row r="324" spans="15:18" ht="15.75" customHeight="1" x14ac:dyDescent="0.25">
      <c r="O324" s="13"/>
      <c r="P324" s="13"/>
      <c r="Q324" s="13"/>
      <c r="R324" s="13"/>
    </row>
    <row r="325" spans="15:18" ht="15.75" customHeight="1" x14ac:dyDescent="0.25">
      <c r="O325" s="13"/>
      <c r="P325" s="13"/>
      <c r="Q325" s="13"/>
      <c r="R325" s="13"/>
    </row>
    <row r="326" spans="15:18" ht="15.75" customHeight="1" x14ac:dyDescent="0.25">
      <c r="O326" s="13"/>
      <c r="P326" s="13"/>
      <c r="Q326" s="13"/>
      <c r="R326" s="13"/>
    </row>
    <row r="327" spans="15:18" ht="15.75" customHeight="1" x14ac:dyDescent="0.25">
      <c r="O327" s="13"/>
      <c r="P327" s="13"/>
      <c r="Q327" s="13"/>
      <c r="R327" s="13"/>
    </row>
    <row r="328" spans="15:18" ht="15.75" customHeight="1" x14ac:dyDescent="0.25">
      <c r="O328" s="13"/>
      <c r="P328" s="13"/>
      <c r="Q328" s="13"/>
      <c r="R328" s="13"/>
    </row>
    <row r="329" spans="15:18" ht="15.75" customHeight="1" x14ac:dyDescent="0.25">
      <c r="O329" s="13"/>
      <c r="P329" s="13"/>
      <c r="Q329" s="13"/>
      <c r="R329" s="13"/>
    </row>
    <row r="330" spans="15:18" ht="15.75" customHeight="1" x14ac:dyDescent="0.25">
      <c r="O330" s="13"/>
      <c r="P330" s="13"/>
      <c r="Q330" s="13"/>
      <c r="R330" s="13"/>
    </row>
    <row r="331" spans="15:18" ht="15.75" customHeight="1" x14ac:dyDescent="0.25">
      <c r="O331" s="13"/>
      <c r="P331" s="13"/>
      <c r="Q331" s="13"/>
      <c r="R331" s="13"/>
    </row>
    <row r="332" spans="15:18" ht="15.75" customHeight="1" x14ac:dyDescent="0.25">
      <c r="O332" s="13"/>
      <c r="P332" s="13"/>
      <c r="Q332" s="13"/>
      <c r="R332" s="13"/>
    </row>
    <row r="333" spans="15:18" ht="15.75" customHeight="1" x14ac:dyDescent="0.25">
      <c r="O333" s="13"/>
      <c r="P333" s="13"/>
      <c r="Q333" s="13"/>
      <c r="R333" s="13"/>
    </row>
    <row r="334" spans="15:18" ht="15.75" customHeight="1" x14ac:dyDescent="0.25">
      <c r="O334" s="13"/>
      <c r="P334" s="13"/>
      <c r="Q334" s="13"/>
      <c r="R334" s="13"/>
    </row>
    <row r="335" spans="15:18" ht="15.75" customHeight="1" x14ac:dyDescent="0.25">
      <c r="O335" s="13"/>
      <c r="P335" s="13"/>
      <c r="Q335" s="13"/>
      <c r="R335" s="13"/>
    </row>
    <row r="336" spans="15:18" ht="15.75" customHeight="1" x14ac:dyDescent="0.25">
      <c r="O336" s="13"/>
      <c r="P336" s="13"/>
      <c r="Q336" s="13"/>
      <c r="R336" s="13"/>
    </row>
    <row r="337" spans="15:18" ht="15.75" customHeight="1" x14ac:dyDescent="0.25">
      <c r="O337" s="13"/>
      <c r="P337" s="13"/>
      <c r="Q337" s="13"/>
      <c r="R337" s="13"/>
    </row>
    <row r="338" spans="15:18" ht="15.75" customHeight="1" x14ac:dyDescent="0.25">
      <c r="O338" s="13"/>
      <c r="P338" s="13"/>
      <c r="Q338" s="13"/>
      <c r="R338" s="13"/>
    </row>
    <row r="339" spans="15:18" ht="15.75" customHeight="1" x14ac:dyDescent="0.25">
      <c r="O339" s="13"/>
      <c r="P339" s="13"/>
      <c r="Q339" s="13"/>
      <c r="R339" s="13"/>
    </row>
    <row r="340" spans="15:18" ht="15.75" customHeight="1" x14ac:dyDescent="0.25">
      <c r="O340" s="13"/>
      <c r="P340" s="13"/>
      <c r="Q340" s="13"/>
      <c r="R340" s="13"/>
    </row>
    <row r="341" spans="15:18" ht="15.75" customHeight="1" x14ac:dyDescent="0.25">
      <c r="O341" s="13"/>
      <c r="P341" s="13"/>
      <c r="Q341" s="13"/>
      <c r="R341" s="13"/>
    </row>
    <row r="342" spans="15:18" ht="15.75" customHeight="1" x14ac:dyDescent="0.25">
      <c r="O342" s="13"/>
      <c r="P342" s="13"/>
      <c r="Q342" s="13"/>
      <c r="R342" s="13"/>
    </row>
    <row r="343" spans="15:18" ht="15.75" customHeight="1" x14ac:dyDescent="0.25">
      <c r="O343" s="13"/>
      <c r="P343" s="13"/>
      <c r="Q343" s="13"/>
      <c r="R343" s="13"/>
    </row>
    <row r="344" spans="15:18" ht="15.75" customHeight="1" x14ac:dyDescent="0.25">
      <c r="O344" s="13"/>
      <c r="P344" s="13"/>
      <c r="Q344" s="13"/>
      <c r="R344" s="13"/>
    </row>
    <row r="345" spans="15:18" ht="15.75" customHeight="1" x14ac:dyDescent="0.25">
      <c r="O345" s="13"/>
      <c r="P345" s="13"/>
      <c r="Q345" s="13"/>
      <c r="R345" s="13"/>
    </row>
    <row r="346" spans="15:18" ht="15.75" customHeight="1" x14ac:dyDescent="0.25">
      <c r="O346" s="13"/>
      <c r="P346" s="13"/>
      <c r="Q346" s="13"/>
      <c r="R346" s="13"/>
    </row>
    <row r="347" spans="15:18" ht="15.75" customHeight="1" x14ac:dyDescent="0.25">
      <c r="O347" s="13"/>
      <c r="P347" s="13"/>
      <c r="Q347" s="13"/>
      <c r="R347" s="13"/>
    </row>
    <row r="348" spans="15:18" ht="15.75" customHeight="1" x14ac:dyDescent="0.25">
      <c r="O348" s="13"/>
      <c r="P348" s="13"/>
      <c r="Q348" s="13"/>
      <c r="R348" s="13"/>
    </row>
    <row r="349" spans="15:18" ht="15.75" customHeight="1" x14ac:dyDescent="0.25">
      <c r="O349" s="13"/>
      <c r="P349" s="13"/>
      <c r="Q349" s="13"/>
      <c r="R349" s="13"/>
    </row>
    <row r="350" spans="15:18" ht="15.75" customHeight="1" x14ac:dyDescent="0.25">
      <c r="O350" s="13"/>
      <c r="P350" s="13"/>
      <c r="Q350" s="13"/>
      <c r="R350" s="13"/>
    </row>
    <row r="351" spans="15:18" ht="15.75" customHeight="1" x14ac:dyDescent="0.25">
      <c r="O351" s="13"/>
      <c r="P351" s="13"/>
      <c r="Q351" s="13"/>
      <c r="R351" s="13"/>
    </row>
    <row r="352" spans="15:18" ht="15.75" customHeight="1" x14ac:dyDescent="0.25">
      <c r="O352" s="13"/>
      <c r="P352" s="13"/>
      <c r="Q352" s="13"/>
      <c r="R352" s="13"/>
    </row>
    <row r="353" spans="15:18" ht="15.75" customHeight="1" x14ac:dyDescent="0.25">
      <c r="O353" s="13"/>
      <c r="P353" s="13"/>
      <c r="Q353" s="13"/>
      <c r="R353" s="13"/>
    </row>
    <row r="354" spans="15:18" ht="15.75" customHeight="1" x14ac:dyDescent="0.25">
      <c r="O354" s="13"/>
      <c r="P354" s="13"/>
      <c r="Q354" s="13"/>
      <c r="R354" s="13"/>
    </row>
    <row r="355" spans="15:18" ht="15.75" customHeight="1" x14ac:dyDescent="0.25">
      <c r="O355" s="13"/>
      <c r="P355" s="13"/>
      <c r="Q355" s="13"/>
      <c r="R355" s="13"/>
    </row>
    <row r="356" spans="15:18" ht="15.75" customHeight="1" x14ac:dyDescent="0.25">
      <c r="O356" s="13"/>
      <c r="P356" s="13"/>
      <c r="Q356" s="13"/>
      <c r="R356" s="13"/>
    </row>
    <row r="357" spans="15:18" ht="15.75" customHeight="1" x14ac:dyDescent="0.25">
      <c r="O357" s="13"/>
      <c r="P357" s="13"/>
      <c r="Q357" s="13"/>
      <c r="R357" s="13"/>
    </row>
    <row r="358" spans="15:18" ht="15.75" customHeight="1" x14ac:dyDescent="0.25">
      <c r="O358" s="13"/>
      <c r="P358" s="13"/>
      <c r="Q358" s="13"/>
      <c r="R358" s="13"/>
    </row>
    <row r="359" spans="15:18" ht="15.75" customHeight="1" x14ac:dyDescent="0.25">
      <c r="O359" s="13"/>
      <c r="P359" s="13"/>
      <c r="Q359" s="13"/>
      <c r="R359" s="13"/>
    </row>
    <row r="360" spans="15:18" ht="15.75" customHeight="1" x14ac:dyDescent="0.25">
      <c r="O360" s="13"/>
      <c r="P360" s="13"/>
      <c r="Q360" s="13"/>
      <c r="R360" s="13"/>
    </row>
    <row r="361" spans="15:18" ht="15.75" customHeight="1" x14ac:dyDescent="0.25">
      <c r="O361" s="13"/>
      <c r="P361" s="13"/>
      <c r="Q361" s="13"/>
      <c r="R361" s="13"/>
    </row>
    <row r="362" spans="15:18" ht="15.75" customHeight="1" x14ac:dyDescent="0.25">
      <c r="O362" s="13"/>
      <c r="P362" s="13"/>
      <c r="Q362" s="13"/>
      <c r="R362" s="13"/>
    </row>
    <row r="363" spans="15:18" ht="15.75" customHeight="1" x14ac:dyDescent="0.25">
      <c r="O363" s="13"/>
      <c r="P363" s="13"/>
      <c r="Q363" s="13"/>
      <c r="R363" s="13"/>
    </row>
    <row r="364" spans="15:18" ht="15.75" customHeight="1" x14ac:dyDescent="0.25">
      <c r="O364" s="13"/>
      <c r="P364" s="13"/>
      <c r="Q364" s="13"/>
      <c r="R364" s="13"/>
    </row>
    <row r="365" spans="15:18" ht="15.75" customHeight="1" x14ac:dyDescent="0.25">
      <c r="O365" s="13"/>
      <c r="P365" s="13"/>
      <c r="Q365" s="13"/>
      <c r="R365" s="13"/>
    </row>
    <row r="366" spans="15:18" ht="15.75" customHeight="1" x14ac:dyDescent="0.25">
      <c r="O366" s="13"/>
      <c r="P366" s="13"/>
      <c r="Q366" s="13"/>
      <c r="R366" s="13"/>
    </row>
    <row r="367" spans="15:18" ht="15.75" customHeight="1" x14ac:dyDescent="0.25">
      <c r="O367" s="13"/>
      <c r="P367" s="13"/>
      <c r="Q367" s="13"/>
      <c r="R367" s="13"/>
    </row>
    <row r="368" spans="15:18" ht="15.75" customHeight="1" x14ac:dyDescent="0.25">
      <c r="O368" s="13"/>
      <c r="P368" s="13"/>
      <c r="Q368" s="13"/>
      <c r="R368" s="13"/>
    </row>
    <row r="369" spans="15:18" ht="15.75" customHeight="1" x14ac:dyDescent="0.25">
      <c r="O369" s="13"/>
      <c r="P369" s="13"/>
      <c r="Q369" s="13"/>
      <c r="R369" s="13"/>
    </row>
    <row r="370" spans="15:18" ht="15.75" customHeight="1" x14ac:dyDescent="0.25">
      <c r="O370" s="13"/>
      <c r="P370" s="13"/>
      <c r="Q370" s="13"/>
      <c r="R370" s="13"/>
    </row>
    <row r="371" spans="15:18" ht="15.75" customHeight="1" x14ac:dyDescent="0.25">
      <c r="O371" s="13"/>
      <c r="P371" s="13"/>
      <c r="Q371" s="13"/>
      <c r="R371" s="13"/>
    </row>
    <row r="372" spans="15:18" ht="15.75" customHeight="1" x14ac:dyDescent="0.25">
      <c r="O372" s="13"/>
      <c r="P372" s="13"/>
      <c r="Q372" s="13"/>
      <c r="R372" s="13"/>
    </row>
    <row r="373" spans="15:18" ht="15.75" customHeight="1" x14ac:dyDescent="0.25">
      <c r="O373" s="13"/>
      <c r="P373" s="13"/>
      <c r="Q373" s="13"/>
      <c r="R373" s="13"/>
    </row>
    <row r="374" spans="15:18" ht="15.75" customHeight="1" x14ac:dyDescent="0.25">
      <c r="O374" s="13"/>
      <c r="P374" s="13"/>
      <c r="Q374" s="13"/>
      <c r="R374" s="13"/>
    </row>
    <row r="375" spans="15:18" ht="15.75" customHeight="1" x14ac:dyDescent="0.25">
      <c r="O375" s="13"/>
      <c r="P375" s="13"/>
      <c r="Q375" s="13"/>
      <c r="R375" s="13"/>
    </row>
    <row r="376" spans="15:18" ht="15.75" customHeight="1" x14ac:dyDescent="0.25">
      <c r="O376" s="13"/>
      <c r="P376" s="13"/>
      <c r="Q376" s="13"/>
      <c r="R376" s="13"/>
    </row>
    <row r="377" spans="15:18" ht="15.75" customHeight="1" x14ac:dyDescent="0.25">
      <c r="O377" s="13"/>
      <c r="P377" s="13"/>
      <c r="Q377" s="13"/>
      <c r="R377" s="13"/>
    </row>
    <row r="378" spans="15:18" ht="15.75" customHeight="1" x14ac:dyDescent="0.25">
      <c r="O378" s="13"/>
      <c r="P378" s="13"/>
      <c r="Q378" s="13"/>
      <c r="R378" s="13"/>
    </row>
    <row r="379" spans="15:18" ht="15.75" customHeight="1" x14ac:dyDescent="0.25">
      <c r="O379" s="13"/>
      <c r="P379" s="13"/>
      <c r="Q379" s="13"/>
      <c r="R379" s="13"/>
    </row>
    <row r="380" spans="15:18" ht="15.75" customHeight="1" x14ac:dyDescent="0.25">
      <c r="O380" s="13"/>
      <c r="P380" s="13"/>
      <c r="Q380" s="13"/>
      <c r="R380" s="13"/>
    </row>
    <row r="381" spans="15:18" ht="15.75" customHeight="1" x14ac:dyDescent="0.25">
      <c r="O381" s="13"/>
      <c r="P381" s="13"/>
      <c r="Q381" s="13"/>
      <c r="R381" s="13"/>
    </row>
    <row r="382" spans="15:18" ht="15.75" customHeight="1" x14ac:dyDescent="0.25">
      <c r="O382" s="13"/>
      <c r="P382" s="13"/>
      <c r="Q382" s="13"/>
      <c r="R382" s="13"/>
    </row>
    <row r="383" spans="15:18" ht="15.75" customHeight="1" x14ac:dyDescent="0.25">
      <c r="O383" s="13"/>
      <c r="P383" s="13"/>
      <c r="Q383" s="13"/>
      <c r="R383" s="13"/>
    </row>
    <row r="384" spans="15:18" ht="15.75" customHeight="1" x14ac:dyDescent="0.25">
      <c r="O384" s="13"/>
      <c r="P384" s="13"/>
      <c r="Q384" s="13"/>
      <c r="R384" s="13"/>
    </row>
    <row r="385" spans="15:18" ht="15.75" customHeight="1" x14ac:dyDescent="0.25">
      <c r="O385" s="13"/>
      <c r="P385" s="13"/>
      <c r="Q385" s="13"/>
      <c r="R385" s="13"/>
    </row>
    <row r="386" spans="15:18" ht="15.75" customHeight="1" x14ac:dyDescent="0.25">
      <c r="O386" s="13"/>
      <c r="P386" s="13"/>
      <c r="Q386" s="13"/>
      <c r="R386" s="13"/>
    </row>
    <row r="387" spans="15:18" ht="15.75" customHeight="1" x14ac:dyDescent="0.25">
      <c r="O387" s="13"/>
      <c r="P387" s="13"/>
      <c r="Q387" s="13"/>
      <c r="R387" s="13"/>
    </row>
    <row r="388" spans="15:18" ht="15.75" customHeight="1" x14ac:dyDescent="0.25">
      <c r="O388" s="13"/>
      <c r="P388" s="13"/>
      <c r="Q388" s="13"/>
      <c r="R388" s="13"/>
    </row>
    <row r="389" spans="15:18" ht="15.75" customHeight="1" x14ac:dyDescent="0.25">
      <c r="O389" s="13"/>
      <c r="P389" s="13"/>
      <c r="Q389" s="13"/>
      <c r="R389" s="13"/>
    </row>
    <row r="390" spans="15:18" ht="15.75" customHeight="1" x14ac:dyDescent="0.25">
      <c r="O390" s="13"/>
      <c r="P390" s="13"/>
      <c r="Q390" s="13"/>
      <c r="R390" s="13"/>
    </row>
    <row r="391" spans="15:18" ht="15.75" customHeight="1" x14ac:dyDescent="0.25">
      <c r="O391" s="13"/>
      <c r="P391" s="13"/>
      <c r="Q391" s="13"/>
      <c r="R391" s="13"/>
    </row>
    <row r="392" spans="15:18" ht="15.75" customHeight="1" x14ac:dyDescent="0.25">
      <c r="O392" s="13"/>
      <c r="P392" s="13"/>
      <c r="Q392" s="13"/>
      <c r="R392" s="13"/>
    </row>
    <row r="393" spans="15:18" ht="15.75" customHeight="1" x14ac:dyDescent="0.25">
      <c r="O393" s="13"/>
      <c r="P393" s="13"/>
      <c r="Q393" s="13"/>
      <c r="R393" s="13"/>
    </row>
    <row r="394" spans="15:18" ht="15.75" customHeight="1" x14ac:dyDescent="0.25">
      <c r="O394" s="13"/>
      <c r="P394" s="13"/>
      <c r="Q394" s="13"/>
      <c r="R394" s="13"/>
    </row>
    <row r="395" spans="15:18" ht="15.75" customHeight="1" x14ac:dyDescent="0.25">
      <c r="O395" s="13"/>
      <c r="P395" s="13"/>
      <c r="Q395" s="13"/>
      <c r="R395" s="13"/>
    </row>
    <row r="396" spans="15:18" ht="15.75" customHeight="1" x14ac:dyDescent="0.25">
      <c r="O396" s="13"/>
      <c r="P396" s="13"/>
      <c r="Q396" s="13"/>
      <c r="R396" s="13"/>
    </row>
    <row r="397" spans="15:18" ht="15.75" customHeight="1" x14ac:dyDescent="0.25">
      <c r="O397" s="13"/>
      <c r="P397" s="13"/>
      <c r="Q397" s="13"/>
      <c r="R397" s="13"/>
    </row>
    <row r="398" spans="15:18" ht="15.75" customHeight="1" x14ac:dyDescent="0.25">
      <c r="O398" s="13"/>
      <c r="P398" s="13"/>
      <c r="Q398" s="13"/>
      <c r="R398" s="13"/>
    </row>
    <row r="399" spans="15:18" ht="15.75" customHeight="1" x14ac:dyDescent="0.25">
      <c r="O399" s="13"/>
      <c r="P399" s="13"/>
      <c r="Q399" s="13"/>
      <c r="R399" s="13"/>
    </row>
    <row r="400" spans="15:18" ht="15.75" customHeight="1" x14ac:dyDescent="0.25">
      <c r="O400" s="13"/>
      <c r="P400" s="13"/>
      <c r="Q400" s="13"/>
      <c r="R400" s="13"/>
    </row>
    <row r="401" spans="15:18" ht="15.75" customHeight="1" x14ac:dyDescent="0.25">
      <c r="O401" s="13"/>
      <c r="P401" s="13"/>
      <c r="Q401" s="13"/>
      <c r="R401" s="13"/>
    </row>
    <row r="402" spans="15:18" ht="15.75" customHeight="1" x14ac:dyDescent="0.25">
      <c r="O402" s="13"/>
      <c r="P402" s="13"/>
      <c r="Q402" s="13"/>
      <c r="R402" s="13"/>
    </row>
    <row r="403" spans="15:18" ht="15.75" customHeight="1" x14ac:dyDescent="0.25">
      <c r="O403" s="13"/>
      <c r="P403" s="13"/>
      <c r="Q403" s="13"/>
      <c r="R403" s="13"/>
    </row>
    <row r="404" spans="15:18" ht="15.75" customHeight="1" x14ac:dyDescent="0.25">
      <c r="O404" s="13"/>
      <c r="P404" s="13"/>
      <c r="Q404" s="13"/>
      <c r="R404" s="13"/>
    </row>
    <row r="405" spans="15:18" ht="15.75" customHeight="1" x14ac:dyDescent="0.25">
      <c r="O405" s="13"/>
      <c r="P405" s="13"/>
      <c r="Q405" s="13"/>
      <c r="R405" s="13"/>
    </row>
    <row r="406" spans="15:18" ht="15.75" customHeight="1" x14ac:dyDescent="0.25">
      <c r="O406" s="13"/>
      <c r="P406" s="13"/>
      <c r="Q406" s="13"/>
      <c r="R406" s="13"/>
    </row>
    <row r="407" spans="15:18" ht="15.75" customHeight="1" x14ac:dyDescent="0.25">
      <c r="O407" s="13"/>
      <c r="P407" s="13"/>
      <c r="Q407" s="13"/>
      <c r="R407" s="13"/>
    </row>
    <row r="408" spans="15:18" ht="15.75" customHeight="1" x14ac:dyDescent="0.25">
      <c r="O408" s="13"/>
      <c r="P408" s="13"/>
      <c r="Q408" s="13"/>
      <c r="R408" s="13"/>
    </row>
    <row r="409" spans="15:18" ht="15.75" customHeight="1" x14ac:dyDescent="0.25">
      <c r="O409" s="13"/>
      <c r="P409" s="13"/>
      <c r="Q409" s="13"/>
      <c r="R409" s="13"/>
    </row>
    <row r="410" spans="15:18" ht="15.75" customHeight="1" x14ac:dyDescent="0.25">
      <c r="O410" s="13"/>
      <c r="P410" s="13"/>
      <c r="Q410" s="13"/>
      <c r="R410" s="13"/>
    </row>
    <row r="411" spans="15:18" ht="15.75" customHeight="1" x14ac:dyDescent="0.25">
      <c r="O411" s="13"/>
      <c r="P411" s="13"/>
      <c r="Q411" s="13"/>
      <c r="R411" s="13"/>
    </row>
    <row r="412" spans="15:18" ht="15.75" customHeight="1" x14ac:dyDescent="0.25">
      <c r="O412" s="13"/>
      <c r="P412" s="13"/>
      <c r="Q412" s="13"/>
      <c r="R412" s="13"/>
    </row>
    <row r="413" spans="15:18" ht="15.75" customHeight="1" x14ac:dyDescent="0.25">
      <c r="O413" s="13"/>
      <c r="P413" s="13"/>
      <c r="Q413" s="13"/>
      <c r="R413" s="13"/>
    </row>
    <row r="414" spans="15:18" ht="15.75" customHeight="1" x14ac:dyDescent="0.25">
      <c r="O414" s="13"/>
      <c r="P414" s="13"/>
      <c r="Q414" s="13"/>
      <c r="R414" s="13"/>
    </row>
    <row r="415" spans="15:18" ht="15.75" customHeight="1" x14ac:dyDescent="0.25">
      <c r="O415" s="13"/>
      <c r="P415" s="13"/>
      <c r="Q415" s="13"/>
      <c r="R415" s="13"/>
    </row>
    <row r="416" spans="15:18" ht="15.75" customHeight="1" x14ac:dyDescent="0.25">
      <c r="O416" s="13"/>
      <c r="P416" s="13"/>
      <c r="Q416" s="13"/>
      <c r="R416" s="13"/>
    </row>
    <row r="417" spans="15:18" ht="15.75" customHeight="1" x14ac:dyDescent="0.25">
      <c r="O417" s="13"/>
      <c r="P417" s="13"/>
      <c r="Q417" s="13"/>
      <c r="R417" s="13"/>
    </row>
    <row r="418" spans="15:18" ht="15.75" customHeight="1" x14ac:dyDescent="0.25">
      <c r="O418" s="13"/>
      <c r="P418" s="13"/>
      <c r="Q418" s="13"/>
      <c r="R418" s="13"/>
    </row>
    <row r="419" spans="15:18" ht="15.75" customHeight="1" x14ac:dyDescent="0.25">
      <c r="O419" s="13"/>
      <c r="P419" s="13"/>
      <c r="Q419" s="13"/>
      <c r="R419" s="13"/>
    </row>
    <row r="420" spans="15:18" ht="15.75" customHeight="1" x14ac:dyDescent="0.25">
      <c r="O420" s="13"/>
      <c r="P420" s="13"/>
      <c r="Q420" s="13"/>
      <c r="R420" s="13"/>
    </row>
    <row r="421" spans="15:18" ht="15.75" customHeight="1" x14ac:dyDescent="0.25">
      <c r="O421" s="13"/>
      <c r="P421" s="13"/>
      <c r="Q421" s="13"/>
      <c r="R421" s="13"/>
    </row>
    <row r="422" spans="15:18" ht="15.75" customHeight="1" x14ac:dyDescent="0.25">
      <c r="O422" s="13"/>
      <c r="P422" s="13"/>
      <c r="Q422" s="13"/>
      <c r="R422" s="13"/>
    </row>
    <row r="423" spans="15:18" ht="15.75" customHeight="1" x14ac:dyDescent="0.25">
      <c r="O423" s="13"/>
      <c r="P423" s="13"/>
      <c r="Q423" s="13"/>
      <c r="R423" s="13"/>
    </row>
    <row r="424" spans="15:18" ht="15.75" customHeight="1" x14ac:dyDescent="0.25">
      <c r="O424" s="13"/>
      <c r="P424" s="13"/>
      <c r="Q424" s="13"/>
      <c r="R424" s="13"/>
    </row>
    <row r="425" spans="15:18" ht="15.75" customHeight="1" x14ac:dyDescent="0.25">
      <c r="O425" s="13"/>
      <c r="P425" s="13"/>
      <c r="Q425" s="13"/>
      <c r="R425" s="13"/>
    </row>
    <row r="426" spans="15:18" ht="15.75" customHeight="1" x14ac:dyDescent="0.25">
      <c r="O426" s="13"/>
      <c r="P426" s="13"/>
      <c r="Q426" s="13"/>
      <c r="R426" s="13"/>
    </row>
    <row r="427" spans="15:18" ht="15.75" customHeight="1" x14ac:dyDescent="0.25">
      <c r="O427" s="13"/>
      <c r="P427" s="13"/>
      <c r="Q427" s="13"/>
      <c r="R427" s="13"/>
    </row>
    <row r="428" spans="15:18" ht="15.75" customHeight="1" x14ac:dyDescent="0.25">
      <c r="O428" s="13"/>
      <c r="P428" s="13"/>
      <c r="Q428" s="13"/>
      <c r="R428" s="13"/>
    </row>
    <row r="429" spans="15:18" ht="15.75" customHeight="1" x14ac:dyDescent="0.25">
      <c r="O429" s="13"/>
      <c r="P429" s="13"/>
      <c r="Q429" s="13"/>
      <c r="R429" s="13"/>
    </row>
    <row r="430" spans="15:18" ht="15.75" customHeight="1" x14ac:dyDescent="0.25">
      <c r="O430" s="13"/>
      <c r="P430" s="13"/>
      <c r="Q430" s="13"/>
      <c r="R430" s="13"/>
    </row>
    <row r="431" spans="15:18" ht="15.75" customHeight="1" x14ac:dyDescent="0.25">
      <c r="O431" s="13"/>
      <c r="P431" s="13"/>
      <c r="Q431" s="13"/>
      <c r="R431" s="13"/>
    </row>
    <row r="432" spans="15:18" ht="15.75" customHeight="1" x14ac:dyDescent="0.25">
      <c r="O432" s="13"/>
      <c r="P432" s="13"/>
      <c r="Q432" s="13"/>
      <c r="R432" s="13"/>
    </row>
    <row r="433" spans="15:18" ht="15.75" customHeight="1" x14ac:dyDescent="0.25">
      <c r="O433" s="13"/>
      <c r="P433" s="13"/>
      <c r="Q433" s="13"/>
      <c r="R433" s="13"/>
    </row>
    <row r="434" spans="15:18" ht="15.75" customHeight="1" x14ac:dyDescent="0.25">
      <c r="O434" s="13"/>
      <c r="P434" s="13"/>
      <c r="Q434" s="13"/>
      <c r="R434" s="13"/>
    </row>
    <row r="435" spans="15:18" ht="15.75" customHeight="1" x14ac:dyDescent="0.25">
      <c r="O435" s="13"/>
      <c r="P435" s="13"/>
      <c r="Q435" s="13"/>
      <c r="R435" s="13"/>
    </row>
    <row r="436" spans="15:18" ht="15.75" customHeight="1" x14ac:dyDescent="0.25">
      <c r="O436" s="13"/>
      <c r="P436" s="13"/>
      <c r="Q436" s="13"/>
      <c r="R436" s="13"/>
    </row>
    <row r="437" spans="15:18" ht="15.75" customHeight="1" x14ac:dyDescent="0.25">
      <c r="O437" s="13"/>
      <c r="P437" s="13"/>
      <c r="Q437" s="13"/>
      <c r="R437" s="13"/>
    </row>
    <row r="438" spans="15:18" ht="15.75" customHeight="1" x14ac:dyDescent="0.25">
      <c r="O438" s="13"/>
      <c r="P438" s="13"/>
      <c r="Q438" s="13"/>
      <c r="R438" s="13"/>
    </row>
    <row r="439" spans="15:18" ht="15.75" customHeight="1" x14ac:dyDescent="0.25">
      <c r="O439" s="13"/>
      <c r="P439" s="13"/>
      <c r="Q439" s="13"/>
      <c r="R439" s="13"/>
    </row>
    <row r="440" spans="15:18" ht="15.75" customHeight="1" x14ac:dyDescent="0.25">
      <c r="O440" s="13"/>
      <c r="P440" s="13"/>
      <c r="Q440" s="13"/>
      <c r="R440" s="13"/>
    </row>
    <row r="441" spans="15:18" ht="15.75" customHeight="1" x14ac:dyDescent="0.25">
      <c r="O441" s="13"/>
      <c r="P441" s="13"/>
      <c r="Q441" s="13"/>
      <c r="R441" s="13"/>
    </row>
    <row r="442" spans="15:18" ht="15.75" customHeight="1" x14ac:dyDescent="0.25">
      <c r="O442" s="13"/>
      <c r="P442" s="13"/>
      <c r="Q442" s="13"/>
      <c r="R442" s="13"/>
    </row>
    <row r="443" spans="15:18" ht="15.75" customHeight="1" x14ac:dyDescent="0.25">
      <c r="O443" s="13"/>
      <c r="P443" s="13"/>
      <c r="Q443" s="13"/>
      <c r="R443" s="13"/>
    </row>
    <row r="444" spans="15:18" ht="15.75" customHeight="1" x14ac:dyDescent="0.25">
      <c r="O444" s="13"/>
      <c r="P444" s="13"/>
      <c r="Q444" s="13"/>
      <c r="R444" s="13"/>
    </row>
    <row r="445" spans="15:18" ht="15.75" customHeight="1" x14ac:dyDescent="0.25">
      <c r="O445" s="13"/>
      <c r="P445" s="13"/>
      <c r="Q445" s="13"/>
      <c r="R445" s="13"/>
    </row>
    <row r="446" spans="15:18" ht="15.75" customHeight="1" x14ac:dyDescent="0.25">
      <c r="O446" s="13"/>
      <c r="P446" s="13"/>
      <c r="Q446" s="13"/>
      <c r="R446" s="13"/>
    </row>
    <row r="447" spans="15:18" ht="15.75" customHeight="1" x14ac:dyDescent="0.25">
      <c r="O447" s="13"/>
      <c r="P447" s="13"/>
      <c r="Q447" s="13"/>
      <c r="R447" s="13"/>
    </row>
    <row r="448" spans="15:18" ht="15.75" customHeight="1" x14ac:dyDescent="0.25">
      <c r="O448" s="13"/>
      <c r="P448" s="13"/>
      <c r="Q448" s="13"/>
      <c r="R448" s="13"/>
    </row>
    <row r="449" spans="15:18" ht="15.75" customHeight="1" x14ac:dyDescent="0.25">
      <c r="O449" s="13"/>
      <c r="P449" s="13"/>
      <c r="Q449" s="13"/>
      <c r="R449" s="13"/>
    </row>
    <row r="450" spans="15:18" ht="15.75" customHeight="1" x14ac:dyDescent="0.25">
      <c r="O450" s="13"/>
      <c r="P450" s="13"/>
      <c r="Q450" s="13"/>
      <c r="R450" s="13"/>
    </row>
    <row r="451" spans="15:18" ht="15.75" customHeight="1" x14ac:dyDescent="0.25">
      <c r="O451" s="13"/>
      <c r="P451" s="13"/>
      <c r="Q451" s="13"/>
      <c r="R451" s="13"/>
    </row>
    <row r="452" spans="15:18" ht="15.75" customHeight="1" x14ac:dyDescent="0.25">
      <c r="O452" s="13"/>
      <c r="P452" s="13"/>
      <c r="Q452" s="13"/>
      <c r="R452" s="13"/>
    </row>
    <row r="453" spans="15:18" ht="15.75" customHeight="1" x14ac:dyDescent="0.25">
      <c r="O453" s="13"/>
      <c r="P453" s="13"/>
      <c r="Q453" s="13"/>
      <c r="R453" s="13"/>
    </row>
    <row r="454" spans="15:18" ht="15.75" customHeight="1" x14ac:dyDescent="0.25">
      <c r="O454" s="13"/>
      <c r="P454" s="13"/>
      <c r="Q454" s="13"/>
      <c r="R454" s="13"/>
    </row>
    <row r="455" spans="15:18" ht="15.75" customHeight="1" x14ac:dyDescent="0.25">
      <c r="O455" s="13"/>
      <c r="P455" s="13"/>
      <c r="Q455" s="13"/>
      <c r="R455" s="13"/>
    </row>
    <row r="456" spans="15:18" ht="15.75" customHeight="1" x14ac:dyDescent="0.25">
      <c r="O456" s="13"/>
      <c r="P456" s="13"/>
      <c r="Q456" s="13"/>
      <c r="R456" s="13"/>
    </row>
    <row r="457" spans="15:18" ht="15.75" customHeight="1" x14ac:dyDescent="0.25">
      <c r="O457" s="13"/>
      <c r="P457" s="13"/>
      <c r="Q457" s="13"/>
      <c r="R457" s="13"/>
    </row>
    <row r="458" spans="15:18" ht="15.75" customHeight="1" x14ac:dyDescent="0.25">
      <c r="O458" s="13"/>
      <c r="P458" s="13"/>
      <c r="Q458" s="13"/>
      <c r="R458" s="13"/>
    </row>
    <row r="459" spans="15:18" ht="15.75" customHeight="1" x14ac:dyDescent="0.25">
      <c r="O459" s="13"/>
      <c r="P459" s="13"/>
      <c r="Q459" s="13"/>
      <c r="R459" s="13"/>
    </row>
    <row r="460" spans="15:18" ht="15.75" customHeight="1" x14ac:dyDescent="0.25">
      <c r="O460" s="13"/>
      <c r="P460" s="13"/>
      <c r="Q460" s="13"/>
      <c r="R460" s="13"/>
    </row>
    <row r="461" spans="15:18" ht="15.75" customHeight="1" x14ac:dyDescent="0.25">
      <c r="O461" s="13"/>
      <c r="P461" s="13"/>
      <c r="Q461" s="13"/>
      <c r="R461" s="13"/>
    </row>
    <row r="462" spans="15:18" ht="15.75" customHeight="1" x14ac:dyDescent="0.25">
      <c r="O462" s="13"/>
      <c r="P462" s="13"/>
      <c r="Q462" s="13"/>
      <c r="R462" s="13"/>
    </row>
    <row r="463" spans="15:18" ht="15.75" customHeight="1" x14ac:dyDescent="0.25">
      <c r="O463" s="13"/>
      <c r="P463" s="13"/>
      <c r="Q463" s="13"/>
      <c r="R463" s="13"/>
    </row>
    <row r="464" spans="15:18" ht="15.75" customHeight="1" x14ac:dyDescent="0.25">
      <c r="O464" s="13"/>
      <c r="P464" s="13"/>
      <c r="Q464" s="13"/>
      <c r="R464" s="13"/>
    </row>
    <row r="465" spans="15:18" ht="15.75" customHeight="1" x14ac:dyDescent="0.25">
      <c r="O465" s="13"/>
      <c r="P465" s="13"/>
      <c r="Q465" s="13"/>
      <c r="R465" s="13"/>
    </row>
    <row r="466" spans="15:18" ht="15.75" customHeight="1" x14ac:dyDescent="0.25">
      <c r="O466" s="13"/>
      <c r="P466" s="13"/>
      <c r="Q466" s="13"/>
      <c r="R466" s="13"/>
    </row>
    <row r="467" spans="15:18" ht="15.75" customHeight="1" x14ac:dyDescent="0.25">
      <c r="O467" s="13"/>
      <c r="P467" s="13"/>
      <c r="Q467" s="13"/>
      <c r="R467" s="13"/>
    </row>
    <row r="468" spans="15:18" ht="15.75" customHeight="1" x14ac:dyDescent="0.25">
      <c r="O468" s="13"/>
      <c r="P468" s="13"/>
      <c r="Q468" s="13"/>
      <c r="R468" s="13"/>
    </row>
    <row r="469" spans="15:18" ht="15.75" customHeight="1" x14ac:dyDescent="0.25">
      <c r="O469" s="13"/>
      <c r="P469" s="13"/>
      <c r="Q469" s="13"/>
      <c r="R469" s="13"/>
    </row>
    <row r="470" spans="15:18" ht="15.75" customHeight="1" x14ac:dyDescent="0.25">
      <c r="O470" s="13"/>
      <c r="P470" s="13"/>
      <c r="Q470" s="13"/>
      <c r="R470" s="13"/>
    </row>
    <row r="471" spans="15:18" ht="15.75" customHeight="1" x14ac:dyDescent="0.25">
      <c r="O471" s="13"/>
      <c r="P471" s="13"/>
      <c r="Q471" s="13"/>
      <c r="R471" s="13"/>
    </row>
    <row r="472" spans="15:18" ht="15.75" customHeight="1" x14ac:dyDescent="0.25">
      <c r="O472" s="13"/>
      <c r="P472" s="13"/>
      <c r="Q472" s="13"/>
      <c r="R472" s="13"/>
    </row>
    <row r="473" spans="15:18" ht="15.75" customHeight="1" x14ac:dyDescent="0.25">
      <c r="O473" s="13"/>
      <c r="P473" s="13"/>
      <c r="Q473" s="13"/>
      <c r="R473" s="13"/>
    </row>
    <row r="474" spans="15:18" ht="15.75" customHeight="1" x14ac:dyDescent="0.25">
      <c r="O474" s="13"/>
      <c r="P474" s="13"/>
      <c r="Q474" s="13"/>
      <c r="R474" s="13"/>
    </row>
    <row r="475" spans="15:18" ht="15.75" customHeight="1" x14ac:dyDescent="0.25">
      <c r="O475" s="13"/>
      <c r="P475" s="13"/>
      <c r="Q475" s="13"/>
      <c r="R475" s="13"/>
    </row>
    <row r="476" spans="15:18" ht="15.75" customHeight="1" x14ac:dyDescent="0.25">
      <c r="O476" s="13"/>
      <c r="P476" s="13"/>
      <c r="Q476" s="13"/>
      <c r="R476" s="13"/>
    </row>
    <row r="477" spans="15:18" ht="15.75" customHeight="1" x14ac:dyDescent="0.25">
      <c r="O477" s="13"/>
      <c r="P477" s="13"/>
      <c r="Q477" s="13"/>
      <c r="R477" s="13"/>
    </row>
    <row r="478" spans="15:18" ht="15.75" customHeight="1" x14ac:dyDescent="0.25">
      <c r="O478" s="13"/>
      <c r="P478" s="13"/>
      <c r="Q478" s="13"/>
      <c r="R478" s="13"/>
    </row>
    <row r="479" spans="15:18" ht="15.75" customHeight="1" x14ac:dyDescent="0.25">
      <c r="O479" s="13"/>
      <c r="P479" s="13"/>
      <c r="Q479" s="13"/>
      <c r="R479" s="13"/>
    </row>
    <row r="480" spans="15:18" ht="15.75" customHeight="1" x14ac:dyDescent="0.25">
      <c r="O480" s="13"/>
      <c r="P480" s="13"/>
      <c r="Q480" s="13"/>
      <c r="R480" s="13"/>
    </row>
    <row r="481" spans="15:18" ht="15.75" customHeight="1" x14ac:dyDescent="0.25">
      <c r="O481" s="13"/>
      <c r="P481" s="13"/>
      <c r="Q481" s="13"/>
      <c r="R481" s="13"/>
    </row>
    <row r="482" spans="15:18" ht="15.75" customHeight="1" x14ac:dyDescent="0.25">
      <c r="O482" s="13"/>
      <c r="P482" s="13"/>
      <c r="Q482" s="13"/>
      <c r="R482" s="13"/>
    </row>
    <row r="483" spans="15:18" ht="15.75" customHeight="1" x14ac:dyDescent="0.25">
      <c r="O483" s="13"/>
      <c r="P483" s="13"/>
      <c r="Q483" s="13"/>
      <c r="R483" s="13"/>
    </row>
    <row r="484" spans="15:18" ht="15.75" customHeight="1" x14ac:dyDescent="0.25">
      <c r="O484" s="13"/>
      <c r="P484" s="13"/>
      <c r="Q484" s="13"/>
      <c r="R484" s="13"/>
    </row>
    <row r="485" spans="15:18" ht="15.75" customHeight="1" x14ac:dyDescent="0.25">
      <c r="O485" s="13"/>
      <c r="P485" s="13"/>
      <c r="Q485" s="13"/>
      <c r="R485" s="13"/>
    </row>
    <row r="486" spans="15:18" ht="15.75" customHeight="1" x14ac:dyDescent="0.25">
      <c r="O486" s="13"/>
      <c r="P486" s="13"/>
      <c r="Q486" s="13"/>
      <c r="R486" s="13"/>
    </row>
    <row r="487" spans="15:18" ht="15.75" customHeight="1" x14ac:dyDescent="0.25">
      <c r="O487" s="13"/>
      <c r="P487" s="13"/>
      <c r="Q487" s="13"/>
      <c r="R487" s="13"/>
    </row>
    <row r="488" spans="15:18" ht="15.75" customHeight="1" x14ac:dyDescent="0.25">
      <c r="O488" s="13"/>
      <c r="P488" s="13"/>
      <c r="Q488" s="13"/>
      <c r="R488" s="13"/>
    </row>
    <row r="489" spans="15:18" ht="15.75" customHeight="1" x14ac:dyDescent="0.25">
      <c r="O489" s="13"/>
      <c r="P489" s="13"/>
      <c r="Q489" s="13"/>
      <c r="R489" s="13"/>
    </row>
    <row r="490" spans="15:18" ht="15.75" customHeight="1" x14ac:dyDescent="0.25">
      <c r="O490" s="13"/>
      <c r="P490" s="13"/>
      <c r="Q490" s="13"/>
      <c r="R490" s="13"/>
    </row>
    <row r="491" spans="15:18" ht="15.75" customHeight="1" x14ac:dyDescent="0.25">
      <c r="O491" s="13"/>
      <c r="P491" s="13"/>
      <c r="Q491" s="13"/>
      <c r="R491" s="13"/>
    </row>
    <row r="492" spans="15:18" ht="15.75" customHeight="1" x14ac:dyDescent="0.25">
      <c r="O492" s="13"/>
      <c r="P492" s="13"/>
      <c r="Q492" s="13"/>
      <c r="R492" s="13"/>
    </row>
    <row r="493" spans="15:18" ht="15.75" customHeight="1" x14ac:dyDescent="0.25">
      <c r="O493" s="13"/>
      <c r="P493" s="13"/>
      <c r="Q493" s="13"/>
      <c r="R493" s="13"/>
    </row>
    <row r="494" spans="15:18" ht="15.75" customHeight="1" x14ac:dyDescent="0.25">
      <c r="O494" s="13"/>
      <c r="P494" s="13"/>
      <c r="Q494" s="13"/>
      <c r="R494" s="13"/>
    </row>
    <row r="495" spans="15:18" ht="15.75" customHeight="1" x14ac:dyDescent="0.25">
      <c r="O495" s="13"/>
      <c r="P495" s="13"/>
      <c r="Q495" s="13"/>
      <c r="R495" s="13"/>
    </row>
    <row r="496" spans="15:18" ht="15.75" customHeight="1" x14ac:dyDescent="0.25">
      <c r="O496" s="13"/>
      <c r="P496" s="13"/>
      <c r="Q496" s="13"/>
      <c r="R496" s="13"/>
    </row>
    <row r="497" spans="15:18" ht="15.75" customHeight="1" x14ac:dyDescent="0.25">
      <c r="O497" s="13"/>
      <c r="P497" s="13"/>
      <c r="Q497" s="13"/>
      <c r="R497" s="13"/>
    </row>
    <row r="498" spans="15:18" ht="15.75" customHeight="1" x14ac:dyDescent="0.25">
      <c r="O498" s="13"/>
      <c r="P498" s="13"/>
      <c r="Q498" s="13"/>
      <c r="R498" s="13"/>
    </row>
    <row r="499" spans="15:18" ht="15.75" customHeight="1" x14ac:dyDescent="0.25">
      <c r="O499" s="13"/>
      <c r="P499" s="13"/>
      <c r="Q499" s="13"/>
      <c r="R499" s="13"/>
    </row>
    <row r="500" spans="15:18" ht="15.75" customHeight="1" x14ac:dyDescent="0.25">
      <c r="O500" s="13"/>
      <c r="P500" s="13"/>
      <c r="Q500" s="13"/>
      <c r="R500" s="13"/>
    </row>
    <row r="501" spans="15:18" ht="15.75" customHeight="1" x14ac:dyDescent="0.25">
      <c r="O501" s="13"/>
      <c r="P501" s="13"/>
      <c r="Q501" s="13"/>
      <c r="R501" s="13"/>
    </row>
    <row r="502" spans="15:18" ht="15.75" customHeight="1" x14ac:dyDescent="0.25">
      <c r="O502" s="13"/>
      <c r="P502" s="13"/>
      <c r="Q502" s="13"/>
      <c r="R502" s="13"/>
    </row>
    <row r="503" spans="15:18" ht="15.75" customHeight="1" x14ac:dyDescent="0.25">
      <c r="O503" s="13"/>
      <c r="P503" s="13"/>
      <c r="Q503" s="13"/>
      <c r="R503" s="13"/>
    </row>
    <row r="504" spans="15:18" ht="15.75" customHeight="1" x14ac:dyDescent="0.25">
      <c r="O504" s="13"/>
      <c r="P504" s="13"/>
      <c r="Q504" s="13"/>
      <c r="R504" s="13"/>
    </row>
    <row r="505" spans="15:18" ht="15.75" customHeight="1" x14ac:dyDescent="0.25">
      <c r="O505" s="13"/>
      <c r="P505" s="13"/>
      <c r="Q505" s="13"/>
      <c r="R505" s="13"/>
    </row>
    <row r="506" spans="15:18" ht="15.75" customHeight="1" x14ac:dyDescent="0.25">
      <c r="O506" s="13"/>
      <c r="P506" s="13"/>
      <c r="Q506" s="13"/>
      <c r="R506" s="13"/>
    </row>
    <row r="507" spans="15:18" ht="15.75" customHeight="1" x14ac:dyDescent="0.25">
      <c r="O507" s="13"/>
      <c r="P507" s="13"/>
      <c r="Q507" s="13"/>
      <c r="R507" s="13"/>
    </row>
    <row r="508" spans="15:18" ht="15.75" customHeight="1" x14ac:dyDescent="0.25">
      <c r="O508" s="13"/>
      <c r="P508" s="13"/>
      <c r="Q508" s="13"/>
      <c r="R508" s="13"/>
    </row>
    <row r="509" spans="15:18" ht="15.75" customHeight="1" x14ac:dyDescent="0.25">
      <c r="O509" s="13"/>
      <c r="P509" s="13"/>
      <c r="Q509" s="13"/>
      <c r="R509" s="13"/>
    </row>
    <row r="510" spans="15:18" ht="15.75" customHeight="1" x14ac:dyDescent="0.25">
      <c r="O510" s="13"/>
      <c r="P510" s="13"/>
      <c r="Q510" s="13"/>
      <c r="R510" s="13"/>
    </row>
    <row r="511" spans="15:18" ht="15.75" customHeight="1" x14ac:dyDescent="0.25">
      <c r="O511" s="13"/>
      <c r="P511" s="13"/>
      <c r="Q511" s="13"/>
      <c r="R511" s="13"/>
    </row>
    <row r="512" spans="15:18" ht="15.75" customHeight="1" x14ac:dyDescent="0.25">
      <c r="O512" s="13"/>
      <c r="P512" s="13"/>
      <c r="Q512" s="13"/>
      <c r="R512" s="13"/>
    </row>
    <row r="513" spans="15:18" ht="15.75" customHeight="1" x14ac:dyDescent="0.25">
      <c r="O513" s="13"/>
      <c r="P513" s="13"/>
      <c r="Q513" s="13"/>
      <c r="R513" s="13"/>
    </row>
    <row r="514" spans="15:18" ht="15.75" customHeight="1" x14ac:dyDescent="0.25">
      <c r="O514" s="13"/>
      <c r="P514" s="13"/>
      <c r="Q514" s="13"/>
      <c r="R514" s="13"/>
    </row>
    <row r="515" spans="15:18" ht="15.75" customHeight="1" x14ac:dyDescent="0.25">
      <c r="O515" s="13"/>
      <c r="P515" s="13"/>
      <c r="Q515" s="13"/>
      <c r="R515" s="13"/>
    </row>
    <row r="516" spans="15:18" ht="15.75" customHeight="1" x14ac:dyDescent="0.25">
      <c r="O516" s="13"/>
      <c r="P516" s="13"/>
      <c r="Q516" s="13"/>
      <c r="R516" s="13"/>
    </row>
    <row r="517" spans="15:18" ht="15.75" customHeight="1" x14ac:dyDescent="0.25">
      <c r="O517" s="13"/>
      <c r="P517" s="13"/>
      <c r="Q517" s="13"/>
      <c r="R517" s="13"/>
    </row>
    <row r="518" spans="15:18" ht="15.75" customHeight="1" x14ac:dyDescent="0.25">
      <c r="O518" s="13"/>
      <c r="P518" s="13"/>
      <c r="Q518" s="13"/>
      <c r="R518" s="13"/>
    </row>
    <row r="519" spans="15:18" ht="15.75" customHeight="1" x14ac:dyDescent="0.25">
      <c r="O519" s="13"/>
      <c r="P519" s="13"/>
      <c r="Q519" s="13"/>
      <c r="R519" s="13"/>
    </row>
    <row r="520" spans="15:18" ht="15.75" customHeight="1" x14ac:dyDescent="0.25">
      <c r="O520" s="13"/>
      <c r="P520" s="13"/>
      <c r="Q520" s="13"/>
      <c r="R520" s="13"/>
    </row>
    <row r="521" spans="15:18" ht="15.75" customHeight="1" x14ac:dyDescent="0.25">
      <c r="O521" s="13"/>
      <c r="P521" s="13"/>
      <c r="Q521" s="13"/>
      <c r="R521" s="13"/>
    </row>
    <row r="522" spans="15:18" ht="15.75" customHeight="1" x14ac:dyDescent="0.25">
      <c r="O522" s="13"/>
      <c r="P522" s="13"/>
      <c r="Q522" s="13"/>
      <c r="R522" s="13"/>
    </row>
    <row r="523" spans="15:18" ht="15.75" customHeight="1" x14ac:dyDescent="0.25">
      <c r="O523" s="13"/>
      <c r="P523" s="13"/>
      <c r="Q523" s="13"/>
      <c r="R523" s="13"/>
    </row>
    <row r="524" spans="15:18" ht="15.75" customHeight="1" x14ac:dyDescent="0.25">
      <c r="O524" s="13"/>
      <c r="P524" s="13"/>
      <c r="Q524" s="13"/>
      <c r="R524" s="13"/>
    </row>
    <row r="525" spans="15:18" ht="15.75" customHeight="1" x14ac:dyDescent="0.25">
      <c r="O525" s="13"/>
      <c r="P525" s="13"/>
      <c r="Q525" s="13"/>
      <c r="R525" s="13"/>
    </row>
    <row r="526" spans="15:18" ht="15.75" customHeight="1" x14ac:dyDescent="0.25">
      <c r="O526" s="13"/>
      <c r="P526" s="13"/>
      <c r="Q526" s="13"/>
      <c r="R526" s="13"/>
    </row>
    <row r="527" spans="15:18" ht="15.75" customHeight="1" x14ac:dyDescent="0.25">
      <c r="O527" s="13"/>
      <c r="P527" s="13"/>
      <c r="Q527" s="13"/>
      <c r="R527" s="13"/>
    </row>
    <row r="528" spans="15:18" ht="15.75" customHeight="1" x14ac:dyDescent="0.25">
      <c r="O528" s="13"/>
      <c r="P528" s="13"/>
      <c r="Q528" s="13"/>
      <c r="R528" s="13"/>
    </row>
    <row r="529" spans="15:18" ht="15.75" customHeight="1" x14ac:dyDescent="0.25">
      <c r="O529" s="13"/>
      <c r="P529" s="13"/>
      <c r="Q529" s="13"/>
      <c r="R529" s="13"/>
    </row>
    <row r="530" spans="15:18" ht="15.75" customHeight="1" x14ac:dyDescent="0.25">
      <c r="O530" s="13"/>
      <c r="P530" s="13"/>
      <c r="Q530" s="13"/>
      <c r="R530" s="13"/>
    </row>
    <row r="531" spans="15:18" ht="15.75" customHeight="1" x14ac:dyDescent="0.25">
      <c r="O531" s="13"/>
      <c r="P531" s="13"/>
      <c r="Q531" s="13"/>
      <c r="R531" s="13"/>
    </row>
    <row r="532" spans="15:18" ht="15.75" customHeight="1" x14ac:dyDescent="0.25">
      <c r="O532" s="13"/>
      <c r="P532" s="13"/>
      <c r="Q532" s="13"/>
      <c r="R532" s="13"/>
    </row>
    <row r="533" spans="15:18" ht="15.75" customHeight="1" x14ac:dyDescent="0.25">
      <c r="O533" s="13"/>
      <c r="P533" s="13"/>
      <c r="Q533" s="13"/>
      <c r="R533" s="13"/>
    </row>
    <row r="534" spans="15:18" ht="15.75" customHeight="1" x14ac:dyDescent="0.25">
      <c r="O534" s="13"/>
      <c r="P534" s="13"/>
      <c r="Q534" s="13"/>
      <c r="R534" s="13"/>
    </row>
    <row r="535" spans="15:18" ht="15.75" customHeight="1" x14ac:dyDescent="0.25">
      <c r="O535" s="13"/>
      <c r="P535" s="13"/>
      <c r="Q535" s="13"/>
      <c r="R535" s="13"/>
    </row>
    <row r="536" spans="15:18" ht="15.75" customHeight="1" x14ac:dyDescent="0.25">
      <c r="O536" s="13"/>
      <c r="P536" s="13"/>
      <c r="Q536" s="13"/>
      <c r="R536" s="13"/>
    </row>
    <row r="537" spans="15:18" ht="15.75" customHeight="1" x14ac:dyDescent="0.25">
      <c r="O537" s="13"/>
      <c r="P537" s="13"/>
      <c r="Q537" s="13"/>
      <c r="R537" s="13"/>
    </row>
    <row r="538" spans="15:18" ht="15.75" customHeight="1" x14ac:dyDescent="0.25">
      <c r="O538" s="13"/>
      <c r="P538" s="13"/>
      <c r="Q538" s="13"/>
      <c r="R538" s="13"/>
    </row>
    <row r="539" spans="15:18" ht="15.75" customHeight="1" x14ac:dyDescent="0.25">
      <c r="O539" s="13"/>
      <c r="P539" s="13"/>
      <c r="Q539" s="13"/>
      <c r="R539" s="13"/>
    </row>
    <row r="540" spans="15:18" ht="15.75" customHeight="1" x14ac:dyDescent="0.25">
      <c r="O540" s="13"/>
      <c r="P540" s="13"/>
      <c r="Q540" s="13"/>
      <c r="R540" s="13"/>
    </row>
    <row r="541" spans="15:18" ht="15.75" customHeight="1" x14ac:dyDescent="0.25">
      <c r="O541" s="13"/>
      <c r="P541" s="13"/>
      <c r="Q541" s="13"/>
      <c r="R541" s="13"/>
    </row>
    <row r="542" spans="15:18" ht="15.75" customHeight="1" x14ac:dyDescent="0.25">
      <c r="O542" s="13"/>
      <c r="P542" s="13"/>
      <c r="Q542" s="13"/>
      <c r="R542" s="13"/>
    </row>
    <row r="543" spans="15:18" ht="15.75" customHeight="1" x14ac:dyDescent="0.25">
      <c r="O543" s="13"/>
      <c r="P543" s="13"/>
      <c r="Q543" s="13"/>
      <c r="R543" s="13"/>
    </row>
    <row r="544" spans="15:18" ht="15.75" customHeight="1" x14ac:dyDescent="0.25">
      <c r="O544" s="13"/>
      <c r="P544" s="13"/>
      <c r="Q544" s="13"/>
      <c r="R544" s="13"/>
    </row>
    <row r="545" spans="15:18" ht="15.75" customHeight="1" x14ac:dyDescent="0.25">
      <c r="O545" s="13"/>
      <c r="P545" s="13"/>
      <c r="Q545" s="13"/>
      <c r="R545" s="13"/>
    </row>
    <row r="546" spans="15:18" ht="15.75" customHeight="1" x14ac:dyDescent="0.25">
      <c r="O546" s="13"/>
      <c r="P546" s="13"/>
      <c r="Q546" s="13"/>
      <c r="R546" s="13"/>
    </row>
    <row r="547" spans="15:18" ht="15.75" customHeight="1" x14ac:dyDescent="0.25">
      <c r="O547" s="13"/>
      <c r="P547" s="13"/>
      <c r="Q547" s="13"/>
      <c r="R547" s="13"/>
    </row>
    <row r="548" spans="15:18" ht="15.75" customHeight="1" x14ac:dyDescent="0.25">
      <c r="O548" s="13"/>
      <c r="P548" s="13"/>
      <c r="Q548" s="13"/>
      <c r="R548" s="13"/>
    </row>
    <row r="549" spans="15:18" ht="15.75" customHeight="1" x14ac:dyDescent="0.25">
      <c r="O549" s="13"/>
      <c r="P549" s="13"/>
      <c r="Q549" s="13"/>
      <c r="R549" s="13"/>
    </row>
    <row r="550" spans="15:18" ht="15.75" customHeight="1" x14ac:dyDescent="0.25">
      <c r="O550" s="13"/>
      <c r="P550" s="13"/>
      <c r="Q550" s="13"/>
      <c r="R550" s="13"/>
    </row>
    <row r="551" spans="15:18" ht="15.75" customHeight="1" x14ac:dyDescent="0.25">
      <c r="O551" s="13"/>
      <c r="P551" s="13"/>
      <c r="Q551" s="13"/>
      <c r="R551" s="13"/>
    </row>
    <row r="552" spans="15:18" ht="15.75" customHeight="1" x14ac:dyDescent="0.25">
      <c r="O552" s="13"/>
      <c r="P552" s="13"/>
      <c r="Q552" s="13"/>
      <c r="R552" s="13"/>
    </row>
    <row r="553" spans="15:18" ht="15.75" customHeight="1" x14ac:dyDescent="0.25">
      <c r="O553" s="13"/>
      <c r="P553" s="13"/>
      <c r="Q553" s="13"/>
      <c r="R553" s="13"/>
    </row>
    <row r="554" spans="15:18" ht="15.75" customHeight="1" x14ac:dyDescent="0.25">
      <c r="O554" s="13"/>
      <c r="P554" s="13"/>
      <c r="Q554" s="13"/>
      <c r="R554" s="13"/>
    </row>
    <row r="555" spans="15:18" ht="15.75" customHeight="1" x14ac:dyDescent="0.25">
      <c r="O555" s="13"/>
      <c r="P555" s="13"/>
      <c r="Q555" s="13"/>
      <c r="R555" s="13"/>
    </row>
    <row r="556" spans="15:18" ht="15.75" customHeight="1" x14ac:dyDescent="0.25">
      <c r="O556" s="13"/>
      <c r="P556" s="13"/>
      <c r="Q556" s="13"/>
      <c r="R556" s="13"/>
    </row>
    <row r="557" spans="15:18" ht="15.75" customHeight="1" x14ac:dyDescent="0.25">
      <c r="O557" s="13"/>
      <c r="P557" s="13"/>
      <c r="Q557" s="13"/>
      <c r="R557" s="13"/>
    </row>
    <row r="558" spans="15:18" ht="15.75" customHeight="1" x14ac:dyDescent="0.25">
      <c r="O558" s="13"/>
      <c r="P558" s="13"/>
      <c r="Q558" s="13"/>
      <c r="R558" s="13"/>
    </row>
    <row r="559" spans="15:18" ht="15.75" customHeight="1" x14ac:dyDescent="0.25">
      <c r="O559" s="13"/>
      <c r="P559" s="13"/>
      <c r="Q559" s="13"/>
      <c r="R559" s="13"/>
    </row>
    <row r="560" spans="15:18" ht="15.75" customHeight="1" x14ac:dyDescent="0.25">
      <c r="O560" s="13"/>
      <c r="P560" s="13"/>
      <c r="Q560" s="13"/>
      <c r="R560" s="13"/>
    </row>
    <row r="561" spans="15:18" ht="15.75" customHeight="1" x14ac:dyDescent="0.25">
      <c r="O561" s="13"/>
      <c r="P561" s="13"/>
      <c r="Q561" s="13"/>
      <c r="R561" s="13"/>
    </row>
    <row r="562" spans="15:18" ht="15.75" customHeight="1" x14ac:dyDescent="0.25">
      <c r="O562" s="13"/>
      <c r="P562" s="13"/>
      <c r="Q562" s="13"/>
      <c r="R562" s="13"/>
    </row>
    <row r="563" spans="15:18" ht="15.75" customHeight="1" x14ac:dyDescent="0.25">
      <c r="O563" s="13"/>
      <c r="P563" s="13"/>
      <c r="Q563" s="13"/>
      <c r="R563" s="13"/>
    </row>
    <row r="564" spans="15:18" ht="15.75" customHeight="1" x14ac:dyDescent="0.25">
      <c r="O564" s="13"/>
      <c r="P564" s="13"/>
      <c r="Q564" s="13"/>
      <c r="R564" s="13"/>
    </row>
    <row r="565" spans="15:18" ht="15.75" customHeight="1" x14ac:dyDescent="0.25">
      <c r="O565" s="13"/>
      <c r="P565" s="13"/>
      <c r="Q565" s="13"/>
      <c r="R565" s="13"/>
    </row>
    <row r="566" spans="15:18" ht="15.75" customHeight="1" x14ac:dyDescent="0.25">
      <c r="O566" s="13"/>
      <c r="P566" s="13"/>
      <c r="Q566" s="13"/>
      <c r="R566" s="13"/>
    </row>
    <row r="567" spans="15:18" ht="15.75" customHeight="1" x14ac:dyDescent="0.25">
      <c r="O567" s="13"/>
      <c r="P567" s="13"/>
      <c r="Q567" s="13"/>
      <c r="R567" s="13"/>
    </row>
    <row r="568" spans="15:18" ht="15.75" customHeight="1" x14ac:dyDescent="0.25">
      <c r="O568" s="13"/>
      <c r="P568" s="13"/>
      <c r="Q568" s="13"/>
      <c r="R568" s="13"/>
    </row>
    <row r="569" spans="15:18" ht="15.75" customHeight="1" x14ac:dyDescent="0.25">
      <c r="O569" s="13"/>
      <c r="P569" s="13"/>
      <c r="Q569" s="13"/>
      <c r="R569" s="13"/>
    </row>
    <row r="570" spans="15:18" ht="15.75" customHeight="1" x14ac:dyDescent="0.25">
      <c r="O570" s="13"/>
      <c r="P570" s="13"/>
      <c r="Q570" s="13"/>
      <c r="R570" s="13"/>
    </row>
    <row r="571" spans="15:18" ht="15.75" customHeight="1" x14ac:dyDescent="0.25">
      <c r="O571" s="13"/>
      <c r="P571" s="13"/>
      <c r="Q571" s="13"/>
      <c r="R571" s="13"/>
    </row>
    <row r="572" spans="15:18" ht="15.75" customHeight="1" x14ac:dyDescent="0.25">
      <c r="O572" s="13"/>
      <c r="P572" s="13"/>
      <c r="Q572" s="13"/>
      <c r="R572" s="13"/>
    </row>
    <row r="573" spans="15:18" ht="15.75" customHeight="1" x14ac:dyDescent="0.25">
      <c r="O573" s="13"/>
      <c r="P573" s="13"/>
      <c r="Q573" s="13"/>
      <c r="R573" s="13"/>
    </row>
    <row r="574" spans="15:18" ht="15.75" customHeight="1" x14ac:dyDescent="0.25">
      <c r="O574" s="13"/>
      <c r="P574" s="13"/>
      <c r="Q574" s="13"/>
      <c r="R574" s="13"/>
    </row>
    <row r="575" spans="15:18" ht="15.75" customHeight="1" x14ac:dyDescent="0.25">
      <c r="O575" s="13"/>
      <c r="P575" s="13"/>
      <c r="Q575" s="13"/>
      <c r="R575" s="13"/>
    </row>
    <row r="576" spans="15:18" ht="15.75" customHeight="1" x14ac:dyDescent="0.25">
      <c r="O576" s="13"/>
      <c r="P576" s="13"/>
      <c r="Q576" s="13"/>
      <c r="R576" s="13"/>
    </row>
    <row r="577" spans="15:18" ht="15.75" customHeight="1" x14ac:dyDescent="0.25">
      <c r="O577" s="13"/>
      <c r="P577" s="13"/>
      <c r="Q577" s="13"/>
      <c r="R577" s="13"/>
    </row>
    <row r="578" spans="15:18" ht="15.75" customHeight="1" x14ac:dyDescent="0.25">
      <c r="O578" s="13"/>
      <c r="P578" s="13"/>
      <c r="Q578" s="13"/>
      <c r="R578" s="13"/>
    </row>
    <row r="579" spans="15:18" ht="15.75" customHeight="1" x14ac:dyDescent="0.25">
      <c r="O579" s="13"/>
      <c r="P579" s="13"/>
      <c r="Q579" s="13"/>
      <c r="R579" s="13"/>
    </row>
    <row r="580" spans="15:18" ht="15.75" customHeight="1" x14ac:dyDescent="0.25">
      <c r="O580" s="13"/>
      <c r="P580" s="13"/>
      <c r="Q580" s="13"/>
      <c r="R580" s="13"/>
    </row>
    <row r="581" spans="15:18" ht="15.75" customHeight="1" x14ac:dyDescent="0.25">
      <c r="O581" s="13"/>
      <c r="P581" s="13"/>
      <c r="Q581" s="13"/>
      <c r="R581" s="13"/>
    </row>
    <row r="582" spans="15:18" ht="15.75" customHeight="1" x14ac:dyDescent="0.25">
      <c r="O582" s="13"/>
      <c r="P582" s="13"/>
      <c r="Q582" s="13"/>
      <c r="R582" s="13"/>
    </row>
    <row r="583" spans="15:18" ht="15.75" customHeight="1" x14ac:dyDescent="0.25">
      <c r="O583" s="13"/>
      <c r="P583" s="13"/>
      <c r="Q583" s="13"/>
      <c r="R583" s="13"/>
    </row>
    <row r="584" spans="15:18" ht="15.75" customHeight="1" x14ac:dyDescent="0.25">
      <c r="O584" s="13"/>
      <c r="P584" s="13"/>
      <c r="Q584" s="13"/>
      <c r="R584" s="13"/>
    </row>
    <row r="585" spans="15:18" ht="15.75" customHeight="1" x14ac:dyDescent="0.25">
      <c r="O585" s="13"/>
      <c r="P585" s="13"/>
      <c r="Q585" s="13"/>
      <c r="R585" s="13"/>
    </row>
    <row r="586" spans="15:18" ht="15.75" customHeight="1" x14ac:dyDescent="0.25">
      <c r="O586" s="13"/>
      <c r="P586" s="13"/>
      <c r="Q586" s="13"/>
      <c r="R586" s="13"/>
    </row>
    <row r="587" spans="15:18" ht="15.75" customHeight="1" x14ac:dyDescent="0.25">
      <c r="O587" s="13"/>
      <c r="P587" s="13"/>
      <c r="Q587" s="13"/>
      <c r="R587" s="13"/>
    </row>
    <row r="588" spans="15:18" ht="15.75" customHeight="1" x14ac:dyDescent="0.25">
      <c r="O588" s="13"/>
      <c r="P588" s="13"/>
      <c r="Q588" s="13"/>
      <c r="R588" s="13"/>
    </row>
    <row r="589" spans="15:18" ht="15.75" customHeight="1" x14ac:dyDescent="0.25">
      <c r="O589" s="13"/>
      <c r="P589" s="13"/>
      <c r="Q589" s="13"/>
      <c r="R589" s="13"/>
    </row>
    <row r="590" spans="15:18" ht="15.75" customHeight="1" x14ac:dyDescent="0.25">
      <c r="O590" s="13"/>
      <c r="P590" s="13"/>
      <c r="Q590" s="13"/>
      <c r="R590" s="13"/>
    </row>
    <row r="591" spans="15:18" ht="15.75" customHeight="1" x14ac:dyDescent="0.25">
      <c r="O591" s="13"/>
      <c r="P591" s="13"/>
      <c r="Q591" s="13"/>
      <c r="R591" s="13"/>
    </row>
    <row r="592" spans="15:18" ht="15.75" customHeight="1" x14ac:dyDescent="0.25">
      <c r="O592" s="13"/>
      <c r="P592" s="13"/>
      <c r="Q592" s="13"/>
      <c r="R592" s="13"/>
    </row>
    <row r="593" spans="15:18" ht="15.75" customHeight="1" x14ac:dyDescent="0.25">
      <c r="O593" s="13"/>
      <c r="P593" s="13"/>
      <c r="Q593" s="13"/>
      <c r="R593" s="13"/>
    </row>
    <row r="594" spans="15:18" ht="15.75" customHeight="1" x14ac:dyDescent="0.25">
      <c r="O594" s="13"/>
      <c r="P594" s="13"/>
      <c r="Q594" s="13"/>
      <c r="R594" s="13"/>
    </row>
    <row r="595" spans="15:18" ht="15.75" customHeight="1" x14ac:dyDescent="0.25">
      <c r="O595" s="13"/>
      <c r="P595" s="13"/>
      <c r="Q595" s="13"/>
      <c r="R595" s="13"/>
    </row>
    <row r="596" spans="15:18" ht="15.75" customHeight="1" x14ac:dyDescent="0.25">
      <c r="O596" s="13"/>
      <c r="P596" s="13"/>
      <c r="Q596" s="13"/>
      <c r="R596" s="13"/>
    </row>
    <row r="597" spans="15:18" ht="15.75" customHeight="1" x14ac:dyDescent="0.25">
      <c r="O597" s="13"/>
      <c r="P597" s="13"/>
      <c r="Q597" s="13"/>
      <c r="R597" s="13"/>
    </row>
    <row r="598" spans="15:18" ht="15.75" customHeight="1" x14ac:dyDescent="0.25">
      <c r="O598" s="13"/>
      <c r="P598" s="13"/>
      <c r="Q598" s="13"/>
      <c r="R598" s="13"/>
    </row>
    <row r="599" spans="15:18" ht="15.75" customHeight="1" x14ac:dyDescent="0.25">
      <c r="O599" s="13"/>
      <c r="P599" s="13"/>
      <c r="Q599" s="13"/>
      <c r="R599" s="13"/>
    </row>
    <row r="600" spans="15:18" ht="15.75" customHeight="1" x14ac:dyDescent="0.25">
      <c r="O600" s="13"/>
      <c r="P600" s="13"/>
      <c r="Q600" s="13"/>
      <c r="R600" s="13"/>
    </row>
    <row r="601" spans="15:18" ht="15.75" customHeight="1" x14ac:dyDescent="0.25">
      <c r="O601" s="13"/>
      <c r="P601" s="13"/>
      <c r="Q601" s="13"/>
      <c r="R601" s="13"/>
    </row>
    <row r="602" spans="15:18" ht="15.75" customHeight="1" x14ac:dyDescent="0.25">
      <c r="O602" s="13"/>
      <c r="P602" s="13"/>
      <c r="Q602" s="13"/>
      <c r="R602" s="13"/>
    </row>
    <row r="603" spans="15:18" ht="15.75" customHeight="1" x14ac:dyDescent="0.25">
      <c r="O603" s="13"/>
      <c r="P603" s="13"/>
      <c r="Q603" s="13"/>
      <c r="R603" s="13"/>
    </row>
    <row r="604" spans="15:18" ht="15.75" customHeight="1" x14ac:dyDescent="0.25">
      <c r="O604" s="13"/>
      <c r="P604" s="13"/>
      <c r="Q604" s="13"/>
      <c r="R604" s="13"/>
    </row>
    <row r="605" spans="15:18" ht="15.75" customHeight="1" x14ac:dyDescent="0.25">
      <c r="O605" s="13"/>
      <c r="P605" s="13"/>
      <c r="Q605" s="13"/>
      <c r="R605" s="13"/>
    </row>
    <row r="606" spans="15:18" ht="15.75" customHeight="1" x14ac:dyDescent="0.25">
      <c r="O606" s="13"/>
      <c r="P606" s="13"/>
      <c r="Q606" s="13"/>
      <c r="R606" s="13"/>
    </row>
    <row r="607" spans="15:18" ht="15.75" customHeight="1" x14ac:dyDescent="0.25">
      <c r="O607" s="13"/>
      <c r="P607" s="13"/>
      <c r="Q607" s="13"/>
      <c r="R607" s="13"/>
    </row>
    <row r="608" spans="15:18" ht="15.75" customHeight="1" x14ac:dyDescent="0.25">
      <c r="O608" s="13"/>
      <c r="P608" s="13"/>
      <c r="Q608" s="13"/>
      <c r="R608" s="13"/>
    </row>
    <row r="609" spans="15:18" ht="15.75" customHeight="1" x14ac:dyDescent="0.25">
      <c r="O609" s="13"/>
      <c r="P609" s="13"/>
      <c r="Q609" s="13"/>
      <c r="R609" s="13"/>
    </row>
    <row r="610" spans="15:18" ht="15.75" customHeight="1" x14ac:dyDescent="0.25">
      <c r="O610" s="13"/>
      <c r="P610" s="13"/>
      <c r="Q610" s="13"/>
      <c r="R610" s="13"/>
    </row>
    <row r="611" spans="15:18" ht="15.75" customHeight="1" x14ac:dyDescent="0.25">
      <c r="O611" s="13"/>
      <c r="P611" s="13"/>
      <c r="Q611" s="13"/>
      <c r="R611" s="13"/>
    </row>
    <row r="612" spans="15:18" ht="15.75" customHeight="1" x14ac:dyDescent="0.25">
      <c r="O612" s="13"/>
      <c r="P612" s="13"/>
      <c r="Q612" s="13"/>
      <c r="R612" s="13"/>
    </row>
    <row r="613" spans="15:18" ht="15.75" customHeight="1" x14ac:dyDescent="0.25">
      <c r="O613" s="13"/>
      <c r="P613" s="13"/>
      <c r="Q613" s="13"/>
      <c r="R613" s="13"/>
    </row>
    <row r="614" spans="15:18" ht="15.75" customHeight="1" x14ac:dyDescent="0.25">
      <c r="O614" s="13"/>
      <c r="P614" s="13"/>
      <c r="Q614" s="13"/>
      <c r="R614" s="13"/>
    </row>
    <row r="615" spans="15:18" ht="15.75" customHeight="1" x14ac:dyDescent="0.25">
      <c r="O615" s="13"/>
      <c r="P615" s="13"/>
      <c r="Q615" s="13"/>
      <c r="R615" s="13"/>
    </row>
    <row r="616" spans="15:18" ht="15.75" customHeight="1" x14ac:dyDescent="0.25">
      <c r="O616" s="13"/>
      <c r="P616" s="13"/>
      <c r="Q616" s="13"/>
      <c r="R616" s="13"/>
    </row>
    <row r="617" spans="15:18" ht="15.75" customHeight="1" x14ac:dyDescent="0.25">
      <c r="O617" s="13"/>
      <c r="P617" s="13"/>
      <c r="Q617" s="13"/>
      <c r="R617" s="13"/>
    </row>
    <row r="618" spans="15:18" ht="15.75" customHeight="1" x14ac:dyDescent="0.25">
      <c r="O618" s="13"/>
      <c r="P618" s="13"/>
      <c r="Q618" s="13"/>
      <c r="R618" s="13"/>
    </row>
    <row r="619" spans="15:18" ht="15.75" customHeight="1" x14ac:dyDescent="0.25">
      <c r="O619" s="13"/>
      <c r="P619" s="13"/>
      <c r="Q619" s="13"/>
      <c r="R619" s="13"/>
    </row>
    <row r="620" spans="15:18" ht="15.75" customHeight="1" x14ac:dyDescent="0.25">
      <c r="O620" s="13"/>
      <c r="P620" s="13"/>
      <c r="Q620" s="13"/>
      <c r="R620" s="13"/>
    </row>
    <row r="621" spans="15:18" ht="15.75" customHeight="1" x14ac:dyDescent="0.25">
      <c r="O621" s="13"/>
      <c r="P621" s="13"/>
      <c r="Q621" s="13"/>
      <c r="R621" s="13"/>
    </row>
    <row r="622" spans="15:18" ht="15.75" customHeight="1" x14ac:dyDescent="0.25">
      <c r="O622" s="13"/>
      <c r="P622" s="13"/>
      <c r="Q622" s="13"/>
      <c r="R622" s="13"/>
    </row>
    <row r="623" spans="15:18" ht="15.75" customHeight="1" x14ac:dyDescent="0.25">
      <c r="O623" s="13"/>
      <c r="P623" s="13"/>
      <c r="Q623" s="13"/>
      <c r="R623" s="13"/>
    </row>
    <row r="624" spans="15:18" ht="15.75" customHeight="1" x14ac:dyDescent="0.25">
      <c r="O624" s="13"/>
      <c r="P624" s="13"/>
      <c r="Q624" s="13"/>
      <c r="R624" s="13"/>
    </row>
    <row r="625" spans="15:18" ht="15.75" customHeight="1" x14ac:dyDescent="0.25">
      <c r="O625" s="13"/>
      <c r="P625" s="13"/>
      <c r="Q625" s="13"/>
      <c r="R625" s="13"/>
    </row>
    <row r="626" spans="15:18" ht="15.75" customHeight="1" x14ac:dyDescent="0.25">
      <c r="O626" s="13"/>
      <c r="P626" s="13"/>
      <c r="Q626" s="13"/>
      <c r="R626" s="13"/>
    </row>
    <row r="627" spans="15:18" ht="15.75" customHeight="1" x14ac:dyDescent="0.25">
      <c r="O627" s="13"/>
      <c r="P627" s="13"/>
      <c r="Q627" s="13"/>
      <c r="R627" s="13"/>
    </row>
    <row r="628" spans="15:18" ht="15.75" customHeight="1" x14ac:dyDescent="0.25">
      <c r="O628" s="13"/>
      <c r="P628" s="13"/>
      <c r="Q628" s="13"/>
      <c r="R628" s="13"/>
    </row>
    <row r="629" spans="15:18" ht="15.75" customHeight="1" x14ac:dyDescent="0.25">
      <c r="O629" s="13"/>
      <c r="P629" s="13"/>
      <c r="Q629" s="13"/>
      <c r="R629" s="13"/>
    </row>
    <row r="630" spans="15:18" ht="15.75" customHeight="1" x14ac:dyDescent="0.25">
      <c r="O630" s="13"/>
      <c r="P630" s="13"/>
      <c r="Q630" s="13"/>
      <c r="R630" s="13"/>
    </row>
    <row r="631" spans="15:18" ht="15.75" customHeight="1" x14ac:dyDescent="0.25">
      <c r="O631" s="13"/>
      <c r="P631" s="13"/>
      <c r="Q631" s="13"/>
      <c r="R631" s="13"/>
    </row>
    <row r="632" spans="15:18" ht="15.75" customHeight="1" x14ac:dyDescent="0.25">
      <c r="O632" s="13"/>
      <c r="P632" s="13"/>
      <c r="Q632" s="13"/>
      <c r="R632" s="13"/>
    </row>
    <row r="633" spans="15:18" ht="15.75" customHeight="1" x14ac:dyDescent="0.25">
      <c r="O633" s="13"/>
      <c r="P633" s="13"/>
      <c r="Q633" s="13"/>
      <c r="R633" s="13"/>
    </row>
    <row r="634" spans="15:18" ht="15.75" customHeight="1" x14ac:dyDescent="0.25">
      <c r="O634" s="13"/>
      <c r="P634" s="13"/>
      <c r="Q634" s="13"/>
      <c r="R634" s="13"/>
    </row>
    <row r="635" spans="15:18" ht="15.75" customHeight="1" x14ac:dyDescent="0.25">
      <c r="O635" s="13"/>
      <c r="P635" s="13"/>
      <c r="Q635" s="13"/>
      <c r="R635" s="13"/>
    </row>
    <row r="636" spans="15:18" ht="15.75" customHeight="1" x14ac:dyDescent="0.25">
      <c r="O636" s="13"/>
      <c r="P636" s="13"/>
      <c r="Q636" s="13"/>
      <c r="R636" s="13"/>
    </row>
    <row r="637" spans="15:18" ht="15.75" customHeight="1" x14ac:dyDescent="0.25">
      <c r="O637" s="13"/>
      <c r="P637" s="13"/>
      <c r="Q637" s="13"/>
      <c r="R637" s="13"/>
    </row>
    <row r="638" spans="15:18" ht="15.75" customHeight="1" x14ac:dyDescent="0.25">
      <c r="O638" s="13"/>
      <c r="P638" s="13"/>
      <c r="Q638" s="13"/>
      <c r="R638" s="13"/>
    </row>
    <row r="639" spans="15:18" ht="15.75" customHeight="1" x14ac:dyDescent="0.25">
      <c r="O639" s="13"/>
      <c r="P639" s="13"/>
      <c r="Q639" s="13"/>
      <c r="R639" s="13"/>
    </row>
    <row r="640" spans="15:18" ht="15.75" customHeight="1" x14ac:dyDescent="0.25">
      <c r="O640" s="13"/>
      <c r="P640" s="13"/>
      <c r="Q640" s="13"/>
      <c r="R640" s="13"/>
    </row>
    <row r="641" spans="15:18" ht="15.75" customHeight="1" x14ac:dyDescent="0.25">
      <c r="O641" s="13"/>
      <c r="P641" s="13"/>
      <c r="Q641" s="13"/>
      <c r="R641" s="13"/>
    </row>
    <row r="642" spans="15:18" ht="15.75" customHeight="1" x14ac:dyDescent="0.25">
      <c r="O642" s="13"/>
      <c r="P642" s="13"/>
      <c r="Q642" s="13"/>
      <c r="R642" s="13"/>
    </row>
    <row r="643" spans="15:18" ht="15.75" customHeight="1" x14ac:dyDescent="0.25">
      <c r="O643" s="13"/>
      <c r="P643" s="13"/>
      <c r="Q643" s="13"/>
      <c r="R643" s="13"/>
    </row>
    <row r="644" spans="15:18" ht="15.75" customHeight="1" x14ac:dyDescent="0.25">
      <c r="O644" s="13"/>
      <c r="P644" s="13"/>
      <c r="Q644" s="13"/>
      <c r="R644" s="13"/>
    </row>
    <row r="645" spans="15:18" ht="15.75" customHeight="1" x14ac:dyDescent="0.25">
      <c r="O645" s="13"/>
      <c r="P645" s="13"/>
      <c r="Q645" s="13"/>
      <c r="R645" s="13"/>
    </row>
    <row r="646" spans="15:18" ht="15.75" customHeight="1" x14ac:dyDescent="0.25">
      <c r="O646" s="13"/>
      <c r="P646" s="13"/>
      <c r="Q646" s="13"/>
      <c r="R646" s="13"/>
    </row>
    <row r="647" spans="15:18" ht="15.75" customHeight="1" x14ac:dyDescent="0.25">
      <c r="O647" s="13"/>
      <c r="P647" s="13"/>
      <c r="Q647" s="13"/>
      <c r="R647" s="13"/>
    </row>
    <row r="648" spans="15:18" ht="15.75" customHeight="1" x14ac:dyDescent="0.25">
      <c r="O648" s="13"/>
      <c r="P648" s="13"/>
      <c r="Q648" s="13"/>
      <c r="R648" s="13"/>
    </row>
    <row r="649" spans="15:18" ht="15.75" customHeight="1" x14ac:dyDescent="0.25">
      <c r="O649" s="13"/>
      <c r="P649" s="13"/>
      <c r="Q649" s="13"/>
      <c r="R649" s="13"/>
    </row>
    <row r="650" spans="15:18" ht="15.75" customHeight="1" x14ac:dyDescent="0.25">
      <c r="O650" s="13"/>
      <c r="P650" s="13"/>
      <c r="Q650" s="13"/>
      <c r="R650" s="13"/>
    </row>
    <row r="651" spans="15:18" ht="15.75" customHeight="1" x14ac:dyDescent="0.25">
      <c r="O651" s="13"/>
      <c r="P651" s="13"/>
      <c r="Q651" s="13"/>
      <c r="R651" s="13"/>
    </row>
    <row r="652" spans="15:18" ht="15.75" customHeight="1" x14ac:dyDescent="0.25">
      <c r="O652" s="13"/>
      <c r="P652" s="13"/>
      <c r="Q652" s="13"/>
      <c r="R652" s="13"/>
    </row>
    <row r="653" spans="15:18" ht="15.75" customHeight="1" x14ac:dyDescent="0.25">
      <c r="O653" s="13"/>
      <c r="P653" s="13"/>
      <c r="Q653" s="13"/>
      <c r="R653" s="13"/>
    </row>
    <row r="654" spans="15:18" ht="15.75" customHeight="1" x14ac:dyDescent="0.25">
      <c r="O654" s="13"/>
      <c r="P654" s="13"/>
      <c r="Q654" s="13"/>
      <c r="R654" s="13"/>
    </row>
    <row r="655" spans="15:18" ht="15.75" customHeight="1" x14ac:dyDescent="0.25">
      <c r="O655" s="13"/>
      <c r="P655" s="13"/>
      <c r="Q655" s="13"/>
      <c r="R655" s="13"/>
    </row>
    <row r="656" spans="15:18" ht="15.75" customHeight="1" x14ac:dyDescent="0.25">
      <c r="O656" s="13"/>
      <c r="P656" s="13"/>
      <c r="Q656" s="13"/>
      <c r="R656" s="13"/>
    </row>
    <row r="657" spans="15:18" ht="15.75" customHeight="1" x14ac:dyDescent="0.25">
      <c r="O657" s="13"/>
      <c r="P657" s="13"/>
      <c r="Q657" s="13"/>
      <c r="R657" s="13"/>
    </row>
    <row r="658" spans="15:18" ht="15.75" customHeight="1" x14ac:dyDescent="0.25">
      <c r="O658" s="13"/>
      <c r="P658" s="13"/>
      <c r="Q658" s="13"/>
      <c r="R658" s="13"/>
    </row>
    <row r="659" spans="15:18" ht="15.75" customHeight="1" x14ac:dyDescent="0.25">
      <c r="O659" s="13"/>
      <c r="P659" s="13"/>
      <c r="Q659" s="13"/>
      <c r="R659" s="13"/>
    </row>
    <row r="660" spans="15:18" ht="15.75" customHeight="1" x14ac:dyDescent="0.25">
      <c r="O660" s="13"/>
      <c r="P660" s="13"/>
      <c r="Q660" s="13"/>
      <c r="R660" s="13"/>
    </row>
    <row r="661" spans="15:18" ht="15.75" customHeight="1" x14ac:dyDescent="0.25">
      <c r="O661" s="13"/>
      <c r="P661" s="13"/>
      <c r="Q661" s="13"/>
      <c r="R661" s="13"/>
    </row>
    <row r="662" spans="15:18" ht="15.75" customHeight="1" x14ac:dyDescent="0.25">
      <c r="O662" s="13"/>
      <c r="P662" s="13"/>
      <c r="Q662" s="13"/>
      <c r="R662" s="13"/>
    </row>
    <row r="663" spans="15:18" ht="15.75" customHeight="1" x14ac:dyDescent="0.25">
      <c r="O663" s="13"/>
      <c r="P663" s="13"/>
      <c r="Q663" s="13"/>
      <c r="R663" s="13"/>
    </row>
    <row r="664" spans="15:18" ht="15.75" customHeight="1" x14ac:dyDescent="0.25">
      <c r="O664" s="13"/>
      <c r="P664" s="13"/>
      <c r="Q664" s="13"/>
      <c r="R664" s="13"/>
    </row>
    <row r="665" spans="15:18" ht="15.75" customHeight="1" x14ac:dyDescent="0.25">
      <c r="O665" s="13"/>
      <c r="P665" s="13"/>
      <c r="Q665" s="13"/>
      <c r="R665" s="13"/>
    </row>
    <row r="666" spans="15:18" ht="15.75" customHeight="1" x14ac:dyDescent="0.25">
      <c r="O666" s="13"/>
      <c r="P666" s="13"/>
      <c r="Q666" s="13"/>
      <c r="R666" s="13"/>
    </row>
    <row r="667" spans="15:18" ht="15.75" customHeight="1" x14ac:dyDescent="0.25">
      <c r="O667" s="13"/>
      <c r="P667" s="13"/>
      <c r="Q667" s="13"/>
      <c r="R667" s="13"/>
    </row>
    <row r="668" spans="15:18" ht="15.75" customHeight="1" x14ac:dyDescent="0.25">
      <c r="O668" s="13"/>
      <c r="P668" s="13"/>
      <c r="Q668" s="13"/>
      <c r="R668" s="13"/>
    </row>
    <row r="669" spans="15:18" ht="15.75" customHeight="1" x14ac:dyDescent="0.25">
      <c r="O669" s="13"/>
      <c r="P669" s="13"/>
      <c r="Q669" s="13"/>
      <c r="R669" s="13"/>
    </row>
    <row r="670" spans="15:18" ht="15.75" customHeight="1" x14ac:dyDescent="0.25">
      <c r="O670" s="13"/>
      <c r="P670" s="13"/>
      <c r="Q670" s="13"/>
      <c r="R670" s="13"/>
    </row>
    <row r="671" spans="15:18" ht="15.75" customHeight="1" x14ac:dyDescent="0.25">
      <c r="O671" s="13"/>
      <c r="P671" s="13"/>
      <c r="Q671" s="13"/>
      <c r="R671" s="13"/>
    </row>
    <row r="672" spans="15:18" ht="15.75" customHeight="1" x14ac:dyDescent="0.25">
      <c r="O672" s="13"/>
      <c r="P672" s="13"/>
      <c r="Q672" s="13"/>
      <c r="R672" s="13"/>
    </row>
    <row r="673" spans="15:18" ht="15.75" customHeight="1" x14ac:dyDescent="0.25">
      <c r="O673" s="13"/>
      <c r="P673" s="13"/>
      <c r="Q673" s="13"/>
      <c r="R673" s="13"/>
    </row>
    <row r="674" spans="15:18" ht="15.75" customHeight="1" x14ac:dyDescent="0.25">
      <c r="O674" s="13"/>
      <c r="P674" s="13"/>
      <c r="Q674" s="13"/>
      <c r="R674" s="13"/>
    </row>
    <row r="675" spans="15:18" ht="15.75" customHeight="1" x14ac:dyDescent="0.25">
      <c r="O675" s="13"/>
      <c r="P675" s="13"/>
      <c r="Q675" s="13"/>
      <c r="R675" s="13"/>
    </row>
    <row r="676" spans="15:18" ht="15.75" customHeight="1" x14ac:dyDescent="0.25">
      <c r="O676" s="13"/>
      <c r="P676" s="13"/>
      <c r="Q676" s="13"/>
      <c r="R676" s="13"/>
    </row>
    <row r="677" spans="15:18" ht="15.75" customHeight="1" x14ac:dyDescent="0.25">
      <c r="O677" s="13"/>
      <c r="P677" s="13"/>
      <c r="Q677" s="13"/>
      <c r="R677" s="13"/>
    </row>
    <row r="678" spans="15:18" ht="15.75" customHeight="1" x14ac:dyDescent="0.25">
      <c r="O678" s="13"/>
      <c r="P678" s="13"/>
      <c r="Q678" s="13"/>
      <c r="R678" s="13"/>
    </row>
    <row r="679" spans="15:18" ht="15.75" customHeight="1" x14ac:dyDescent="0.25">
      <c r="O679" s="13"/>
      <c r="P679" s="13"/>
      <c r="Q679" s="13"/>
      <c r="R679" s="13"/>
    </row>
    <row r="680" spans="15:18" ht="15.75" customHeight="1" x14ac:dyDescent="0.25">
      <c r="O680" s="13"/>
      <c r="P680" s="13"/>
      <c r="Q680" s="13"/>
      <c r="R680" s="13"/>
    </row>
    <row r="681" spans="15:18" ht="15.75" customHeight="1" x14ac:dyDescent="0.25">
      <c r="O681" s="13"/>
      <c r="P681" s="13"/>
      <c r="Q681" s="13"/>
      <c r="R681" s="13"/>
    </row>
    <row r="682" spans="15:18" ht="15.75" customHeight="1" x14ac:dyDescent="0.25">
      <c r="O682" s="13"/>
      <c r="P682" s="13"/>
      <c r="Q682" s="13"/>
      <c r="R682" s="13"/>
    </row>
    <row r="683" spans="15:18" ht="15.75" customHeight="1" x14ac:dyDescent="0.25">
      <c r="O683" s="13"/>
      <c r="P683" s="13"/>
      <c r="Q683" s="13"/>
      <c r="R683" s="13"/>
    </row>
    <row r="684" spans="15:18" ht="15.75" customHeight="1" x14ac:dyDescent="0.25">
      <c r="O684" s="13"/>
      <c r="P684" s="13"/>
      <c r="Q684" s="13"/>
      <c r="R684" s="13"/>
    </row>
    <row r="685" spans="15:18" ht="15.75" customHeight="1" x14ac:dyDescent="0.25">
      <c r="O685" s="13"/>
      <c r="P685" s="13"/>
      <c r="Q685" s="13"/>
      <c r="R685" s="13"/>
    </row>
    <row r="686" spans="15:18" ht="15.75" customHeight="1" x14ac:dyDescent="0.25">
      <c r="O686" s="13"/>
      <c r="P686" s="13"/>
      <c r="Q686" s="13"/>
      <c r="R686" s="13"/>
    </row>
    <row r="687" spans="15:18" ht="15.75" customHeight="1" x14ac:dyDescent="0.25">
      <c r="O687" s="13"/>
      <c r="P687" s="13"/>
      <c r="Q687" s="13"/>
      <c r="R687" s="13"/>
    </row>
    <row r="688" spans="15:18" ht="15.75" customHeight="1" x14ac:dyDescent="0.25">
      <c r="O688" s="13"/>
      <c r="P688" s="13"/>
      <c r="Q688" s="13"/>
      <c r="R688" s="13"/>
    </row>
    <row r="689" spans="15:18" ht="15.75" customHeight="1" x14ac:dyDescent="0.25">
      <c r="O689" s="13"/>
      <c r="P689" s="13"/>
      <c r="Q689" s="13"/>
      <c r="R689" s="13"/>
    </row>
    <row r="690" spans="15:18" ht="15.75" customHeight="1" x14ac:dyDescent="0.25">
      <c r="O690" s="13"/>
      <c r="P690" s="13"/>
      <c r="Q690" s="13"/>
      <c r="R690" s="13"/>
    </row>
    <row r="691" spans="15:18" ht="15.75" customHeight="1" x14ac:dyDescent="0.25">
      <c r="O691" s="13"/>
      <c r="P691" s="13"/>
      <c r="Q691" s="13"/>
      <c r="R691" s="13"/>
    </row>
    <row r="692" spans="15:18" ht="15.75" customHeight="1" x14ac:dyDescent="0.25">
      <c r="O692" s="13"/>
      <c r="P692" s="13"/>
      <c r="Q692" s="13"/>
      <c r="R692" s="13"/>
    </row>
    <row r="693" spans="15:18" ht="15.75" customHeight="1" x14ac:dyDescent="0.25">
      <c r="O693" s="13"/>
      <c r="P693" s="13"/>
      <c r="Q693" s="13"/>
      <c r="R693" s="13"/>
    </row>
    <row r="694" spans="15:18" ht="15.75" customHeight="1" x14ac:dyDescent="0.25">
      <c r="O694" s="13"/>
      <c r="P694" s="13"/>
      <c r="Q694" s="13"/>
      <c r="R694" s="13"/>
    </row>
    <row r="695" spans="15:18" ht="15.75" customHeight="1" x14ac:dyDescent="0.25">
      <c r="O695" s="13"/>
      <c r="P695" s="13"/>
      <c r="Q695" s="13"/>
      <c r="R695" s="13"/>
    </row>
    <row r="696" spans="15:18" ht="15.75" customHeight="1" x14ac:dyDescent="0.25">
      <c r="O696" s="13"/>
      <c r="P696" s="13"/>
      <c r="Q696" s="13"/>
      <c r="R696" s="13"/>
    </row>
    <row r="697" spans="15:18" ht="15.75" customHeight="1" x14ac:dyDescent="0.25">
      <c r="O697" s="13"/>
      <c r="P697" s="13"/>
      <c r="Q697" s="13"/>
      <c r="R697" s="13"/>
    </row>
    <row r="698" spans="15:18" ht="15.75" customHeight="1" x14ac:dyDescent="0.25">
      <c r="O698" s="13"/>
      <c r="P698" s="13"/>
      <c r="Q698" s="13"/>
      <c r="R698" s="13"/>
    </row>
    <row r="699" spans="15:18" ht="15.75" customHeight="1" x14ac:dyDescent="0.25">
      <c r="O699" s="13"/>
      <c r="P699" s="13"/>
      <c r="Q699" s="13"/>
      <c r="R699" s="13"/>
    </row>
    <row r="700" spans="15:18" ht="15.75" customHeight="1" x14ac:dyDescent="0.25">
      <c r="O700" s="13"/>
      <c r="P700" s="13"/>
      <c r="Q700" s="13"/>
      <c r="R700" s="13"/>
    </row>
    <row r="701" spans="15:18" ht="15.75" customHeight="1" x14ac:dyDescent="0.25">
      <c r="O701" s="13"/>
      <c r="P701" s="13"/>
      <c r="Q701" s="13"/>
      <c r="R701" s="13"/>
    </row>
    <row r="702" spans="15:18" ht="15.75" customHeight="1" x14ac:dyDescent="0.25">
      <c r="O702" s="13"/>
      <c r="P702" s="13"/>
      <c r="Q702" s="13"/>
      <c r="R702" s="13"/>
    </row>
    <row r="703" spans="15:18" ht="15.75" customHeight="1" x14ac:dyDescent="0.25">
      <c r="O703" s="13"/>
      <c r="P703" s="13"/>
      <c r="Q703" s="13"/>
      <c r="R703" s="13"/>
    </row>
    <row r="704" spans="15:18" ht="15.75" customHeight="1" x14ac:dyDescent="0.25">
      <c r="O704" s="13"/>
      <c r="P704" s="13"/>
      <c r="Q704" s="13"/>
      <c r="R704" s="13"/>
    </row>
    <row r="705" spans="15:18" ht="15.75" customHeight="1" x14ac:dyDescent="0.25">
      <c r="O705" s="13"/>
      <c r="P705" s="13"/>
      <c r="Q705" s="13"/>
      <c r="R705" s="13"/>
    </row>
    <row r="706" spans="15:18" ht="15.75" customHeight="1" x14ac:dyDescent="0.25">
      <c r="O706" s="13"/>
      <c r="P706" s="13"/>
      <c r="Q706" s="13"/>
      <c r="R706" s="13"/>
    </row>
    <row r="707" spans="15:18" ht="15.75" customHeight="1" x14ac:dyDescent="0.25">
      <c r="O707" s="13"/>
      <c r="P707" s="13"/>
      <c r="Q707" s="13"/>
      <c r="R707" s="13"/>
    </row>
    <row r="708" spans="15:18" ht="15.75" customHeight="1" x14ac:dyDescent="0.25">
      <c r="O708" s="13"/>
      <c r="P708" s="13"/>
      <c r="Q708" s="13"/>
      <c r="R708" s="13"/>
    </row>
    <row r="709" spans="15:18" ht="15.75" customHeight="1" x14ac:dyDescent="0.25">
      <c r="O709" s="13"/>
      <c r="P709" s="13"/>
      <c r="Q709" s="13"/>
      <c r="R709" s="13"/>
    </row>
    <row r="710" spans="15:18" ht="15.75" customHeight="1" x14ac:dyDescent="0.25">
      <c r="O710" s="13"/>
      <c r="P710" s="13"/>
      <c r="Q710" s="13"/>
      <c r="R710" s="13"/>
    </row>
    <row r="711" spans="15:18" ht="15.75" customHeight="1" x14ac:dyDescent="0.25">
      <c r="O711" s="13"/>
      <c r="P711" s="13"/>
      <c r="Q711" s="13"/>
      <c r="R711" s="13"/>
    </row>
    <row r="712" spans="15:18" ht="15.75" customHeight="1" x14ac:dyDescent="0.25">
      <c r="O712" s="13"/>
      <c r="P712" s="13"/>
      <c r="Q712" s="13"/>
      <c r="R712" s="13"/>
    </row>
    <row r="713" spans="15:18" ht="15.75" customHeight="1" x14ac:dyDescent="0.25">
      <c r="O713" s="13"/>
      <c r="P713" s="13"/>
      <c r="Q713" s="13"/>
      <c r="R713" s="13"/>
    </row>
    <row r="714" spans="15:18" ht="15.75" customHeight="1" x14ac:dyDescent="0.25">
      <c r="O714" s="13"/>
      <c r="P714" s="13"/>
      <c r="Q714" s="13"/>
      <c r="R714" s="13"/>
    </row>
    <row r="715" spans="15:18" ht="15.75" customHeight="1" x14ac:dyDescent="0.25">
      <c r="O715" s="13"/>
      <c r="P715" s="13"/>
      <c r="Q715" s="13"/>
      <c r="R715" s="13"/>
    </row>
    <row r="716" spans="15:18" ht="15.75" customHeight="1" x14ac:dyDescent="0.25">
      <c r="O716" s="13"/>
      <c r="P716" s="13"/>
      <c r="Q716" s="13"/>
      <c r="R716" s="13"/>
    </row>
    <row r="717" spans="15:18" ht="15.75" customHeight="1" x14ac:dyDescent="0.25">
      <c r="O717" s="13"/>
      <c r="P717" s="13"/>
      <c r="Q717" s="13"/>
      <c r="R717" s="13"/>
    </row>
    <row r="718" spans="15:18" ht="15.75" customHeight="1" x14ac:dyDescent="0.25">
      <c r="O718" s="13"/>
      <c r="P718" s="13"/>
      <c r="Q718" s="13"/>
      <c r="R718" s="13"/>
    </row>
    <row r="719" spans="15:18" ht="15.75" customHeight="1" x14ac:dyDescent="0.25">
      <c r="O719" s="13"/>
      <c r="P719" s="13"/>
      <c r="Q719" s="13"/>
      <c r="R719" s="13"/>
    </row>
    <row r="720" spans="15:18" ht="15.75" customHeight="1" x14ac:dyDescent="0.25">
      <c r="O720" s="13"/>
      <c r="P720" s="13"/>
      <c r="Q720" s="13"/>
      <c r="R720" s="13"/>
    </row>
    <row r="721" spans="15:18" ht="15.75" customHeight="1" x14ac:dyDescent="0.25">
      <c r="O721" s="13"/>
      <c r="P721" s="13"/>
      <c r="Q721" s="13"/>
      <c r="R721" s="13"/>
    </row>
    <row r="722" spans="15:18" ht="15.75" customHeight="1" x14ac:dyDescent="0.25">
      <c r="O722" s="13"/>
      <c r="P722" s="13"/>
      <c r="Q722" s="13"/>
      <c r="R722" s="13"/>
    </row>
    <row r="723" spans="15:18" ht="15.75" customHeight="1" x14ac:dyDescent="0.25">
      <c r="O723" s="13"/>
      <c r="P723" s="13"/>
      <c r="Q723" s="13"/>
      <c r="R723" s="13"/>
    </row>
    <row r="724" spans="15:18" ht="15.75" customHeight="1" x14ac:dyDescent="0.25">
      <c r="O724" s="13"/>
      <c r="P724" s="13"/>
      <c r="Q724" s="13"/>
      <c r="R724" s="13"/>
    </row>
    <row r="725" spans="15:18" ht="15.75" customHeight="1" x14ac:dyDescent="0.25">
      <c r="O725" s="13"/>
      <c r="P725" s="13"/>
      <c r="Q725" s="13"/>
      <c r="R725" s="13"/>
    </row>
    <row r="726" spans="15:18" ht="15.75" customHeight="1" x14ac:dyDescent="0.25">
      <c r="O726" s="13"/>
      <c r="P726" s="13"/>
      <c r="Q726" s="13"/>
      <c r="R726" s="13"/>
    </row>
    <row r="727" spans="15:18" ht="15.75" customHeight="1" x14ac:dyDescent="0.25">
      <c r="O727" s="13"/>
      <c r="P727" s="13"/>
      <c r="Q727" s="13"/>
      <c r="R727" s="13"/>
    </row>
    <row r="728" spans="15:18" ht="15.75" customHeight="1" x14ac:dyDescent="0.25">
      <c r="O728" s="13"/>
      <c r="P728" s="13"/>
      <c r="Q728" s="13"/>
      <c r="R728" s="13"/>
    </row>
    <row r="729" spans="15:18" ht="15.75" customHeight="1" x14ac:dyDescent="0.25">
      <c r="O729" s="13"/>
      <c r="P729" s="13"/>
      <c r="Q729" s="13"/>
      <c r="R729" s="13"/>
    </row>
    <row r="730" spans="15:18" ht="15.75" customHeight="1" x14ac:dyDescent="0.25">
      <c r="O730" s="13"/>
      <c r="P730" s="13"/>
      <c r="Q730" s="13"/>
      <c r="R730" s="13"/>
    </row>
    <row r="731" spans="15:18" ht="15.75" customHeight="1" x14ac:dyDescent="0.25">
      <c r="O731" s="13"/>
      <c r="P731" s="13"/>
      <c r="Q731" s="13"/>
      <c r="R731" s="13"/>
    </row>
    <row r="732" spans="15:18" ht="15.75" customHeight="1" x14ac:dyDescent="0.25">
      <c r="O732" s="13"/>
      <c r="P732" s="13"/>
      <c r="Q732" s="13"/>
      <c r="R732" s="13"/>
    </row>
    <row r="733" spans="15:18" ht="15.75" customHeight="1" x14ac:dyDescent="0.25">
      <c r="O733" s="13"/>
      <c r="P733" s="13"/>
      <c r="Q733" s="13"/>
      <c r="R733" s="13"/>
    </row>
    <row r="734" spans="15:18" ht="15.75" customHeight="1" x14ac:dyDescent="0.25">
      <c r="O734" s="13"/>
      <c r="P734" s="13"/>
      <c r="Q734" s="13"/>
      <c r="R734" s="13"/>
    </row>
    <row r="735" spans="15:18" ht="15.75" customHeight="1" x14ac:dyDescent="0.25">
      <c r="O735" s="13"/>
      <c r="P735" s="13"/>
      <c r="Q735" s="13"/>
      <c r="R735" s="13"/>
    </row>
    <row r="736" spans="15:18" ht="15.75" customHeight="1" x14ac:dyDescent="0.25">
      <c r="O736" s="13"/>
      <c r="P736" s="13"/>
      <c r="Q736" s="13"/>
      <c r="R736" s="13"/>
    </row>
    <row r="737" spans="15:18" ht="15.75" customHeight="1" x14ac:dyDescent="0.25">
      <c r="O737" s="13"/>
      <c r="P737" s="13"/>
      <c r="Q737" s="13"/>
      <c r="R737" s="13"/>
    </row>
    <row r="738" spans="15:18" ht="15.75" customHeight="1" x14ac:dyDescent="0.25">
      <c r="O738" s="13"/>
      <c r="P738" s="13"/>
      <c r="Q738" s="13"/>
      <c r="R738" s="13"/>
    </row>
    <row r="739" spans="15:18" ht="15.75" customHeight="1" x14ac:dyDescent="0.25">
      <c r="O739" s="13"/>
      <c r="P739" s="13"/>
      <c r="Q739" s="13"/>
      <c r="R739" s="13"/>
    </row>
    <row r="740" spans="15:18" ht="15.75" customHeight="1" x14ac:dyDescent="0.25">
      <c r="O740" s="13"/>
      <c r="P740" s="13"/>
      <c r="Q740" s="13"/>
      <c r="R740" s="13"/>
    </row>
    <row r="741" spans="15:18" ht="15.75" customHeight="1" x14ac:dyDescent="0.25">
      <c r="O741" s="13"/>
      <c r="P741" s="13"/>
      <c r="Q741" s="13"/>
      <c r="R741" s="13"/>
    </row>
    <row r="742" spans="15:18" ht="15.75" customHeight="1" x14ac:dyDescent="0.25">
      <c r="O742" s="13"/>
      <c r="P742" s="13"/>
      <c r="Q742" s="13"/>
      <c r="R742" s="13"/>
    </row>
    <row r="743" spans="15:18" ht="15.75" customHeight="1" x14ac:dyDescent="0.25">
      <c r="O743" s="13"/>
      <c r="P743" s="13"/>
      <c r="Q743" s="13"/>
      <c r="R743" s="13"/>
    </row>
    <row r="744" spans="15:18" ht="15.75" customHeight="1" x14ac:dyDescent="0.25">
      <c r="O744" s="13"/>
      <c r="P744" s="13"/>
      <c r="Q744" s="13"/>
      <c r="R744" s="13"/>
    </row>
    <row r="745" spans="15:18" ht="15.75" customHeight="1" x14ac:dyDescent="0.25">
      <c r="O745" s="13"/>
      <c r="P745" s="13"/>
      <c r="Q745" s="13"/>
      <c r="R745" s="13"/>
    </row>
    <row r="746" spans="15:18" ht="15.75" customHeight="1" x14ac:dyDescent="0.25">
      <c r="O746" s="13"/>
      <c r="P746" s="13"/>
      <c r="Q746" s="13"/>
      <c r="R746" s="13"/>
    </row>
    <row r="747" spans="15:18" ht="15.75" customHeight="1" x14ac:dyDescent="0.25">
      <c r="O747" s="13"/>
      <c r="P747" s="13"/>
      <c r="Q747" s="13"/>
      <c r="R747" s="13"/>
    </row>
    <row r="748" spans="15:18" ht="15.75" customHeight="1" x14ac:dyDescent="0.25">
      <c r="O748" s="13"/>
      <c r="P748" s="13"/>
      <c r="Q748" s="13"/>
      <c r="R748" s="13"/>
    </row>
    <row r="749" spans="15:18" ht="15.75" customHeight="1" x14ac:dyDescent="0.25">
      <c r="O749" s="13"/>
      <c r="P749" s="13"/>
      <c r="Q749" s="13"/>
      <c r="R749" s="13"/>
    </row>
    <row r="750" spans="15:18" ht="15.75" customHeight="1" x14ac:dyDescent="0.25">
      <c r="O750" s="13"/>
      <c r="P750" s="13"/>
      <c r="Q750" s="13"/>
      <c r="R750" s="13"/>
    </row>
    <row r="751" spans="15:18" ht="15.75" customHeight="1" x14ac:dyDescent="0.25">
      <c r="O751" s="13"/>
      <c r="P751" s="13"/>
      <c r="Q751" s="13"/>
      <c r="R751" s="13"/>
    </row>
    <row r="752" spans="15:18" ht="15.75" customHeight="1" x14ac:dyDescent="0.25">
      <c r="O752" s="13"/>
      <c r="P752" s="13"/>
      <c r="Q752" s="13"/>
      <c r="R752" s="13"/>
    </row>
    <row r="753" spans="15:18" ht="15.75" customHeight="1" x14ac:dyDescent="0.25">
      <c r="O753" s="13"/>
      <c r="P753" s="13"/>
      <c r="Q753" s="13"/>
      <c r="R753" s="13"/>
    </row>
    <row r="754" spans="15:18" ht="15.75" customHeight="1" x14ac:dyDescent="0.25">
      <c r="O754" s="13"/>
      <c r="P754" s="13"/>
      <c r="Q754" s="13"/>
      <c r="R754" s="13"/>
    </row>
    <row r="755" spans="15:18" ht="15.75" customHeight="1" x14ac:dyDescent="0.25">
      <c r="O755" s="13"/>
      <c r="P755" s="13"/>
      <c r="Q755" s="13"/>
      <c r="R755" s="13"/>
    </row>
    <row r="756" spans="15:18" ht="15.75" customHeight="1" x14ac:dyDescent="0.25">
      <c r="O756" s="13"/>
      <c r="P756" s="13"/>
      <c r="Q756" s="13"/>
      <c r="R756" s="13"/>
    </row>
    <row r="757" spans="15:18" ht="15.75" customHeight="1" x14ac:dyDescent="0.25">
      <c r="O757" s="13"/>
      <c r="P757" s="13"/>
      <c r="Q757" s="13"/>
      <c r="R757" s="13"/>
    </row>
    <row r="758" spans="15:18" ht="15.75" customHeight="1" x14ac:dyDescent="0.25">
      <c r="O758" s="13"/>
      <c r="P758" s="13"/>
      <c r="Q758" s="13"/>
      <c r="R758" s="13"/>
    </row>
    <row r="759" spans="15:18" ht="15.75" customHeight="1" x14ac:dyDescent="0.25">
      <c r="O759" s="13"/>
      <c r="P759" s="13"/>
      <c r="Q759" s="13"/>
      <c r="R759" s="13"/>
    </row>
    <row r="760" spans="15:18" ht="15.75" customHeight="1" x14ac:dyDescent="0.25">
      <c r="O760" s="13"/>
      <c r="P760" s="13"/>
      <c r="Q760" s="13"/>
      <c r="R760" s="13"/>
    </row>
    <row r="761" spans="15:18" ht="15.75" customHeight="1" x14ac:dyDescent="0.25">
      <c r="O761" s="13"/>
      <c r="P761" s="13"/>
      <c r="Q761" s="13"/>
      <c r="R761" s="13"/>
    </row>
    <row r="762" spans="15:18" ht="15.75" customHeight="1" x14ac:dyDescent="0.25">
      <c r="O762" s="13"/>
      <c r="P762" s="13"/>
      <c r="Q762" s="13"/>
      <c r="R762" s="13"/>
    </row>
    <row r="763" spans="15:18" ht="15.75" customHeight="1" x14ac:dyDescent="0.25">
      <c r="O763" s="13"/>
      <c r="P763" s="13"/>
      <c r="Q763" s="13"/>
      <c r="R763" s="13"/>
    </row>
    <row r="764" spans="15:18" ht="15.75" customHeight="1" x14ac:dyDescent="0.25">
      <c r="O764" s="13"/>
      <c r="P764" s="13"/>
      <c r="Q764" s="13"/>
      <c r="R764" s="13"/>
    </row>
    <row r="765" spans="15:18" ht="15.75" customHeight="1" x14ac:dyDescent="0.25">
      <c r="O765" s="13"/>
      <c r="P765" s="13"/>
      <c r="Q765" s="13"/>
      <c r="R765" s="13"/>
    </row>
    <row r="766" spans="15:18" ht="15.75" customHeight="1" x14ac:dyDescent="0.25">
      <c r="O766" s="13"/>
      <c r="P766" s="13"/>
      <c r="Q766" s="13"/>
      <c r="R766" s="13"/>
    </row>
    <row r="767" spans="15:18" ht="15.75" customHeight="1" x14ac:dyDescent="0.25">
      <c r="O767" s="13"/>
      <c r="P767" s="13"/>
      <c r="Q767" s="13"/>
      <c r="R767" s="13"/>
    </row>
    <row r="768" spans="15:18" ht="15.75" customHeight="1" x14ac:dyDescent="0.25">
      <c r="O768" s="13"/>
      <c r="P768" s="13"/>
      <c r="Q768" s="13"/>
      <c r="R768" s="13"/>
    </row>
    <row r="769" spans="15:18" ht="15.75" customHeight="1" x14ac:dyDescent="0.25">
      <c r="O769" s="13"/>
      <c r="P769" s="13"/>
      <c r="Q769" s="13"/>
      <c r="R769" s="13"/>
    </row>
    <row r="770" spans="15:18" ht="15.75" customHeight="1" x14ac:dyDescent="0.25">
      <c r="O770" s="13"/>
      <c r="P770" s="13"/>
      <c r="Q770" s="13"/>
      <c r="R770" s="13"/>
    </row>
    <row r="771" spans="15:18" ht="15.75" customHeight="1" x14ac:dyDescent="0.25">
      <c r="O771" s="13"/>
      <c r="P771" s="13"/>
      <c r="Q771" s="13"/>
      <c r="R771" s="13"/>
    </row>
    <row r="772" spans="15:18" ht="15.75" customHeight="1" x14ac:dyDescent="0.25">
      <c r="O772" s="13"/>
      <c r="P772" s="13"/>
      <c r="Q772" s="13"/>
      <c r="R772" s="13"/>
    </row>
    <row r="773" spans="15:18" ht="15.75" customHeight="1" x14ac:dyDescent="0.25">
      <c r="O773" s="13"/>
      <c r="P773" s="13"/>
      <c r="Q773" s="13"/>
      <c r="R773" s="13"/>
    </row>
    <row r="774" spans="15:18" ht="15.75" customHeight="1" x14ac:dyDescent="0.25">
      <c r="O774" s="13"/>
      <c r="P774" s="13"/>
      <c r="Q774" s="13"/>
      <c r="R774" s="13"/>
    </row>
    <row r="775" spans="15:18" ht="15.75" customHeight="1" x14ac:dyDescent="0.25">
      <c r="O775" s="13"/>
      <c r="P775" s="13"/>
      <c r="Q775" s="13"/>
      <c r="R775" s="13"/>
    </row>
    <row r="776" spans="15:18" ht="15.75" customHeight="1" x14ac:dyDescent="0.25">
      <c r="O776" s="13"/>
      <c r="P776" s="13"/>
      <c r="Q776" s="13"/>
      <c r="R776" s="13"/>
    </row>
    <row r="777" spans="15:18" ht="15.75" customHeight="1" x14ac:dyDescent="0.25">
      <c r="O777" s="13"/>
      <c r="P777" s="13"/>
      <c r="Q777" s="13"/>
      <c r="R777" s="13"/>
    </row>
    <row r="778" spans="15:18" ht="15.75" customHeight="1" x14ac:dyDescent="0.25">
      <c r="O778" s="13"/>
      <c r="P778" s="13"/>
      <c r="Q778" s="13"/>
      <c r="R778" s="13"/>
    </row>
    <row r="779" spans="15:18" ht="15.75" customHeight="1" x14ac:dyDescent="0.25">
      <c r="O779" s="13"/>
      <c r="P779" s="13"/>
      <c r="Q779" s="13"/>
      <c r="R779" s="13"/>
    </row>
    <row r="780" spans="15:18" ht="15.75" customHeight="1" x14ac:dyDescent="0.25">
      <c r="O780" s="13"/>
      <c r="P780" s="13"/>
      <c r="Q780" s="13"/>
      <c r="R780" s="13"/>
    </row>
    <row r="781" spans="15:18" ht="15.75" customHeight="1" x14ac:dyDescent="0.25">
      <c r="O781" s="13"/>
      <c r="P781" s="13"/>
      <c r="Q781" s="13"/>
      <c r="R781" s="13"/>
    </row>
    <row r="782" spans="15:18" ht="15.75" customHeight="1" x14ac:dyDescent="0.25">
      <c r="O782" s="13"/>
      <c r="P782" s="13"/>
      <c r="Q782" s="13"/>
      <c r="R782" s="13"/>
    </row>
    <row r="783" spans="15:18" ht="15.75" customHeight="1" x14ac:dyDescent="0.25">
      <c r="O783" s="13"/>
      <c r="P783" s="13"/>
      <c r="Q783" s="13"/>
      <c r="R783" s="13"/>
    </row>
    <row r="784" spans="15:18" ht="15.75" customHeight="1" x14ac:dyDescent="0.25">
      <c r="O784" s="13"/>
      <c r="P784" s="13"/>
      <c r="Q784" s="13"/>
      <c r="R784" s="13"/>
    </row>
    <row r="785" spans="15:18" ht="15.75" customHeight="1" x14ac:dyDescent="0.25">
      <c r="O785" s="13"/>
      <c r="P785" s="13"/>
      <c r="Q785" s="13"/>
      <c r="R785" s="13"/>
    </row>
    <row r="786" spans="15:18" ht="15.75" customHeight="1" x14ac:dyDescent="0.25">
      <c r="O786" s="13"/>
      <c r="P786" s="13"/>
      <c r="Q786" s="13"/>
      <c r="R786" s="13"/>
    </row>
    <row r="787" spans="15:18" ht="15.75" customHeight="1" x14ac:dyDescent="0.25">
      <c r="O787" s="13"/>
      <c r="P787" s="13"/>
      <c r="Q787" s="13"/>
      <c r="R787" s="13"/>
    </row>
    <row r="788" spans="15:18" ht="15.75" customHeight="1" x14ac:dyDescent="0.25">
      <c r="O788" s="13"/>
      <c r="P788" s="13"/>
      <c r="Q788" s="13"/>
      <c r="R788" s="13"/>
    </row>
    <row r="789" spans="15:18" ht="15.75" customHeight="1" x14ac:dyDescent="0.25">
      <c r="O789" s="13"/>
      <c r="P789" s="13"/>
      <c r="Q789" s="13"/>
      <c r="R789" s="13"/>
    </row>
    <row r="790" spans="15:18" ht="15.75" customHeight="1" x14ac:dyDescent="0.25">
      <c r="O790" s="13"/>
      <c r="P790" s="13"/>
      <c r="Q790" s="13"/>
      <c r="R790" s="13"/>
    </row>
    <row r="791" spans="15:18" ht="15.75" customHeight="1" x14ac:dyDescent="0.25">
      <c r="O791" s="13"/>
      <c r="P791" s="13"/>
      <c r="Q791" s="13"/>
      <c r="R791" s="13"/>
    </row>
    <row r="792" spans="15:18" ht="15.75" customHeight="1" x14ac:dyDescent="0.25">
      <c r="O792" s="13"/>
      <c r="P792" s="13"/>
      <c r="Q792" s="13"/>
      <c r="R792" s="13"/>
    </row>
    <row r="793" spans="15:18" ht="15.75" customHeight="1" x14ac:dyDescent="0.25">
      <c r="O793" s="13"/>
      <c r="P793" s="13"/>
      <c r="Q793" s="13"/>
      <c r="R793" s="13"/>
    </row>
    <row r="794" spans="15:18" ht="15.75" customHeight="1" x14ac:dyDescent="0.25">
      <c r="O794" s="13"/>
      <c r="P794" s="13"/>
      <c r="Q794" s="13"/>
      <c r="R794" s="13"/>
    </row>
    <row r="795" spans="15:18" ht="15.75" customHeight="1" x14ac:dyDescent="0.25">
      <c r="O795" s="13"/>
      <c r="P795" s="13"/>
      <c r="Q795" s="13"/>
      <c r="R795" s="13"/>
    </row>
    <row r="796" spans="15:18" ht="15.75" customHeight="1" x14ac:dyDescent="0.25">
      <c r="O796" s="13"/>
      <c r="P796" s="13"/>
      <c r="Q796" s="13"/>
      <c r="R796" s="13"/>
    </row>
    <row r="797" spans="15:18" ht="15.75" customHeight="1" x14ac:dyDescent="0.25">
      <c r="O797" s="13"/>
      <c r="P797" s="13"/>
      <c r="Q797" s="13"/>
      <c r="R797" s="13"/>
    </row>
    <row r="798" spans="15:18" ht="15.75" customHeight="1" x14ac:dyDescent="0.25">
      <c r="O798" s="13"/>
      <c r="P798" s="13"/>
      <c r="Q798" s="13"/>
      <c r="R798" s="13"/>
    </row>
    <row r="799" spans="15:18" ht="15.75" customHeight="1" x14ac:dyDescent="0.25">
      <c r="O799" s="13"/>
      <c r="P799" s="13"/>
      <c r="Q799" s="13"/>
      <c r="R799" s="13"/>
    </row>
    <row r="800" spans="15:18" ht="15.75" customHeight="1" x14ac:dyDescent="0.25">
      <c r="O800" s="13"/>
      <c r="P800" s="13"/>
      <c r="Q800" s="13"/>
      <c r="R800" s="13"/>
    </row>
    <row r="801" spans="15:18" ht="15.75" customHeight="1" x14ac:dyDescent="0.25">
      <c r="O801" s="13"/>
      <c r="P801" s="13"/>
      <c r="Q801" s="13"/>
      <c r="R801" s="13"/>
    </row>
    <row r="802" spans="15:18" ht="15.75" customHeight="1" x14ac:dyDescent="0.25">
      <c r="O802" s="13"/>
      <c r="P802" s="13"/>
      <c r="Q802" s="13"/>
      <c r="R802" s="13"/>
    </row>
    <row r="803" spans="15:18" ht="15.75" customHeight="1" x14ac:dyDescent="0.25">
      <c r="O803" s="13"/>
      <c r="P803" s="13"/>
      <c r="Q803" s="13"/>
      <c r="R803" s="13"/>
    </row>
    <row r="804" spans="15:18" ht="15.75" customHeight="1" x14ac:dyDescent="0.25">
      <c r="O804" s="13"/>
      <c r="P804" s="13"/>
      <c r="Q804" s="13"/>
      <c r="R804" s="13"/>
    </row>
    <row r="805" spans="15:18" ht="15.75" customHeight="1" x14ac:dyDescent="0.25">
      <c r="O805" s="13"/>
      <c r="P805" s="13"/>
      <c r="Q805" s="13"/>
      <c r="R805" s="13"/>
    </row>
    <row r="806" spans="15:18" ht="15.75" customHeight="1" x14ac:dyDescent="0.25">
      <c r="O806" s="13"/>
      <c r="P806" s="13"/>
      <c r="Q806" s="13"/>
      <c r="R806" s="13"/>
    </row>
    <row r="807" spans="15:18" ht="15.75" customHeight="1" x14ac:dyDescent="0.25">
      <c r="O807" s="13"/>
      <c r="P807" s="13"/>
      <c r="Q807" s="13"/>
      <c r="R807" s="13"/>
    </row>
    <row r="808" spans="15:18" ht="15.75" customHeight="1" x14ac:dyDescent="0.25">
      <c r="O808" s="13"/>
      <c r="P808" s="13"/>
      <c r="Q808" s="13"/>
      <c r="R808" s="13"/>
    </row>
    <row r="809" spans="15:18" ht="15.75" customHeight="1" x14ac:dyDescent="0.25">
      <c r="O809" s="13"/>
      <c r="P809" s="13"/>
      <c r="Q809" s="13"/>
      <c r="R809" s="13"/>
    </row>
    <row r="810" spans="15:18" ht="15.75" customHeight="1" x14ac:dyDescent="0.25">
      <c r="O810" s="13"/>
      <c r="P810" s="13"/>
      <c r="Q810" s="13"/>
      <c r="R810" s="13"/>
    </row>
    <row r="811" spans="15:18" ht="15.75" customHeight="1" x14ac:dyDescent="0.25">
      <c r="O811" s="13"/>
      <c r="P811" s="13"/>
      <c r="Q811" s="13"/>
      <c r="R811" s="13"/>
    </row>
    <row r="812" spans="15:18" ht="15.75" customHeight="1" x14ac:dyDescent="0.25">
      <c r="O812" s="13"/>
      <c r="P812" s="13"/>
      <c r="Q812" s="13"/>
      <c r="R812" s="13"/>
    </row>
    <row r="813" spans="15:18" ht="15.75" customHeight="1" x14ac:dyDescent="0.25">
      <c r="O813" s="13"/>
      <c r="P813" s="13"/>
      <c r="Q813" s="13"/>
      <c r="R813" s="13"/>
    </row>
    <row r="814" spans="15:18" ht="15.75" customHeight="1" x14ac:dyDescent="0.25">
      <c r="O814" s="13"/>
      <c r="P814" s="13"/>
      <c r="Q814" s="13"/>
      <c r="R814" s="13"/>
    </row>
    <row r="815" spans="15:18" ht="15.75" customHeight="1" x14ac:dyDescent="0.25">
      <c r="O815" s="13"/>
      <c r="P815" s="13"/>
      <c r="Q815" s="13"/>
      <c r="R815" s="13"/>
    </row>
    <row r="816" spans="15:18" ht="15.75" customHeight="1" x14ac:dyDescent="0.25">
      <c r="O816" s="13"/>
      <c r="P816" s="13"/>
      <c r="Q816" s="13"/>
      <c r="R816" s="13"/>
    </row>
    <row r="817" spans="15:18" ht="15.75" customHeight="1" x14ac:dyDescent="0.25">
      <c r="O817" s="13"/>
      <c r="P817" s="13"/>
      <c r="Q817" s="13"/>
      <c r="R817" s="13"/>
    </row>
    <row r="818" spans="15:18" ht="15.75" customHeight="1" x14ac:dyDescent="0.25">
      <c r="O818" s="13"/>
      <c r="P818" s="13"/>
      <c r="Q818" s="13"/>
      <c r="R818" s="13"/>
    </row>
    <row r="819" spans="15:18" ht="15.75" customHeight="1" x14ac:dyDescent="0.25">
      <c r="O819" s="13"/>
      <c r="P819" s="13"/>
      <c r="Q819" s="13"/>
      <c r="R819" s="13"/>
    </row>
    <row r="820" spans="15:18" ht="15.75" customHeight="1" x14ac:dyDescent="0.25">
      <c r="O820" s="13"/>
      <c r="P820" s="13"/>
      <c r="Q820" s="13"/>
      <c r="R820" s="13"/>
    </row>
    <row r="821" spans="15:18" ht="15.75" customHeight="1" x14ac:dyDescent="0.25">
      <c r="O821" s="13"/>
      <c r="P821" s="13"/>
      <c r="Q821" s="13"/>
      <c r="R821" s="13"/>
    </row>
    <row r="822" spans="15:18" ht="15.75" customHeight="1" x14ac:dyDescent="0.25">
      <c r="O822" s="13"/>
      <c r="P822" s="13"/>
      <c r="Q822" s="13"/>
      <c r="R822" s="13"/>
    </row>
    <row r="823" spans="15:18" ht="15.75" customHeight="1" x14ac:dyDescent="0.25">
      <c r="O823" s="13"/>
      <c r="P823" s="13"/>
      <c r="Q823" s="13"/>
      <c r="R823" s="13"/>
    </row>
    <row r="824" spans="15:18" ht="15.75" customHeight="1" x14ac:dyDescent="0.25">
      <c r="O824" s="13"/>
      <c r="P824" s="13"/>
      <c r="Q824" s="13"/>
      <c r="R824" s="13"/>
    </row>
    <row r="825" spans="15:18" ht="15.75" customHeight="1" x14ac:dyDescent="0.25">
      <c r="O825" s="13"/>
      <c r="P825" s="13"/>
      <c r="Q825" s="13"/>
      <c r="R825" s="13"/>
    </row>
    <row r="826" spans="15:18" ht="15.75" customHeight="1" x14ac:dyDescent="0.25">
      <c r="O826" s="13"/>
      <c r="P826" s="13"/>
      <c r="Q826" s="13"/>
      <c r="R826" s="13"/>
    </row>
    <row r="827" spans="15:18" ht="15.75" customHeight="1" x14ac:dyDescent="0.25">
      <c r="O827" s="13"/>
      <c r="P827" s="13"/>
      <c r="Q827" s="13"/>
      <c r="R827" s="13"/>
    </row>
    <row r="828" spans="15:18" ht="15.75" customHeight="1" x14ac:dyDescent="0.25">
      <c r="O828" s="13"/>
      <c r="P828" s="13"/>
      <c r="Q828" s="13"/>
      <c r="R828" s="13"/>
    </row>
    <row r="829" spans="15:18" ht="15.75" customHeight="1" x14ac:dyDescent="0.25">
      <c r="O829" s="13"/>
      <c r="P829" s="13"/>
      <c r="Q829" s="13"/>
      <c r="R829" s="13"/>
    </row>
    <row r="830" spans="15:18" ht="15.75" customHeight="1" x14ac:dyDescent="0.25">
      <c r="O830" s="13"/>
      <c r="P830" s="13"/>
      <c r="Q830" s="13"/>
      <c r="R830" s="13"/>
    </row>
    <row r="831" spans="15:18" ht="15.75" customHeight="1" x14ac:dyDescent="0.25">
      <c r="O831" s="13"/>
      <c r="P831" s="13"/>
      <c r="Q831" s="13"/>
      <c r="R831" s="13"/>
    </row>
    <row r="832" spans="15:18" ht="15.75" customHeight="1" x14ac:dyDescent="0.25">
      <c r="O832" s="13"/>
      <c r="P832" s="13"/>
      <c r="Q832" s="13"/>
      <c r="R832" s="13"/>
    </row>
    <row r="833" spans="15:18" ht="15.75" customHeight="1" x14ac:dyDescent="0.25">
      <c r="O833" s="13"/>
      <c r="P833" s="13"/>
      <c r="Q833" s="13"/>
      <c r="R833" s="13"/>
    </row>
    <row r="834" spans="15:18" ht="15.75" customHeight="1" x14ac:dyDescent="0.25">
      <c r="O834" s="13"/>
      <c r="P834" s="13"/>
      <c r="Q834" s="13"/>
      <c r="R834" s="13"/>
    </row>
    <row r="835" spans="15:18" ht="15.75" customHeight="1" x14ac:dyDescent="0.25">
      <c r="O835" s="13"/>
      <c r="P835" s="13"/>
      <c r="Q835" s="13"/>
      <c r="R835" s="13"/>
    </row>
    <row r="836" spans="15:18" ht="15.75" customHeight="1" x14ac:dyDescent="0.25">
      <c r="O836" s="13"/>
      <c r="P836" s="13"/>
      <c r="Q836" s="13"/>
      <c r="R836" s="13"/>
    </row>
    <row r="837" spans="15:18" ht="15.75" customHeight="1" x14ac:dyDescent="0.25">
      <c r="O837" s="13"/>
      <c r="P837" s="13"/>
      <c r="Q837" s="13"/>
      <c r="R837" s="13"/>
    </row>
    <row r="838" spans="15:18" ht="15.75" customHeight="1" x14ac:dyDescent="0.25">
      <c r="O838" s="13"/>
      <c r="P838" s="13"/>
      <c r="Q838" s="13"/>
      <c r="R838" s="13"/>
    </row>
    <row r="839" spans="15:18" ht="15.75" customHeight="1" x14ac:dyDescent="0.25">
      <c r="O839" s="13"/>
      <c r="P839" s="13"/>
      <c r="Q839" s="13"/>
      <c r="R839" s="13"/>
    </row>
    <row r="840" spans="15:18" ht="15.75" customHeight="1" x14ac:dyDescent="0.25">
      <c r="O840" s="13"/>
      <c r="P840" s="13"/>
      <c r="Q840" s="13"/>
      <c r="R840" s="13"/>
    </row>
    <row r="841" spans="15:18" ht="15.75" customHeight="1" x14ac:dyDescent="0.25">
      <c r="O841" s="13"/>
      <c r="P841" s="13"/>
      <c r="Q841" s="13"/>
      <c r="R841" s="13"/>
    </row>
    <row r="842" spans="15:18" ht="15.75" customHeight="1" x14ac:dyDescent="0.25">
      <c r="O842" s="13"/>
      <c r="P842" s="13"/>
      <c r="Q842" s="13"/>
      <c r="R842" s="13"/>
    </row>
    <row r="843" spans="15:18" ht="15.75" customHeight="1" x14ac:dyDescent="0.25">
      <c r="O843" s="13"/>
      <c r="P843" s="13"/>
      <c r="Q843" s="13"/>
      <c r="R843" s="13"/>
    </row>
    <row r="844" spans="15:18" ht="15.75" customHeight="1" x14ac:dyDescent="0.25">
      <c r="O844" s="13"/>
      <c r="P844" s="13"/>
      <c r="Q844" s="13"/>
      <c r="R844" s="13"/>
    </row>
    <row r="845" spans="15:18" ht="15.75" customHeight="1" x14ac:dyDescent="0.25">
      <c r="O845" s="13"/>
      <c r="P845" s="13"/>
      <c r="Q845" s="13"/>
      <c r="R845" s="13"/>
    </row>
    <row r="846" spans="15:18" ht="15.75" customHeight="1" x14ac:dyDescent="0.25">
      <c r="O846" s="13"/>
      <c r="P846" s="13"/>
      <c r="Q846" s="13"/>
      <c r="R846" s="13"/>
    </row>
    <row r="847" spans="15:18" ht="15.75" customHeight="1" x14ac:dyDescent="0.25">
      <c r="O847" s="13"/>
      <c r="P847" s="13"/>
      <c r="Q847" s="13"/>
      <c r="R847" s="13"/>
    </row>
    <row r="848" spans="15:18" ht="15.75" customHeight="1" x14ac:dyDescent="0.25">
      <c r="O848" s="13"/>
      <c r="P848" s="13"/>
      <c r="Q848" s="13"/>
      <c r="R848" s="13"/>
    </row>
    <row r="849" spans="15:18" ht="15.75" customHeight="1" x14ac:dyDescent="0.25">
      <c r="O849" s="13"/>
      <c r="P849" s="13"/>
      <c r="Q849" s="13"/>
      <c r="R849" s="13"/>
    </row>
    <row r="850" spans="15:18" ht="15.75" customHeight="1" x14ac:dyDescent="0.25">
      <c r="O850" s="13"/>
      <c r="P850" s="13"/>
      <c r="Q850" s="13"/>
      <c r="R850" s="13"/>
    </row>
    <row r="851" spans="15:18" ht="15.75" customHeight="1" x14ac:dyDescent="0.25">
      <c r="O851" s="13"/>
      <c r="P851" s="13"/>
      <c r="Q851" s="13"/>
      <c r="R851" s="13"/>
    </row>
    <row r="852" spans="15:18" ht="15.75" customHeight="1" x14ac:dyDescent="0.25">
      <c r="O852" s="13"/>
      <c r="P852" s="13"/>
      <c r="Q852" s="13"/>
      <c r="R852" s="13"/>
    </row>
    <row r="853" spans="15:18" ht="15.75" customHeight="1" x14ac:dyDescent="0.25">
      <c r="O853" s="13"/>
      <c r="P853" s="13"/>
      <c r="Q853" s="13"/>
      <c r="R853" s="13"/>
    </row>
    <row r="854" spans="15:18" ht="15.75" customHeight="1" x14ac:dyDescent="0.25">
      <c r="O854" s="13"/>
      <c r="P854" s="13"/>
      <c r="Q854" s="13"/>
      <c r="R854" s="13"/>
    </row>
    <row r="855" spans="15:18" ht="15.75" customHeight="1" x14ac:dyDescent="0.25">
      <c r="O855" s="13"/>
      <c r="P855" s="13"/>
      <c r="Q855" s="13"/>
      <c r="R855" s="13"/>
    </row>
    <row r="856" spans="15:18" ht="15.75" customHeight="1" x14ac:dyDescent="0.25">
      <c r="O856" s="13"/>
      <c r="P856" s="13"/>
      <c r="Q856" s="13"/>
      <c r="R856" s="13"/>
    </row>
    <row r="857" spans="15:18" ht="15.75" customHeight="1" x14ac:dyDescent="0.25">
      <c r="O857" s="13"/>
      <c r="P857" s="13"/>
      <c r="Q857" s="13"/>
      <c r="R857" s="13"/>
    </row>
    <row r="858" spans="15:18" ht="15.75" customHeight="1" x14ac:dyDescent="0.25">
      <c r="O858" s="13"/>
      <c r="P858" s="13"/>
      <c r="Q858" s="13"/>
      <c r="R858" s="13"/>
    </row>
    <row r="859" spans="15:18" ht="15.75" customHeight="1" x14ac:dyDescent="0.25">
      <c r="O859" s="13"/>
      <c r="P859" s="13"/>
      <c r="Q859" s="13"/>
      <c r="R859" s="13"/>
    </row>
    <row r="860" spans="15:18" ht="15.75" customHeight="1" x14ac:dyDescent="0.25">
      <c r="O860" s="13"/>
      <c r="P860" s="13"/>
      <c r="Q860" s="13"/>
      <c r="R860" s="13"/>
    </row>
    <row r="861" spans="15:18" ht="15.75" customHeight="1" x14ac:dyDescent="0.25">
      <c r="O861" s="13"/>
      <c r="P861" s="13"/>
      <c r="Q861" s="13"/>
      <c r="R861" s="13"/>
    </row>
    <row r="862" spans="15:18" ht="15.75" customHeight="1" x14ac:dyDescent="0.25">
      <c r="O862" s="13"/>
      <c r="P862" s="13"/>
      <c r="Q862" s="13"/>
      <c r="R862" s="13"/>
    </row>
    <row r="863" spans="15:18" ht="15.75" customHeight="1" x14ac:dyDescent="0.25">
      <c r="O863" s="13"/>
      <c r="P863" s="13"/>
      <c r="Q863" s="13"/>
      <c r="R863" s="13"/>
    </row>
    <row r="864" spans="15:18" ht="15.75" customHeight="1" x14ac:dyDescent="0.25">
      <c r="O864" s="13"/>
      <c r="P864" s="13"/>
      <c r="Q864" s="13"/>
      <c r="R864" s="13"/>
    </row>
    <row r="865" spans="15:18" ht="15.75" customHeight="1" x14ac:dyDescent="0.25">
      <c r="O865" s="13"/>
      <c r="P865" s="13"/>
      <c r="Q865" s="13"/>
      <c r="R865" s="13"/>
    </row>
    <row r="866" spans="15:18" ht="15.75" customHeight="1" x14ac:dyDescent="0.25">
      <c r="O866" s="13"/>
      <c r="P866" s="13"/>
      <c r="Q866" s="13"/>
      <c r="R866" s="13"/>
    </row>
    <row r="867" spans="15:18" ht="15.75" customHeight="1" x14ac:dyDescent="0.25">
      <c r="O867" s="13"/>
      <c r="P867" s="13"/>
      <c r="Q867" s="13"/>
      <c r="R867" s="13"/>
    </row>
    <row r="868" spans="15:18" ht="15.75" customHeight="1" x14ac:dyDescent="0.25">
      <c r="O868" s="13"/>
      <c r="P868" s="13"/>
      <c r="Q868" s="13"/>
      <c r="R868" s="13"/>
    </row>
    <row r="869" spans="15:18" ht="15.75" customHeight="1" x14ac:dyDescent="0.25">
      <c r="O869" s="13"/>
      <c r="P869" s="13"/>
      <c r="Q869" s="13"/>
      <c r="R869" s="13"/>
    </row>
    <row r="870" spans="15:18" ht="15.75" customHeight="1" x14ac:dyDescent="0.25">
      <c r="O870" s="13"/>
      <c r="P870" s="13"/>
      <c r="Q870" s="13"/>
      <c r="R870" s="13"/>
    </row>
    <row r="871" spans="15:18" ht="15.75" customHeight="1" x14ac:dyDescent="0.25">
      <c r="O871" s="13"/>
      <c r="P871" s="13"/>
      <c r="Q871" s="13"/>
      <c r="R871" s="13"/>
    </row>
    <row r="872" spans="15:18" ht="15.75" customHeight="1" x14ac:dyDescent="0.25">
      <c r="O872" s="13"/>
      <c r="P872" s="13"/>
      <c r="Q872" s="13"/>
      <c r="R872" s="13"/>
    </row>
    <row r="873" spans="15:18" ht="15.75" customHeight="1" x14ac:dyDescent="0.25">
      <c r="O873" s="13"/>
      <c r="P873" s="13"/>
      <c r="Q873" s="13"/>
      <c r="R873" s="13"/>
    </row>
    <row r="874" spans="15:18" ht="15.75" customHeight="1" x14ac:dyDescent="0.25">
      <c r="O874" s="13"/>
      <c r="P874" s="13"/>
      <c r="Q874" s="13"/>
      <c r="R874" s="13"/>
    </row>
    <row r="875" spans="15:18" ht="15.75" customHeight="1" x14ac:dyDescent="0.25">
      <c r="O875" s="13"/>
      <c r="P875" s="13"/>
      <c r="Q875" s="13"/>
      <c r="R875" s="13"/>
    </row>
    <row r="876" spans="15:18" ht="15.75" customHeight="1" x14ac:dyDescent="0.25">
      <c r="O876" s="13"/>
      <c r="P876" s="13"/>
      <c r="Q876" s="13"/>
      <c r="R876" s="13"/>
    </row>
    <row r="877" spans="15:18" ht="15.75" customHeight="1" x14ac:dyDescent="0.25">
      <c r="O877" s="13"/>
      <c r="P877" s="13"/>
      <c r="Q877" s="13"/>
      <c r="R877" s="13"/>
    </row>
    <row r="878" spans="15:18" ht="15.75" customHeight="1" x14ac:dyDescent="0.25">
      <c r="O878" s="13"/>
      <c r="P878" s="13"/>
      <c r="Q878" s="13"/>
      <c r="R878" s="13"/>
    </row>
    <row r="879" spans="15:18" ht="15.75" customHeight="1" x14ac:dyDescent="0.25">
      <c r="O879" s="13"/>
      <c r="P879" s="13"/>
      <c r="Q879" s="13"/>
      <c r="R879" s="13"/>
    </row>
    <row r="880" spans="15:18" ht="15.75" customHeight="1" x14ac:dyDescent="0.25">
      <c r="O880" s="13"/>
      <c r="P880" s="13"/>
      <c r="Q880" s="13"/>
      <c r="R880" s="13"/>
    </row>
    <row r="881" spans="15:18" ht="15.75" customHeight="1" x14ac:dyDescent="0.25">
      <c r="O881" s="13"/>
      <c r="P881" s="13"/>
      <c r="Q881" s="13"/>
      <c r="R881" s="13"/>
    </row>
    <row r="882" spans="15:18" ht="15.75" customHeight="1" x14ac:dyDescent="0.25">
      <c r="O882" s="13"/>
      <c r="P882" s="13"/>
      <c r="Q882" s="13"/>
      <c r="R882" s="13"/>
    </row>
    <row r="883" spans="15:18" ht="15.75" customHeight="1" x14ac:dyDescent="0.25">
      <c r="O883" s="13"/>
      <c r="P883" s="13"/>
      <c r="Q883" s="13"/>
      <c r="R883" s="13"/>
    </row>
    <row r="884" spans="15:18" ht="15.75" customHeight="1" x14ac:dyDescent="0.25">
      <c r="O884" s="13"/>
      <c r="P884" s="13"/>
      <c r="Q884" s="13"/>
      <c r="R884" s="13"/>
    </row>
    <row r="885" spans="15:18" ht="15.75" customHeight="1" x14ac:dyDescent="0.25">
      <c r="O885" s="13"/>
      <c r="P885" s="13"/>
      <c r="Q885" s="13"/>
      <c r="R885" s="13"/>
    </row>
    <row r="886" spans="15:18" ht="15.75" customHeight="1" x14ac:dyDescent="0.25">
      <c r="O886" s="13"/>
      <c r="P886" s="13"/>
      <c r="Q886" s="13"/>
      <c r="R886" s="13"/>
    </row>
    <row r="887" spans="15:18" ht="15.75" customHeight="1" x14ac:dyDescent="0.25">
      <c r="O887" s="13"/>
      <c r="P887" s="13"/>
      <c r="Q887" s="13"/>
      <c r="R887" s="13"/>
    </row>
    <row r="888" spans="15:18" ht="15.75" customHeight="1" x14ac:dyDescent="0.25">
      <c r="O888" s="13"/>
      <c r="P888" s="13"/>
      <c r="Q888" s="13"/>
      <c r="R888" s="13"/>
    </row>
    <row r="889" spans="15:18" ht="15.75" customHeight="1" x14ac:dyDescent="0.25">
      <c r="O889" s="13"/>
      <c r="P889" s="13"/>
      <c r="Q889" s="13"/>
      <c r="R889" s="13"/>
    </row>
    <row r="890" spans="15:18" ht="15.75" customHeight="1" x14ac:dyDescent="0.25">
      <c r="O890" s="13"/>
      <c r="P890" s="13"/>
      <c r="Q890" s="13"/>
      <c r="R890" s="13"/>
    </row>
    <row r="891" spans="15:18" ht="15.75" customHeight="1" x14ac:dyDescent="0.25">
      <c r="O891" s="13"/>
      <c r="P891" s="13"/>
      <c r="Q891" s="13"/>
      <c r="R891" s="13"/>
    </row>
    <row r="892" spans="15:18" ht="15.75" customHeight="1" x14ac:dyDescent="0.25">
      <c r="O892" s="13"/>
      <c r="P892" s="13"/>
      <c r="Q892" s="13"/>
      <c r="R892" s="13"/>
    </row>
    <row r="893" spans="15:18" ht="15.75" customHeight="1" x14ac:dyDescent="0.25">
      <c r="O893" s="13"/>
      <c r="P893" s="13"/>
      <c r="Q893" s="13"/>
      <c r="R893" s="13"/>
    </row>
    <row r="894" spans="15:18" ht="15.75" customHeight="1" x14ac:dyDescent="0.25">
      <c r="O894" s="13"/>
      <c r="P894" s="13"/>
      <c r="Q894" s="13"/>
      <c r="R894" s="13"/>
    </row>
    <row r="895" spans="15:18" ht="15.75" customHeight="1" x14ac:dyDescent="0.25">
      <c r="O895" s="13"/>
      <c r="P895" s="13"/>
      <c r="Q895" s="13"/>
      <c r="R895" s="13"/>
    </row>
    <row r="896" spans="15:18" ht="15.75" customHeight="1" x14ac:dyDescent="0.25">
      <c r="O896" s="13"/>
      <c r="P896" s="13"/>
      <c r="Q896" s="13"/>
      <c r="R896" s="13"/>
    </row>
    <row r="897" spans="15:18" ht="15.75" customHeight="1" x14ac:dyDescent="0.25">
      <c r="O897" s="13"/>
      <c r="P897" s="13"/>
      <c r="Q897" s="13"/>
      <c r="R897" s="13"/>
    </row>
    <row r="898" spans="15:18" ht="15.75" customHeight="1" x14ac:dyDescent="0.25">
      <c r="O898" s="13"/>
      <c r="P898" s="13"/>
      <c r="Q898" s="13"/>
      <c r="R898" s="13"/>
    </row>
    <row r="899" spans="15:18" ht="15.75" customHeight="1" x14ac:dyDescent="0.25">
      <c r="O899" s="13"/>
      <c r="P899" s="13"/>
      <c r="Q899" s="13"/>
      <c r="R899" s="13"/>
    </row>
    <row r="900" spans="15:18" ht="15.75" customHeight="1" x14ac:dyDescent="0.25">
      <c r="O900" s="13"/>
      <c r="P900" s="13"/>
      <c r="Q900" s="13"/>
      <c r="R900" s="13"/>
    </row>
    <row r="901" spans="15:18" ht="15.75" customHeight="1" x14ac:dyDescent="0.25">
      <c r="O901" s="13"/>
      <c r="P901" s="13"/>
      <c r="Q901" s="13"/>
      <c r="R901" s="13"/>
    </row>
    <row r="902" spans="15:18" ht="15.75" customHeight="1" x14ac:dyDescent="0.25">
      <c r="O902" s="13"/>
      <c r="P902" s="13"/>
      <c r="Q902" s="13"/>
      <c r="R902" s="13"/>
    </row>
    <row r="903" spans="15:18" ht="15.75" customHeight="1" x14ac:dyDescent="0.25">
      <c r="O903" s="13"/>
      <c r="P903" s="13"/>
      <c r="Q903" s="13"/>
      <c r="R903" s="13"/>
    </row>
    <row r="904" spans="15:18" ht="15.75" customHeight="1" x14ac:dyDescent="0.25">
      <c r="O904" s="13"/>
      <c r="P904" s="13"/>
      <c r="Q904" s="13"/>
      <c r="R904" s="13"/>
    </row>
    <row r="905" spans="15:18" ht="15.75" customHeight="1" x14ac:dyDescent="0.25">
      <c r="O905" s="13"/>
      <c r="P905" s="13"/>
      <c r="Q905" s="13"/>
      <c r="R905" s="13"/>
    </row>
    <row r="906" spans="15:18" ht="15.75" customHeight="1" x14ac:dyDescent="0.25">
      <c r="O906" s="13"/>
      <c r="P906" s="13"/>
      <c r="Q906" s="13"/>
      <c r="R906" s="13"/>
    </row>
    <row r="907" spans="15:18" ht="15.75" customHeight="1" x14ac:dyDescent="0.25">
      <c r="O907" s="13"/>
      <c r="P907" s="13"/>
      <c r="Q907" s="13"/>
      <c r="R907" s="13"/>
    </row>
    <row r="908" spans="15:18" ht="15.75" customHeight="1" x14ac:dyDescent="0.25">
      <c r="O908" s="13"/>
      <c r="P908" s="13"/>
      <c r="Q908" s="13"/>
      <c r="R908" s="13"/>
    </row>
    <row r="909" spans="15:18" ht="15.75" customHeight="1" x14ac:dyDescent="0.25">
      <c r="O909" s="13"/>
      <c r="P909" s="13"/>
      <c r="Q909" s="13"/>
      <c r="R909" s="13"/>
    </row>
    <row r="910" spans="15:18" ht="15.75" customHeight="1" x14ac:dyDescent="0.25">
      <c r="O910" s="13"/>
      <c r="P910" s="13"/>
      <c r="Q910" s="13"/>
      <c r="R910" s="13"/>
    </row>
    <row r="911" spans="15:18" ht="15.75" customHeight="1" x14ac:dyDescent="0.25">
      <c r="O911" s="13"/>
      <c r="P911" s="13"/>
      <c r="Q911" s="13"/>
      <c r="R911" s="13"/>
    </row>
    <row r="912" spans="15:18" ht="15.75" customHeight="1" x14ac:dyDescent="0.25">
      <c r="O912" s="13"/>
      <c r="P912" s="13"/>
      <c r="Q912" s="13"/>
      <c r="R912" s="13"/>
    </row>
    <row r="913" spans="15:18" ht="15.75" customHeight="1" x14ac:dyDescent="0.25">
      <c r="O913" s="13"/>
      <c r="P913" s="13"/>
      <c r="Q913" s="13"/>
      <c r="R913" s="13"/>
    </row>
    <row r="914" spans="15:18" ht="15.75" customHeight="1" x14ac:dyDescent="0.25">
      <c r="O914" s="13"/>
      <c r="P914" s="13"/>
      <c r="Q914" s="13"/>
      <c r="R914" s="13"/>
    </row>
    <row r="915" spans="15:18" ht="15.75" customHeight="1" x14ac:dyDescent="0.25">
      <c r="O915" s="13"/>
      <c r="P915" s="13"/>
      <c r="Q915" s="13"/>
      <c r="R915" s="13"/>
    </row>
    <row r="916" spans="15:18" ht="15.75" customHeight="1" x14ac:dyDescent="0.25">
      <c r="O916" s="13"/>
      <c r="P916" s="13"/>
      <c r="Q916" s="13"/>
      <c r="R916" s="13"/>
    </row>
    <row r="917" spans="15:18" ht="15.75" customHeight="1" x14ac:dyDescent="0.25">
      <c r="O917" s="13"/>
      <c r="P917" s="13"/>
      <c r="Q917" s="13"/>
      <c r="R917" s="13"/>
    </row>
    <row r="918" spans="15:18" ht="15.75" customHeight="1" x14ac:dyDescent="0.25">
      <c r="O918" s="13"/>
      <c r="P918" s="13"/>
      <c r="Q918" s="13"/>
      <c r="R918" s="13"/>
    </row>
    <row r="919" spans="15:18" ht="15.75" customHeight="1" x14ac:dyDescent="0.25">
      <c r="O919" s="13"/>
      <c r="P919" s="13"/>
      <c r="Q919" s="13"/>
      <c r="R919" s="13"/>
    </row>
    <row r="920" spans="15:18" ht="15.75" customHeight="1" x14ac:dyDescent="0.25">
      <c r="O920" s="13"/>
      <c r="P920" s="13"/>
      <c r="Q920" s="13"/>
      <c r="R920" s="13"/>
    </row>
    <row r="921" spans="15:18" ht="15.75" customHeight="1" x14ac:dyDescent="0.25">
      <c r="O921" s="13"/>
      <c r="P921" s="13"/>
      <c r="Q921" s="13"/>
      <c r="R921" s="13"/>
    </row>
    <row r="922" spans="15:18" ht="15.75" customHeight="1" x14ac:dyDescent="0.25">
      <c r="O922" s="13"/>
      <c r="P922" s="13"/>
      <c r="Q922" s="13"/>
      <c r="R922" s="13"/>
    </row>
    <row r="923" spans="15:18" ht="15.75" customHeight="1" x14ac:dyDescent="0.25">
      <c r="O923" s="13"/>
      <c r="P923" s="13"/>
      <c r="Q923" s="13"/>
      <c r="R923" s="13"/>
    </row>
    <row r="924" spans="15:18" ht="15.75" customHeight="1" x14ac:dyDescent="0.25">
      <c r="O924" s="13"/>
      <c r="P924" s="13"/>
      <c r="Q924" s="13"/>
      <c r="R924" s="13"/>
    </row>
    <row r="925" spans="15:18" ht="15.75" customHeight="1" x14ac:dyDescent="0.25">
      <c r="O925" s="13"/>
      <c r="P925" s="13"/>
      <c r="Q925" s="13"/>
      <c r="R925" s="13"/>
    </row>
    <row r="926" spans="15:18" ht="15.75" customHeight="1" x14ac:dyDescent="0.25">
      <c r="O926" s="13"/>
      <c r="P926" s="13"/>
      <c r="Q926" s="13"/>
      <c r="R926" s="13"/>
    </row>
    <row r="927" spans="15:18" ht="15.75" customHeight="1" x14ac:dyDescent="0.25">
      <c r="O927" s="13"/>
      <c r="P927" s="13"/>
      <c r="Q927" s="13"/>
      <c r="R927" s="13"/>
    </row>
    <row r="928" spans="15:18" ht="15.75" customHeight="1" x14ac:dyDescent="0.25">
      <c r="O928" s="13"/>
      <c r="P928" s="13"/>
      <c r="Q928" s="13"/>
      <c r="R928" s="13"/>
    </row>
    <row r="929" spans="15:18" ht="15.75" customHeight="1" x14ac:dyDescent="0.25">
      <c r="O929" s="13"/>
      <c r="P929" s="13"/>
      <c r="Q929" s="13"/>
      <c r="R929" s="13"/>
    </row>
    <row r="930" spans="15:18" ht="15.75" customHeight="1" x14ac:dyDescent="0.25">
      <c r="O930" s="13"/>
      <c r="P930" s="13"/>
      <c r="Q930" s="13"/>
      <c r="R930" s="13"/>
    </row>
    <row r="931" spans="15:18" ht="15.75" customHeight="1" x14ac:dyDescent="0.25">
      <c r="O931" s="13"/>
      <c r="P931" s="13"/>
      <c r="Q931" s="13"/>
      <c r="R931" s="13"/>
    </row>
    <row r="932" spans="15:18" ht="15.75" customHeight="1" x14ac:dyDescent="0.25">
      <c r="O932" s="13"/>
      <c r="P932" s="13"/>
      <c r="Q932" s="13"/>
      <c r="R932" s="13"/>
    </row>
    <row r="933" spans="15:18" ht="15.75" customHeight="1" x14ac:dyDescent="0.25">
      <c r="O933" s="13"/>
      <c r="P933" s="13"/>
      <c r="Q933" s="13"/>
      <c r="R933" s="13"/>
    </row>
    <row r="934" spans="15:18" ht="15.75" customHeight="1" x14ac:dyDescent="0.25">
      <c r="O934" s="13"/>
      <c r="P934" s="13"/>
      <c r="Q934" s="13"/>
      <c r="R934" s="13"/>
    </row>
    <row r="935" spans="15:18" ht="15.75" customHeight="1" x14ac:dyDescent="0.25">
      <c r="O935" s="13"/>
      <c r="P935" s="13"/>
      <c r="Q935" s="13"/>
      <c r="R935" s="13"/>
    </row>
    <row r="936" spans="15:18" ht="15.75" customHeight="1" x14ac:dyDescent="0.25">
      <c r="O936" s="13"/>
      <c r="P936" s="13"/>
      <c r="Q936" s="13"/>
      <c r="R936" s="13"/>
    </row>
    <row r="937" spans="15:18" ht="15.75" customHeight="1" x14ac:dyDescent="0.25">
      <c r="O937" s="13"/>
      <c r="P937" s="13"/>
      <c r="Q937" s="13"/>
      <c r="R937" s="13"/>
    </row>
    <row r="938" spans="15:18" ht="15.75" customHeight="1" x14ac:dyDescent="0.25">
      <c r="O938" s="13"/>
      <c r="P938" s="13"/>
      <c r="Q938" s="13"/>
      <c r="R938" s="13"/>
    </row>
    <row r="939" spans="15:18" ht="15.75" customHeight="1" x14ac:dyDescent="0.25">
      <c r="O939" s="13"/>
      <c r="P939" s="13"/>
      <c r="Q939" s="13"/>
      <c r="R939" s="13"/>
    </row>
    <row r="940" spans="15:18" ht="15.75" customHeight="1" x14ac:dyDescent="0.25">
      <c r="O940" s="13"/>
      <c r="P940" s="13"/>
      <c r="Q940" s="13"/>
      <c r="R940" s="13"/>
    </row>
    <row r="941" spans="15:18" ht="15.75" customHeight="1" x14ac:dyDescent="0.25">
      <c r="O941" s="13"/>
      <c r="P941" s="13"/>
      <c r="Q941" s="13"/>
      <c r="R941" s="13"/>
    </row>
    <row r="942" spans="15:18" ht="15.75" customHeight="1" x14ac:dyDescent="0.25">
      <c r="O942" s="13"/>
      <c r="P942" s="13"/>
      <c r="Q942" s="13"/>
      <c r="R942" s="13"/>
    </row>
    <row r="943" spans="15:18" ht="15.75" customHeight="1" x14ac:dyDescent="0.25">
      <c r="O943" s="13"/>
      <c r="P943" s="13"/>
      <c r="Q943" s="13"/>
      <c r="R943" s="13"/>
    </row>
    <row r="944" spans="15:18" ht="15.75" customHeight="1" x14ac:dyDescent="0.25">
      <c r="O944" s="13"/>
      <c r="P944" s="13"/>
      <c r="Q944" s="13"/>
      <c r="R944" s="13"/>
    </row>
    <row r="945" spans="15:18" ht="15.75" customHeight="1" x14ac:dyDescent="0.25">
      <c r="O945" s="13"/>
      <c r="P945" s="13"/>
      <c r="Q945" s="13"/>
      <c r="R945" s="13"/>
    </row>
    <row r="946" spans="15:18" ht="15.75" customHeight="1" x14ac:dyDescent="0.25">
      <c r="O946" s="13"/>
      <c r="P946" s="13"/>
      <c r="Q946" s="13"/>
      <c r="R946" s="13"/>
    </row>
    <row r="947" spans="15:18" ht="15.75" customHeight="1" x14ac:dyDescent="0.25">
      <c r="O947" s="13"/>
      <c r="P947" s="13"/>
      <c r="Q947" s="13"/>
      <c r="R947" s="13"/>
    </row>
    <row r="948" spans="15:18" ht="15.75" customHeight="1" x14ac:dyDescent="0.25">
      <c r="O948" s="13"/>
      <c r="P948" s="13"/>
      <c r="Q948" s="13"/>
      <c r="R948" s="13"/>
    </row>
    <row r="949" spans="15:18" ht="15.75" customHeight="1" x14ac:dyDescent="0.25">
      <c r="O949" s="13"/>
      <c r="P949" s="13"/>
      <c r="Q949" s="13"/>
      <c r="R949" s="13"/>
    </row>
    <row r="950" spans="15:18" ht="15.75" customHeight="1" x14ac:dyDescent="0.25">
      <c r="O950" s="13"/>
      <c r="P950" s="13"/>
      <c r="Q950" s="13"/>
      <c r="R950" s="13"/>
    </row>
    <row r="951" spans="15:18" ht="15.75" customHeight="1" x14ac:dyDescent="0.25">
      <c r="O951" s="13"/>
      <c r="P951" s="13"/>
      <c r="Q951" s="13"/>
      <c r="R951" s="13"/>
    </row>
    <row r="952" spans="15:18" ht="15.75" customHeight="1" x14ac:dyDescent="0.25">
      <c r="O952" s="13"/>
      <c r="P952" s="13"/>
      <c r="Q952" s="13"/>
      <c r="R952" s="13"/>
    </row>
    <row r="953" spans="15:18" ht="15.75" customHeight="1" x14ac:dyDescent="0.25">
      <c r="O953" s="13"/>
      <c r="P953" s="13"/>
      <c r="Q953" s="13"/>
      <c r="R953" s="13"/>
    </row>
    <row r="954" spans="15:18" ht="15.75" customHeight="1" x14ac:dyDescent="0.25">
      <c r="O954" s="13"/>
      <c r="P954" s="13"/>
      <c r="Q954" s="13"/>
      <c r="R954" s="13"/>
    </row>
    <row r="955" spans="15:18" ht="15.75" customHeight="1" x14ac:dyDescent="0.25">
      <c r="O955" s="13"/>
      <c r="P955" s="13"/>
      <c r="Q955" s="13"/>
      <c r="R955" s="13"/>
    </row>
    <row r="956" spans="15:18" ht="15.75" customHeight="1" x14ac:dyDescent="0.25">
      <c r="O956" s="13"/>
      <c r="P956" s="13"/>
      <c r="Q956" s="13"/>
      <c r="R956" s="13"/>
    </row>
    <row r="957" spans="15:18" ht="15.75" customHeight="1" x14ac:dyDescent="0.25">
      <c r="O957" s="13"/>
      <c r="P957" s="13"/>
      <c r="Q957" s="13"/>
      <c r="R957" s="13"/>
    </row>
    <row r="958" spans="15:18" ht="15.75" customHeight="1" x14ac:dyDescent="0.25">
      <c r="O958" s="13"/>
      <c r="P958" s="13"/>
      <c r="Q958" s="13"/>
      <c r="R958" s="13"/>
    </row>
    <row r="959" spans="15:18" ht="15.75" customHeight="1" x14ac:dyDescent="0.25">
      <c r="O959" s="13"/>
      <c r="P959" s="13"/>
      <c r="Q959" s="13"/>
      <c r="R959" s="13"/>
    </row>
    <row r="960" spans="15:18" ht="15.75" customHeight="1" x14ac:dyDescent="0.25">
      <c r="O960" s="13"/>
      <c r="P960" s="13"/>
      <c r="Q960" s="13"/>
      <c r="R960" s="13"/>
    </row>
    <row r="961" spans="15:18" ht="15.75" customHeight="1" x14ac:dyDescent="0.25">
      <c r="O961" s="13"/>
      <c r="P961" s="13"/>
      <c r="Q961" s="13"/>
      <c r="R961" s="13"/>
    </row>
    <row r="962" spans="15:18" ht="15.75" customHeight="1" x14ac:dyDescent="0.25">
      <c r="O962" s="13"/>
      <c r="P962" s="13"/>
      <c r="Q962" s="13"/>
      <c r="R962" s="13"/>
    </row>
    <row r="963" spans="15:18" ht="15.75" customHeight="1" x14ac:dyDescent="0.25">
      <c r="O963" s="13"/>
      <c r="P963" s="13"/>
      <c r="Q963" s="13"/>
      <c r="R963" s="13"/>
    </row>
    <row r="964" spans="15:18" ht="15.75" customHeight="1" x14ac:dyDescent="0.25">
      <c r="O964" s="13"/>
      <c r="P964" s="13"/>
      <c r="Q964" s="13"/>
      <c r="R964" s="13"/>
    </row>
    <row r="965" spans="15:18" ht="15.75" customHeight="1" x14ac:dyDescent="0.25">
      <c r="O965" s="13"/>
      <c r="P965" s="13"/>
      <c r="Q965" s="13"/>
      <c r="R965" s="13"/>
    </row>
    <row r="966" spans="15:18" ht="15.75" customHeight="1" x14ac:dyDescent="0.25">
      <c r="O966" s="13"/>
      <c r="P966" s="13"/>
      <c r="Q966" s="13"/>
      <c r="R966" s="13"/>
    </row>
    <row r="967" spans="15:18" ht="15.75" customHeight="1" x14ac:dyDescent="0.25">
      <c r="O967" s="13"/>
      <c r="P967" s="13"/>
      <c r="Q967" s="13"/>
      <c r="R967" s="13"/>
    </row>
    <row r="968" spans="15:18" ht="15.75" customHeight="1" x14ac:dyDescent="0.25">
      <c r="O968" s="13"/>
      <c r="P968" s="13"/>
      <c r="Q968" s="13"/>
      <c r="R968" s="13"/>
    </row>
    <row r="969" spans="15:18" ht="15.75" customHeight="1" x14ac:dyDescent="0.25">
      <c r="O969" s="13"/>
      <c r="P969" s="13"/>
      <c r="Q969" s="13"/>
      <c r="R969" s="13"/>
    </row>
    <row r="970" spans="15:18" ht="15.75" customHeight="1" x14ac:dyDescent="0.25">
      <c r="O970" s="13"/>
      <c r="P970" s="13"/>
      <c r="Q970" s="13"/>
      <c r="R970" s="13"/>
    </row>
    <row r="971" spans="15:18" ht="15.75" customHeight="1" x14ac:dyDescent="0.25">
      <c r="O971" s="13"/>
      <c r="P971" s="13"/>
      <c r="Q971" s="13"/>
      <c r="R971" s="13"/>
    </row>
    <row r="972" spans="15:18" ht="15.75" customHeight="1" x14ac:dyDescent="0.25">
      <c r="O972" s="13"/>
      <c r="P972" s="13"/>
      <c r="Q972" s="13"/>
      <c r="R972" s="13"/>
    </row>
    <row r="973" spans="15:18" ht="15.75" customHeight="1" x14ac:dyDescent="0.25">
      <c r="O973" s="13"/>
      <c r="P973" s="13"/>
      <c r="Q973" s="13"/>
      <c r="R973" s="13"/>
    </row>
    <row r="974" spans="15:18" ht="15.75" customHeight="1" x14ac:dyDescent="0.25">
      <c r="O974" s="13"/>
      <c r="P974" s="13"/>
      <c r="Q974" s="13"/>
      <c r="R974" s="13"/>
    </row>
    <row r="975" spans="15:18" ht="15.75" customHeight="1" x14ac:dyDescent="0.25">
      <c r="O975" s="13"/>
      <c r="P975" s="13"/>
      <c r="Q975" s="13"/>
      <c r="R975" s="13"/>
    </row>
    <row r="976" spans="15:18" ht="15.75" customHeight="1" x14ac:dyDescent="0.25">
      <c r="O976" s="13"/>
      <c r="P976" s="13"/>
      <c r="Q976" s="13"/>
      <c r="R976" s="13"/>
    </row>
    <row r="977" spans="15:18" ht="15.75" customHeight="1" x14ac:dyDescent="0.25">
      <c r="O977" s="13"/>
      <c r="P977" s="13"/>
      <c r="Q977" s="13"/>
      <c r="R977" s="13"/>
    </row>
    <row r="978" spans="15:18" ht="15.75" customHeight="1" x14ac:dyDescent="0.25">
      <c r="O978" s="13"/>
      <c r="P978" s="13"/>
      <c r="Q978" s="13"/>
      <c r="R978" s="13"/>
    </row>
    <row r="979" spans="15:18" ht="15.75" customHeight="1" x14ac:dyDescent="0.25">
      <c r="O979" s="13"/>
      <c r="P979" s="13"/>
      <c r="Q979" s="13"/>
      <c r="R979" s="13"/>
    </row>
    <row r="980" spans="15:18" ht="15.75" customHeight="1" x14ac:dyDescent="0.25">
      <c r="O980" s="13"/>
      <c r="P980" s="13"/>
      <c r="Q980" s="13"/>
      <c r="R980" s="13"/>
    </row>
    <row r="981" spans="15:18" ht="15.75" customHeight="1" x14ac:dyDescent="0.25">
      <c r="O981" s="13"/>
      <c r="P981" s="13"/>
      <c r="Q981" s="13"/>
      <c r="R981" s="13"/>
    </row>
    <row r="982" spans="15:18" ht="15.75" customHeight="1" x14ac:dyDescent="0.25">
      <c r="O982" s="13"/>
      <c r="P982" s="13"/>
      <c r="Q982" s="13"/>
      <c r="R982" s="13"/>
    </row>
    <row r="983" spans="15:18" ht="15.75" customHeight="1" x14ac:dyDescent="0.25">
      <c r="O983" s="13"/>
      <c r="P983" s="13"/>
      <c r="Q983" s="13"/>
      <c r="R983" s="13"/>
    </row>
    <row r="984" spans="15:18" ht="15.75" customHeight="1" x14ac:dyDescent="0.25">
      <c r="O984" s="13"/>
      <c r="P984" s="13"/>
      <c r="Q984" s="13"/>
      <c r="R984" s="13"/>
    </row>
    <row r="985" spans="15:18" ht="15.75" customHeight="1" x14ac:dyDescent="0.25">
      <c r="O985" s="13"/>
      <c r="P985" s="13"/>
      <c r="Q985" s="13"/>
      <c r="R985" s="13"/>
    </row>
    <row r="986" spans="15:18" ht="15.75" customHeight="1" x14ac:dyDescent="0.25">
      <c r="O986" s="13"/>
      <c r="P986" s="13"/>
      <c r="Q986" s="13"/>
      <c r="R986" s="13"/>
    </row>
    <row r="987" spans="15:18" ht="15.75" customHeight="1" x14ac:dyDescent="0.25">
      <c r="O987" s="13"/>
      <c r="P987" s="13"/>
      <c r="Q987" s="13"/>
      <c r="R987" s="13"/>
    </row>
    <row r="988" spans="15:18" ht="15.75" customHeight="1" x14ac:dyDescent="0.25">
      <c r="O988" s="13"/>
      <c r="P988" s="13"/>
      <c r="Q988" s="13"/>
      <c r="R988" s="13"/>
    </row>
    <row r="989" spans="15:18" ht="15.75" customHeight="1" x14ac:dyDescent="0.25">
      <c r="O989" s="13"/>
      <c r="P989" s="13"/>
      <c r="Q989" s="13"/>
      <c r="R989" s="13"/>
    </row>
    <row r="990" spans="15:18" ht="15.75" customHeight="1" x14ac:dyDescent="0.25">
      <c r="O990" s="13"/>
      <c r="P990" s="13"/>
      <c r="Q990" s="13"/>
      <c r="R990" s="13"/>
    </row>
    <row r="991" spans="15:18" ht="15.75" customHeight="1" x14ac:dyDescent="0.25">
      <c r="O991" s="13"/>
      <c r="P991" s="13"/>
      <c r="Q991" s="13"/>
      <c r="R991" s="13"/>
    </row>
    <row r="992" spans="15:18" ht="15.75" customHeight="1" x14ac:dyDescent="0.25">
      <c r="O992" s="13"/>
      <c r="P992" s="13"/>
      <c r="Q992" s="13"/>
      <c r="R992" s="13"/>
    </row>
    <row r="993" spans="15:18" ht="15.75" customHeight="1" x14ac:dyDescent="0.25">
      <c r="O993" s="13"/>
      <c r="P993" s="13"/>
      <c r="Q993" s="13"/>
      <c r="R993" s="13"/>
    </row>
    <row r="994" spans="15:18" ht="15.75" customHeight="1" x14ac:dyDescent="0.25">
      <c r="O994" s="13"/>
      <c r="P994" s="13"/>
      <c r="Q994" s="13"/>
      <c r="R994" s="13"/>
    </row>
    <row r="995" spans="15:18" ht="15.75" customHeight="1" x14ac:dyDescent="0.25">
      <c r="O995" s="13"/>
      <c r="P995" s="13"/>
      <c r="Q995" s="13"/>
      <c r="R995" s="13"/>
    </row>
    <row r="996" spans="15:18" ht="15.75" customHeight="1" x14ac:dyDescent="0.25">
      <c r="O996" s="13"/>
      <c r="P996" s="13"/>
      <c r="Q996" s="13"/>
      <c r="R996" s="13"/>
    </row>
    <row r="997" spans="15:18" ht="15.75" customHeight="1" x14ac:dyDescent="0.25">
      <c r="O997" s="13"/>
      <c r="P997" s="13"/>
      <c r="Q997" s="13"/>
      <c r="R997" s="13"/>
    </row>
    <row r="998" spans="15:18" ht="15.75" customHeight="1" x14ac:dyDescent="0.25">
      <c r="O998" s="13"/>
      <c r="P998" s="13"/>
      <c r="Q998" s="13"/>
      <c r="R998" s="13"/>
    </row>
    <row r="999" spans="15:18" ht="15.75" customHeight="1" x14ac:dyDescent="0.25">
      <c r="O999" s="13"/>
      <c r="P999" s="13"/>
      <c r="Q999" s="13"/>
      <c r="R999" s="13"/>
    </row>
    <row r="1000" spans="15:18" ht="15.75" customHeight="1" x14ac:dyDescent="0.25">
      <c r="O1000" s="13"/>
      <c r="P1000" s="13"/>
      <c r="Q1000" s="13"/>
      <c r="R1000" s="13"/>
    </row>
  </sheetData>
  <mergeCells count="36">
    <mergeCell ref="AE27:AF27"/>
    <mergeCell ref="AG27:AI27"/>
    <mergeCell ref="AJ27:AK27"/>
    <mergeCell ref="AO27:AP27"/>
    <mergeCell ref="P23:R23"/>
    <mergeCell ref="U25:V25"/>
    <mergeCell ref="P27:Q27"/>
    <mergeCell ref="R27:T27"/>
    <mergeCell ref="V27:W27"/>
    <mergeCell ref="Y27:Z27"/>
    <mergeCell ref="AA27:AB27"/>
    <mergeCell ref="AG19:AI19"/>
    <mergeCell ref="AJ19:AK19"/>
    <mergeCell ref="AO19:AP19"/>
    <mergeCell ref="P9:Q9"/>
    <mergeCell ref="P11:Q11"/>
    <mergeCell ref="P15:R15"/>
    <mergeCell ref="P19:Q19"/>
    <mergeCell ref="R19:T19"/>
    <mergeCell ref="V19:W19"/>
    <mergeCell ref="Y19:Z19"/>
    <mergeCell ref="B13:B21"/>
    <mergeCell ref="B23:B33"/>
    <mergeCell ref="D3:H3"/>
    <mergeCell ref="J3:AC3"/>
    <mergeCell ref="D5:H5"/>
    <mergeCell ref="O5:R5"/>
    <mergeCell ref="T5:W5"/>
    <mergeCell ref="Y5:AB5"/>
    <mergeCell ref="B9:B11"/>
    <mergeCell ref="AA19:AB19"/>
    <mergeCell ref="AD5:AG5"/>
    <mergeCell ref="AI5:AL5"/>
    <mergeCell ref="AN5:AQ5"/>
    <mergeCell ref="J5:M5"/>
    <mergeCell ref="J9:M9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L100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ColWidth="14.42578125" defaultRowHeight="15" customHeight="1" x14ac:dyDescent="0.25"/>
  <cols>
    <col min="1" max="1" width="2.140625" customWidth="1"/>
    <col min="2" max="2" width="33.42578125" customWidth="1"/>
    <col min="3" max="3" width="1.28515625" customWidth="1"/>
    <col min="4" max="5" width="43" hidden="1" customWidth="1"/>
    <col min="6" max="6" width="2.28515625" hidden="1" customWidth="1"/>
    <col min="7" max="8" width="43" hidden="1" customWidth="1"/>
    <col min="9" max="9" width="2.28515625" hidden="1" customWidth="1"/>
    <col min="10" max="13" width="60.7109375" hidden="1" customWidth="1"/>
    <col min="14" max="14" width="6.42578125" customWidth="1"/>
    <col min="15" max="18" width="30.7109375" customWidth="1"/>
    <col min="19" max="19" width="2" customWidth="1"/>
    <col min="20" max="23" width="30.7109375" customWidth="1"/>
    <col min="24" max="24" width="2" customWidth="1"/>
    <col min="25" max="28" width="30.7109375" customWidth="1"/>
    <col min="29" max="29" width="2" customWidth="1"/>
    <col min="30" max="33" width="30.7109375" customWidth="1"/>
    <col min="34" max="34" width="2" customWidth="1"/>
    <col min="35" max="38" width="30.7109375" customWidth="1"/>
  </cols>
  <sheetData>
    <row r="1" spans="2:38" ht="14.25" customHeight="1" x14ac:dyDescent="0.25">
      <c r="D1" s="49"/>
      <c r="E1" s="49"/>
      <c r="G1" s="49"/>
      <c r="H1" s="49"/>
      <c r="O1" s="13"/>
      <c r="P1" s="13"/>
      <c r="Q1" s="13"/>
      <c r="R1" s="13"/>
    </row>
    <row r="2" spans="2:38" ht="14.25" customHeight="1" x14ac:dyDescent="0.25">
      <c r="D2" s="49"/>
      <c r="E2" s="49"/>
      <c r="G2" s="49"/>
      <c r="H2" s="49"/>
      <c r="O2" s="13"/>
      <c r="P2" s="13"/>
      <c r="Q2" s="13"/>
      <c r="R2" s="13"/>
    </row>
    <row r="3" spans="2:38" ht="49.5" customHeight="1" x14ac:dyDescent="0.25">
      <c r="D3" s="619">
        <v>2024</v>
      </c>
      <c r="E3" s="568"/>
      <c r="F3" s="568"/>
      <c r="G3" s="568"/>
      <c r="H3" s="569"/>
      <c r="J3" s="668">
        <v>2025</v>
      </c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70"/>
    </row>
    <row r="4" spans="2:38" ht="6" customHeight="1" x14ac:dyDescent="0.25">
      <c r="D4" s="49"/>
      <c r="E4" s="49"/>
      <c r="G4" s="49"/>
      <c r="H4" s="49"/>
      <c r="O4" s="13"/>
      <c r="P4" s="13"/>
      <c r="Q4" s="13"/>
      <c r="R4" s="13"/>
    </row>
    <row r="5" spans="2:38" ht="57.75" customHeight="1" x14ac:dyDescent="0.25">
      <c r="B5" s="11" t="s">
        <v>28</v>
      </c>
      <c r="C5" s="52"/>
      <c r="D5" s="622" t="s">
        <v>93</v>
      </c>
      <c r="E5" s="582"/>
      <c r="F5" s="582"/>
      <c r="G5" s="582"/>
      <c r="H5" s="572"/>
      <c r="J5" s="575" t="s">
        <v>56</v>
      </c>
      <c r="K5" s="568"/>
      <c r="L5" s="568"/>
      <c r="M5" s="569"/>
      <c r="O5" s="577" t="s">
        <v>57</v>
      </c>
      <c r="P5" s="568"/>
      <c r="Q5" s="568"/>
      <c r="R5" s="569"/>
      <c r="T5" s="575" t="s">
        <v>58</v>
      </c>
      <c r="U5" s="568"/>
      <c r="V5" s="568"/>
      <c r="W5" s="569"/>
      <c r="Y5" s="575" t="s">
        <v>59</v>
      </c>
      <c r="Z5" s="568"/>
      <c r="AA5" s="568"/>
      <c r="AB5" s="569"/>
      <c r="AD5" s="575" t="s">
        <v>1</v>
      </c>
      <c r="AE5" s="568"/>
      <c r="AF5" s="568"/>
      <c r="AG5" s="569"/>
      <c r="AI5" s="575" t="s">
        <v>19</v>
      </c>
      <c r="AJ5" s="568"/>
      <c r="AK5" s="568"/>
      <c r="AL5" s="569"/>
    </row>
    <row r="6" spans="2:38" ht="6.75" customHeight="1" x14ac:dyDescent="0.25">
      <c r="B6" s="5"/>
      <c r="D6" s="49"/>
      <c r="E6" s="49"/>
      <c r="G6" s="49"/>
      <c r="H6" s="49"/>
      <c r="O6" s="13"/>
      <c r="P6" s="13"/>
      <c r="Q6" s="13"/>
      <c r="R6" s="13"/>
    </row>
    <row r="7" spans="2:38" ht="42" customHeight="1" x14ac:dyDescent="0.25">
      <c r="B7" s="5"/>
      <c r="D7" s="167" t="s">
        <v>198</v>
      </c>
      <c r="E7" s="167" t="s">
        <v>199</v>
      </c>
      <c r="G7" s="167" t="s">
        <v>200</v>
      </c>
      <c r="H7" s="167" t="s">
        <v>201</v>
      </c>
      <c r="J7" s="12" t="s">
        <v>61</v>
      </c>
      <c r="K7" s="12"/>
      <c r="L7" s="12"/>
      <c r="M7" s="12" t="s">
        <v>62</v>
      </c>
      <c r="O7" s="12" t="s">
        <v>65</v>
      </c>
      <c r="P7" s="12" t="s">
        <v>66</v>
      </c>
      <c r="Q7" s="12" t="s">
        <v>67</v>
      </c>
      <c r="R7" s="12" t="s">
        <v>68</v>
      </c>
      <c r="T7" s="4" t="s">
        <v>31</v>
      </c>
      <c r="U7" s="12" t="s">
        <v>32</v>
      </c>
      <c r="V7" s="12" t="s">
        <v>29</v>
      </c>
      <c r="W7" s="12" t="s">
        <v>30</v>
      </c>
      <c r="Y7" s="12" t="s">
        <v>31</v>
      </c>
      <c r="Z7" s="12" t="s">
        <v>32</v>
      </c>
      <c r="AA7" s="12" t="s">
        <v>29</v>
      </c>
      <c r="AB7" s="12" t="s">
        <v>30</v>
      </c>
      <c r="AD7" s="12" t="s">
        <v>31</v>
      </c>
      <c r="AE7" s="12" t="s">
        <v>32</v>
      </c>
      <c r="AF7" s="12" t="s">
        <v>29</v>
      </c>
      <c r="AG7" s="12" t="s">
        <v>30</v>
      </c>
      <c r="AI7" s="12" t="s">
        <v>31</v>
      </c>
      <c r="AJ7" s="12" t="s">
        <v>32</v>
      </c>
      <c r="AK7" s="12" t="s">
        <v>29</v>
      </c>
      <c r="AL7" s="12" t="s">
        <v>30</v>
      </c>
    </row>
    <row r="8" spans="2:38" ht="13.5" customHeight="1" x14ac:dyDescent="0.25">
      <c r="D8" s="49"/>
      <c r="E8" s="49"/>
      <c r="G8" s="49"/>
      <c r="H8" s="5"/>
      <c r="M8" s="19" t="s">
        <v>94</v>
      </c>
      <c r="O8" s="13"/>
      <c r="P8" s="13"/>
      <c r="Q8" s="13"/>
      <c r="R8" s="13"/>
    </row>
    <row r="9" spans="2:38" ht="28.5" customHeight="1" x14ac:dyDescent="0.25">
      <c r="D9" s="49"/>
      <c r="E9" s="49"/>
      <c r="G9" s="49"/>
      <c r="H9" s="5"/>
      <c r="J9" s="630" t="s">
        <v>95</v>
      </c>
      <c r="K9" s="582"/>
      <c r="L9" s="582"/>
      <c r="M9" s="572"/>
      <c r="O9" s="13"/>
      <c r="P9" s="631" t="s">
        <v>96</v>
      </c>
      <c r="Q9" s="572"/>
      <c r="R9" s="13"/>
      <c r="T9" s="53" t="s">
        <v>97</v>
      </c>
      <c r="U9" s="53" t="s">
        <v>96</v>
      </c>
    </row>
    <row r="10" spans="2:38" ht="6" customHeight="1" x14ac:dyDescent="0.25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3"/>
      <c r="P10" s="13"/>
      <c r="Q10" s="13"/>
      <c r="R10" s="49"/>
      <c r="S10" s="5"/>
      <c r="T10" s="5"/>
      <c r="U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2:38" ht="42" customHeight="1" x14ac:dyDescent="0.25">
      <c r="D11" s="5"/>
      <c r="E11" s="5"/>
      <c r="F11" s="5"/>
      <c r="G11" s="5"/>
      <c r="H11" s="5"/>
      <c r="I11" s="5"/>
      <c r="J11" s="167" t="s">
        <v>98</v>
      </c>
      <c r="K11" s="49"/>
      <c r="L11" s="49"/>
      <c r="M11" s="5"/>
      <c r="N11" s="5"/>
      <c r="O11" s="49"/>
      <c r="P11" s="712" t="s">
        <v>99</v>
      </c>
      <c r="Q11" s="572"/>
      <c r="R11" s="49"/>
      <c r="S11" s="5"/>
      <c r="T11" s="167" t="s">
        <v>100</v>
      </c>
      <c r="U11" s="167" t="s">
        <v>101</v>
      </c>
    </row>
    <row r="12" spans="2:38" ht="6" customHeight="1" x14ac:dyDescent="0.25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49"/>
      <c r="P12" s="49"/>
      <c r="Q12" s="49"/>
      <c r="R12" s="49"/>
      <c r="S12" s="5"/>
    </row>
    <row r="13" spans="2:38" ht="39" customHeight="1" x14ac:dyDescent="0.25">
      <c r="D13" s="5"/>
      <c r="E13" s="5"/>
      <c r="F13" s="5"/>
      <c r="G13" s="5"/>
      <c r="H13" s="5"/>
      <c r="I13" s="5"/>
      <c r="J13" s="5"/>
      <c r="K13" s="5"/>
      <c r="L13" s="5"/>
      <c r="M13" s="3" t="s">
        <v>598</v>
      </c>
      <c r="N13" s="5"/>
      <c r="O13" s="49"/>
      <c r="P13" s="49"/>
      <c r="Q13" s="49"/>
      <c r="R13" s="49"/>
      <c r="S13" s="5"/>
    </row>
    <row r="14" spans="2:38" ht="48.75" customHeight="1" x14ac:dyDescent="0.25"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353" t="s">
        <v>210</v>
      </c>
      <c r="P14" s="49"/>
      <c r="Q14" s="49"/>
      <c r="R14" s="49"/>
      <c r="S14" s="5"/>
    </row>
    <row r="15" spans="2:38" ht="19.5" customHeight="1" x14ac:dyDescent="0.25">
      <c r="D15" s="5"/>
      <c r="E15" s="5"/>
      <c r="G15" s="5"/>
      <c r="H15" s="5"/>
      <c r="O15" s="49"/>
      <c r="P15" s="49"/>
      <c r="Q15" s="49"/>
      <c r="R15" s="49"/>
    </row>
    <row r="16" spans="2:38" ht="62.25" customHeight="1" x14ac:dyDescent="0.25">
      <c r="D16" s="5"/>
      <c r="E16" s="5"/>
      <c r="F16" s="5"/>
      <c r="G16" s="5"/>
      <c r="H16" s="5"/>
      <c r="I16" s="5"/>
      <c r="J16" s="354" t="s">
        <v>218</v>
      </c>
      <c r="K16" s="354"/>
      <c r="L16" s="354"/>
      <c r="M16" s="355" t="s">
        <v>219</v>
      </c>
      <c r="N16" s="5"/>
      <c r="O16" s="354" t="s">
        <v>599</v>
      </c>
      <c r="P16" s="804" t="s">
        <v>600</v>
      </c>
      <c r="Q16" s="568"/>
      <c r="R16" s="569"/>
      <c r="S16" s="5"/>
    </row>
    <row r="17" spans="4:37" ht="21" customHeight="1" x14ac:dyDescent="0.25">
      <c r="D17" s="5"/>
      <c r="E17" s="5"/>
      <c r="F17" s="5"/>
      <c r="G17" s="5"/>
      <c r="H17" s="5"/>
      <c r="I17" s="5"/>
      <c r="J17" s="3"/>
      <c r="K17" s="5"/>
      <c r="L17" s="5"/>
      <c r="M17" s="358" t="s">
        <v>230</v>
      </c>
      <c r="N17" s="5"/>
      <c r="O17" s="49"/>
      <c r="P17" s="49"/>
      <c r="Q17" s="49"/>
      <c r="R17" s="49"/>
      <c r="S17" s="5"/>
    </row>
    <row r="18" spans="4:37" ht="33" customHeight="1" x14ac:dyDescent="0.25">
      <c r="D18" s="5"/>
      <c r="E18" s="5"/>
      <c r="F18" s="5"/>
      <c r="G18" s="5"/>
      <c r="H18" s="5"/>
      <c r="I18" s="5"/>
      <c r="J18" s="5"/>
      <c r="K18" s="5"/>
      <c r="L18" s="5"/>
      <c r="M18" s="359"/>
      <c r="N18" s="5"/>
      <c r="O18" s="361" t="s">
        <v>549</v>
      </c>
      <c r="P18" s="361" t="s">
        <v>472</v>
      </c>
      <c r="Q18" s="49"/>
      <c r="R18" s="49"/>
      <c r="S18" s="5"/>
    </row>
    <row r="19" spans="4:37" ht="6" customHeight="1" x14ac:dyDescent="0.25">
      <c r="D19" s="5"/>
      <c r="E19" s="5"/>
      <c r="G19" s="5"/>
      <c r="H19" s="5"/>
      <c r="O19" s="49"/>
      <c r="P19" s="49"/>
      <c r="Q19" s="49"/>
      <c r="R19" s="49"/>
    </row>
    <row r="20" spans="4:37" ht="47.25" customHeight="1" x14ac:dyDescent="0.25">
      <c r="D20" s="49"/>
      <c r="E20" s="49"/>
      <c r="G20" s="49"/>
      <c r="H20" s="5"/>
      <c r="J20" s="3"/>
      <c r="K20" s="3"/>
      <c r="L20" s="3"/>
      <c r="M20" s="3" t="s">
        <v>474</v>
      </c>
      <c r="O20" s="167" t="s">
        <v>550</v>
      </c>
      <c r="P20" s="844" t="s">
        <v>601</v>
      </c>
      <c r="Q20" s="572"/>
      <c r="R20" s="845" t="s">
        <v>602</v>
      </c>
      <c r="S20" s="582"/>
      <c r="T20" s="572"/>
      <c r="U20" s="167" t="s">
        <v>603</v>
      </c>
      <c r="V20" s="712" t="s">
        <v>604</v>
      </c>
      <c r="W20" s="572"/>
      <c r="Y20" s="712" t="s">
        <v>605</v>
      </c>
      <c r="Z20" s="572"/>
      <c r="AA20" s="3" t="s">
        <v>606</v>
      </c>
      <c r="AB20" s="167" t="s">
        <v>607</v>
      </c>
      <c r="AD20" s="712" t="s">
        <v>608</v>
      </c>
      <c r="AE20" s="572"/>
      <c r="AF20" s="712" t="s">
        <v>609</v>
      </c>
      <c r="AG20" s="572"/>
      <c r="AI20" s="167" t="s">
        <v>610</v>
      </c>
      <c r="AJ20" s="167" t="s">
        <v>611</v>
      </c>
      <c r="AK20" s="167" t="s">
        <v>612</v>
      </c>
    </row>
    <row r="21" spans="4:37" ht="13.5" customHeight="1" x14ac:dyDescent="0.25">
      <c r="D21" s="49"/>
      <c r="E21" s="49"/>
      <c r="G21" s="49"/>
      <c r="H21" s="5"/>
      <c r="O21" s="49"/>
      <c r="P21" s="49"/>
      <c r="Q21" s="49"/>
      <c r="R21" s="49"/>
    </row>
    <row r="22" spans="4:37" ht="47.25" customHeight="1" x14ac:dyDescent="0.25">
      <c r="D22" s="49"/>
      <c r="E22" s="49"/>
      <c r="G22" s="49"/>
      <c r="H22" s="5"/>
      <c r="J22" s="5"/>
      <c r="K22" s="5"/>
      <c r="L22" s="5"/>
      <c r="M22" s="5"/>
      <c r="O22" s="49"/>
      <c r="P22" s="49"/>
      <c r="Q22" s="387" t="s">
        <v>564</v>
      </c>
      <c r="R22" s="388" t="s">
        <v>487</v>
      </c>
      <c r="T22" s="389" t="s">
        <v>613</v>
      </c>
      <c r="U22" s="389" t="s">
        <v>614</v>
      </c>
      <c r="W22" s="389" t="s">
        <v>615</v>
      </c>
      <c r="Z22" s="389" t="s">
        <v>616</v>
      </c>
      <c r="AA22" s="389" t="s">
        <v>617</v>
      </c>
      <c r="AB22" s="389" t="s">
        <v>618</v>
      </c>
      <c r="AD22" s="389" t="s">
        <v>619</v>
      </c>
      <c r="AE22" s="389" t="s">
        <v>620</v>
      </c>
      <c r="AG22" s="389" t="s">
        <v>621</v>
      </c>
      <c r="AI22" s="389" t="s">
        <v>622</v>
      </c>
      <c r="AJ22" s="389" t="s">
        <v>623</v>
      </c>
      <c r="AK22" s="389" t="s">
        <v>624</v>
      </c>
    </row>
    <row r="23" spans="4:37" ht="13.5" customHeight="1" x14ac:dyDescent="0.25">
      <c r="D23" s="49"/>
      <c r="E23" s="49"/>
      <c r="G23" s="49"/>
      <c r="H23" s="5"/>
      <c r="O23" s="49"/>
      <c r="P23" s="49"/>
      <c r="Q23" s="49"/>
      <c r="R23" s="49"/>
    </row>
    <row r="24" spans="4:37" ht="71.25" customHeight="1" x14ac:dyDescent="0.25">
      <c r="D24" s="5"/>
      <c r="E24" s="5"/>
      <c r="F24" s="5"/>
      <c r="G24" s="5"/>
      <c r="H24" s="5"/>
      <c r="I24" s="5"/>
      <c r="J24" s="354" t="s">
        <v>218</v>
      </c>
      <c r="K24" s="354"/>
      <c r="L24" s="354"/>
      <c r="M24" s="355" t="s">
        <v>219</v>
      </c>
      <c r="N24" s="5"/>
      <c r="O24" s="353" t="s">
        <v>503</v>
      </c>
      <c r="P24" s="804" t="s">
        <v>625</v>
      </c>
      <c r="Q24" s="568"/>
      <c r="R24" s="569"/>
      <c r="S24" s="5"/>
    </row>
    <row r="25" spans="4:37" ht="13.5" customHeight="1" x14ac:dyDescent="0.25">
      <c r="D25" s="49"/>
      <c r="E25" s="49"/>
      <c r="G25" s="49"/>
      <c r="H25" s="5"/>
      <c r="O25" s="49"/>
      <c r="P25" s="49"/>
      <c r="Q25" s="49"/>
      <c r="R25" s="49"/>
    </row>
    <row r="26" spans="4:37" ht="43.5" customHeight="1" x14ac:dyDescent="0.25">
      <c r="D26" s="49"/>
      <c r="E26" s="49"/>
      <c r="G26" s="49"/>
      <c r="H26" s="5"/>
      <c r="O26" s="49"/>
      <c r="P26" s="49"/>
      <c r="Q26" s="49"/>
      <c r="R26" s="49"/>
      <c r="T26" s="167" t="s">
        <v>626</v>
      </c>
    </row>
    <row r="27" spans="4:37" ht="13.5" customHeight="1" x14ac:dyDescent="0.25">
      <c r="D27" s="49"/>
      <c r="E27" s="49"/>
      <c r="G27" s="49"/>
      <c r="H27" s="5"/>
      <c r="O27" s="49"/>
      <c r="P27" s="49"/>
      <c r="Q27" s="49"/>
      <c r="R27" s="49"/>
    </row>
    <row r="28" spans="4:37" ht="46.5" customHeight="1" x14ac:dyDescent="0.25">
      <c r="D28" s="49"/>
      <c r="E28" s="49"/>
      <c r="G28" s="49"/>
      <c r="H28" s="5"/>
      <c r="O28" s="167" t="s">
        <v>579</v>
      </c>
      <c r="P28" s="844" t="s">
        <v>580</v>
      </c>
      <c r="Q28" s="572"/>
      <c r="R28" s="845" t="s">
        <v>627</v>
      </c>
      <c r="S28" s="582"/>
      <c r="T28" s="572"/>
      <c r="U28" s="167" t="s">
        <v>628</v>
      </c>
    </row>
    <row r="29" spans="4:37" ht="14.25" customHeight="1" x14ac:dyDescent="0.25">
      <c r="D29" s="49"/>
      <c r="E29" s="49"/>
      <c r="G29" s="49"/>
      <c r="H29" s="49"/>
      <c r="O29" s="13"/>
      <c r="P29" s="13"/>
      <c r="Q29" s="13"/>
      <c r="R29" s="13"/>
    </row>
    <row r="30" spans="4:37" ht="46.5" customHeight="1" x14ac:dyDescent="0.25">
      <c r="D30" s="5"/>
      <c r="E30" s="5"/>
      <c r="F30" s="5"/>
      <c r="G30" s="5"/>
      <c r="H30" s="5"/>
      <c r="I30" s="5"/>
      <c r="N30" s="5"/>
      <c r="O30" s="13"/>
      <c r="P30" s="13"/>
      <c r="Q30" s="387" t="s">
        <v>564</v>
      </c>
      <c r="R30" s="388" t="s">
        <v>487</v>
      </c>
      <c r="T30" s="389" t="s">
        <v>613</v>
      </c>
      <c r="U30" s="389" t="s">
        <v>629</v>
      </c>
    </row>
    <row r="31" spans="4:37" ht="21" customHeight="1" x14ac:dyDescent="0.25">
      <c r="D31" s="5"/>
      <c r="E31" s="5"/>
      <c r="F31" s="5"/>
      <c r="G31" s="5"/>
      <c r="H31" s="5"/>
      <c r="I31" s="5"/>
      <c r="N31" s="5"/>
      <c r="O31" s="13"/>
      <c r="P31" s="13"/>
      <c r="Q31" s="13"/>
      <c r="R31" s="13"/>
    </row>
    <row r="32" spans="4:37" ht="27" customHeight="1" x14ac:dyDescent="0.25">
      <c r="D32" s="5"/>
      <c r="E32" s="5"/>
      <c r="G32" s="5"/>
      <c r="H32" s="49"/>
      <c r="O32" s="13"/>
      <c r="P32" s="13"/>
      <c r="Q32" s="13"/>
      <c r="R32" s="13"/>
      <c r="T32" s="53" t="s">
        <v>96</v>
      </c>
    </row>
    <row r="33" spans="4:20" ht="47.25" customHeight="1" x14ac:dyDescent="0.25">
      <c r="D33" s="49"/>
      <c r="E33" s="49"/>
      <c r="G33" s="49"/>
      <c r="H33" s="49"/>
      <c r="O33" s="13"/>
      <c r="P33" s="13"/>
      <c r="Q33" s="13"/>
      <c r="R33" s="13"/>
      <c r="T33" s="167" t="s">
        <v>596</v>
      </c>
    </row>
    <row r="34" spans="4:20" ht="31.5" customHeight="1" x14ac:dyDescent="0.25">
      <c r="D34" s="49"/>
      <c r="E34" s="49"/>
      <c r="G34" s="49"/>
      <c r="H34" s="49"/>
      <c r="O34" s="13"/>
      <c r="P34" s="13"/>
      <c r="Q34" s="13"/>
      <c r="R34" s="13"/>
    </row>
    <row r="35" spans="4:20" ht="32.25" customHeight="1" x14ac:dyDescent="0.25">
      <c r="D35" s="49"/>
      <c r="E35" s="49"/>
      <c r="G35" s="49"/>
      <c r="H35" s="49"/>
      <c r="O35" s="13"/>
      <c r="P35" s="13"/>
      <c r="Q35" s="13"/>
      <c r="R35" s="13"/>
    </row>
    <row r="36" spans="4:20" ht="25.5" customHeight="1" x14ac:dyDescent="0.25">
      <c r="D36" s="49"/>
      <c r="E36" s="49"/>
      <c r="G36" s="49"/>
      <c r="H36" s="49"/>
      <c r="O36" s="13"/>
      <c r="P36" s="13"/>
      <c r="Q36" s="13"/>
      <c r="R36" s="13"/>
    </row>
    <row r="37" spans="4:20" ht="18" customHeight="1" x14ac:dyDescent="0.25">
      <c r="D37" s="49"/>
      <c r="E37" s="49"/>
      <c r="G37" s="49"/>
      <c r="H37" s="49"/>
      <c r="O37" s="13"/>
      <c r="P37" s="13"/>
      <c r="Q37" s="13"/>
      <c r="R37" s="13"/>
    </row>
    <row r="38" spans="4:20" ht="49.5" customHeight="1" x14ac:dyDescent="0.25">
      <c r="D38" s="49"/>
      <c r="E38" s="49"/>
      <c r="G38" s="49"/>
      <c r="H38" s="49"/>
      <c r="O38" s="13"/>
      <c r="P38" s="13"/>
      <c r="Q38" s="13"/>
      <c r="R38" s="13"/>
    </row>
    <row r="39" spans="4:20" ht="14.25" customHeight="1" x14ac:dyDescent="0.25">
      <c r="D39" s="49"/>
      <c r="E39" s="49"/>
      <c r="G39" s="49"/>
      <c r="H39" s="49"/>
      <c r="O39" s="13"/>
      <c r="P39" s="13"/>
      <c r="Q39" s="13"/>
      <c r="R39" s="13"/>
    </row>
    <row r="40" spans="4:20" ht="40.5" customHeight="1" x14ac:dyDescent="0.25">
      <c r="D40" s="49"/>
      <c r="E40" s="49"/>
      <c r="G40" s="49"/>
      <c r="H40" s="49"/>
      <c r="O40" s="13"/>
      <c r="P40" s="13"/>
      <c r="Q40" s="13"/>
      <c r="R40" s="13"/>
    </row>
    <row r="41" spans="4:20" ht="30" customHeight="1" x14ac:dyDescent="0.25">
      <c r="D41" s="49"/>
      <c r="E41" s="49"/>
      <c r="G41" s="49"/>
      <c r="H41" s="49"/>
      <c r="O41" s="13"/>
      <c r="P41" s="13"/>
      <c r="Q41" s="13"/>
      <c r="R41" s="13"/>
    </row>
    <row r="42" spans="4:20" ht="14.25" customHeight="1" x14ac:dyDescent="0.25">
      <c r="D42" s="49"/>
      <c r="E42" s="49"/>
      <c r="G42" s="49"/>
      <c r="H42" s="49"/>
      <c r="O42" s="13"/>
      <c r="P42" s="13"/>
      <c r="Q42" s="13"/>
      <c r="R42" s="13"/>
    </row>
    <row r="43" spans="4:20" ht="59.25" customHeight="1" x14ac:dyDescent="0.25">
      <c r="D43" s="49"/>
      <c r="E43" s="49"/>
      <c r="G43" s="49"/>
      <c r="H43" s="49"/>
      <c r="O43" s="13"/>
      <c r="P43" s="13"/>
      <c r="Q43" s="13"/>
      <c r="R43" s="13"/>
    </row>
    <row r="44" spans="4:20" ht="14.25" customHeight="1" x14ac:dyDescent="0.25">
      <c r="D44" s="49"/>
      <c r="E44" s="49"/>
      <c r="G44" s="49"/>
      <c r="H44" s="49"/>
      <c r="O44" s="13"/>
      <c r="P44" s="13"/>
      <c r="Q44" s="13"/>
      <c r="R44" s="13"/>
    </row>
    <row r="45" spans="4:20" ht="43.5" customHeight="1" x14ac:dyDescent="0.25">
      <c r="D45" s="49"/>
      <c r="E45" s="49"/>
      <c r="G45" s="49"/>
      <c r="H45" s="49"/>
      <c r="O45" s="13"/>
      <c r="P45" s="13"/>
      <c r="Q45" s="13"/>
      <c r="R45" s="13"/>
    </row>
    <row r="46" spans="4:20" ht="28.5" customHeight="1" x14ac:dyDescent="0.25">
      <c r="D46" s="49"/>
      <c r="E46" s="49"/>
      <c r="G46" s="49"/>
      <c r="H46" s="49"/>
      <c r="O46" s="13"/>
      <c r="P46" s="13"/>
      <c r="Q46" s="13"/>
      <c r="R46" s="13"/>
    </row>
    <row r="47" spans="4:20" ht="14.25" customHeight="1" x14ac:dyDescent="0.25">
      <c r="D47" s="49"/>
      <c r="E47" s="49"/>
      <c r="G47" s="49"/>
      <c r="H47" s="49"/>
      <c r="O47" s="13"/>
      <c r="P47" s="13"/>
      <c r="Q47" s="13"/>
      <c r="R47" s="13"/>
    </row>
    <row r="48" spans="4:20" ht="51" customHeight="1" x14ac:dyDescent="0.25">
      <c r="D48" s="49"/>
      <c r="E48" s="49"/>
      <c r="G48" s="49"/>
      <c r="H48" s="49"/>
      <c r="O48" s="13"/>
      <c r="P48" s="13"/>
      <c r="Q48" s="13"/>
      <c r="R48" s="13"/>
    </row>
    <row r="49" spans="4:18" ht="25.5" customHeight="1" x14ac:dyDescent="0.25">
      <c r="D49" s="49"/>
      <c r="E49" s="49"/>
      <c r="G49" s="49"/>
      <c r="H49" s="49"/>
      <c r="O49" s="13"/>
      <c r="P49" s="13"/>
      <c r="Q49" s="13"/>
      <c r="R49" s="13"/>
    </row>
    <row r="50" spans="4:18" ht="37.5" customHeight="1" x14ac:dyDescent="0.25">
      <c r="D50" s="49"/>
      <c r="E50" s="49"/>
      <c r="G50" s="49"/>
      <c r="H50" s="49"/>
      <c r="O50" s="13"/>
      <c r="P50" s="13"/>
      <c r="Q50" s="13"/>
      <c r="R50" s="13"/>
    </row>
    <row r="51" spans="4:18" ht="35.25" customHeight="1" x14ac:dyDescent="0.25">
      <c r="D51" s="49"/>
      <c r="E51" s="49"/>
      <c r="G51" s="49"/>
      <c r="H51" s="49"/>
      <c r="O51" s="13"/>
      <c r="P51" s="13"/>
      <c r="Q51" s="13"/>
      <c r="R51" s="13"/>
    </row>
    <row r="52" spans="4:18" ht="12" customHeight="1" x14ac:dyDescent="0.25">
      <c r="D52" s="49"/>
      <c r="E52" s="49"/>
      <c r="G52" s="49"/>
      <c r="H52" s="49"/>
      <c r="O52" s="13"/>
      <c r="P52" s="13"/>
      <c r="Q52" s="13"/>
      <c r="R52" s="13"/>
    </row>
    <row r="53" spans="4:18" ht="66" customHeight="1" x14ac:dyDescent="0.25">
      <c r="D53" s="49"/>
      <c r="E53" s="49"/>
      <c r="G53" s="49"/>
      <c r="H53" s="49"/>
      <c r="O53" s="13"/>
      <c r="P53" s="13"/>
      <c r="Q53" s="13"/>
      <c r="R53" s="13"/>
    </row>
    <row r="54" spans="4:18" ht="14.25" customHeight="1" x14ac:dyDescent="0.25">
      <c r="D54" s="49"/>
      <c r="E54" s="49"/>
      <c r="G54" s="49"/>
      <c r="H54" s="49"/>
      <c r="O54" s="13"/>
      <c r="P54" s="13"/>
      <c r="Q54" s="13"/>
      <c r="R54" s="13"/>
    </row>
    <row r="55" spans="4:18" ht="14.25" customHeight="1" x14ac:dyDescent="0.25">
      <c r="D55" s="49"/>
      <c r="E55" s="49"/>
      <c r="G55" s="49"/>
      <c r="H55" s="49"/>
      <c r="O55" s="13"/>
      <c r="P55" s="13"/>
      <c r="Q55" s="13"/>
      <c r="R55" s="13"/>
    </row>
    <row r="56" spans="4:18" ht="14.25" customHeight="1" x14ac:dyDescent="0.25">
      <c r="D56" s="49"/>
      <c r="E56" s="49"/>
      <c r="G56" s="49"/>
      <c r="H56" s="49"/>
      <c r="O56" s="13"/>
      <c r="P56" s="13"/>
      <c r="Q56" s="13"/>
      <c r="R56" s="13"/>
    </row>
    <row r="57" spans="4:18" ht="14.25" customHeight="1" x14ac:dyDescent="0.25">
      <c r="D57" s="49"/>
      <c r="E57" s="49"/>
      <c r="G57" s="49"/>
      <c r="H57" s="49"/>
      <c r="O57" s="13"/>
      <c r="P57" s="13"/>
      <c r="Q57" s="13"/>
      <c r="R57" s="13"/>
    </row>
    <row r="58" spans="4:18" ht="14.25" customHeight="1" x14ac:dyDescent="0.25">
      <c r="D58" s="49"/>
      <c r="E58" s="49"/>
      <c r="G58" s="49"/>
      <c r="H58" s="49"/>
      <c r="O58" s="13"/>
      <c r="P58" s="13"/>
      <c r="Q58" s="13"/>
      <c r="R58" s="13"/>
    </row>
    <row r="59" spans="4:18" ht="14.25" customHeight="1" x14ac:dyDescent="0.25">
      <c r="D59" s="49"/>
      <c r="E59" s="49"/>
      <c r="G59" s="49"/>
      <c r="H59" s="49"/>
      <c r="O59" s="13"/>
      <c r="P59" s="13"/>
      <c r="Q59" s="13"/>
      <c r="R59" s="13"/>
    </row>
    <row r="60" spans="4:18" ht="14.25" customHeight="1" x14ac:dyDescent="0.25">
      <c r="D60" s="49"/>
      <c r="E60" s="49"/>
      <c r="G60" s="49"/>
      <c r="H60" s="49"/>
      <c r="O60" s="13"/>
      <c r="P60" s="13"/>
      <c r="Q60" s="13"/>
      <c r="R60" s="13"/>
    </row>
    <row r="61" spans="4:18" ht="14.25" customHeight="1" x14ac:dyDescent="0.25">
      <c r="D61" s="49"/>
      <c r="E61" s="49"/>
      <c r="G61" s="49"/>
      <c r="H61" s="49"/>
      <c r="O61" s="13"/>
      <c r="P61" s="13"/>
      <c r="Q61" s="13"/>
      <c r="R61" s="13"/>
    </row>
    <row r="62" spans="4:18" ht="14.25" customHeight="1" x14ac:dyDescent="0.25">
      <c r="D62" s="49"/>
      <c r="E62" s="49"/>
      <c r="G62" s="49"/>
      <c r="H62" s="49"/>
      <c r="O62" s="13"/>
      <c r="P62" s="13"/>
      <c r="Q62" s="13"/>
      <c r="R62" s="13"/>
    </row>
    <row r="63" spans="4:18" ht="14.25" customHeight="1" x14ac:dyDescent="0.25">
      <c r="D63" s="49"/>
      <c r="E63" s="49"/>
      <c r="G63" s="49"/>
      <c r="H63" s="49"/>
      <c r="O63" s="13"/>
      <c r="P63" s="13"/>
      <c r="Q63" s="13"/>
      <c r="R63" s="13"/>
    </row>
    <row r="64" spans="4:18" ht="14.25" customHeight="1" x14ac:dyDescent="0.25">
      <c r="D64" s="49"/>
      <c r="E64" s="49"/>
      <c r="G64" s="49"/>
      <c r="H64" s="49"/>
      <c r="O64" s="13"/>
      <c r="P64" s="13"/>
      <c r="Q64" s="13"/>
      <c r="R64" s="13"/>
    </row>
    <row r="65" spans="4:18" ht="14.25" customHeight="1" x14ac:dyDescent="0.25">
      <c r="D65" s="49"/>
      <c r="E65" s="49"/>
      <c r="G65" s="49"/>
      <c r="H65" s="49"/>
      <c r="O65" s="13"/>
      <c r="P65" s="13"/>
      <c r="Q65" s="13"/>
      <c r="R65" s="13"/>
    </row>
    <row r="66" spans="4:18" ht="14.25" customHeight="1" x14ac:dyDescent="0.25">
      <c r="D66" s="49"/>
      <c r="E66" s="49"/>
      <c r="G66" s="49"/>
      <c r="H66" s="49"/>
      <c r="O66" s="13"/>
      <c r="P66" s="13"/>
      <c r="Q66" s="13"/>
      <c r="R66" s="13"/>
    </row>
    <row r="67" spans="4:18" ht="14.25" customHeight="1" x14ac:dyDescent="0.25">
      <c r="D67" s="49"/>
      <c r="E67" s="49"/>
      <c r="G67" s="49"/>
      <c r="H67" s="49"/>
      <c r="O67" s="13"/>
      <c r="P67" s="13"/>
      <c r="Q67" s="13"/>
      <c r="R67" s="13"/>
    </row>
    <row r="68" spans="4:18" ht="14.25" customHeight="1" x14ac:dyDescent="0.25">
      <c r="D68" s="49"/>
      <c r="E68" s="49"/>
      <c r="G68" s="49"/>
      <c r="H68" s="49"/>
      <c r="O68" s="13"/>
      <c r="P68" s="13"/>
      <c r="Q68" s="13"/>
      <c r="R68" s="13"/>
    </row>
    <row r="69" spans="4:18" ht="14.25" customHeight="1" x14ac:dyDescent="0.25">
      <c r="D69" s="49"/>
      <c r="E69" s="49"/>
      <c r="G69" s="49"/>
      <c r="H69" s="49"/>
      <c r="O69" s="13"/>
      <c r="P69" s="13"/>
      <c r="Q69" s="13"/>
      <c r="R69" s="13"/>
    </row>
    <row r="70" spans="4:18" ht="14.25" customHeight="1" x14ac:dyDescent="0.25">
      <c r="D70" s="49"/>
      <c r="E70" s="49"/>
      <c r="G70" s="49"/>
      <c r="H70" s="49"/>
      <c r="O70" s="13"/>
      <c r="P70" s="13"/>
      <c r="Q70" s="13"/>
      <c r="R70" s="13"/>
    </row>
    <row r="71" spans="4:18" ht="14.25" customHeight="1" x14ac:dyDescent="0.25">
      <c r="D71" s="49"/>
      <c r="E71" s="49"/>
      <c r="G71" s="49"/>
      <c r="H71" s="49"/>
      <c r="O71" s="13"/>
      <c r="P71" s="13"/>
      <c r="Q71" s="13"/>
      <c r="R71" s="13"/>
    </row>
    <row r="72" spans="4:18" ht="14.25" customHeight="1" x14ac:dyDescent="0.25">
      <c r="D72" s="49"/>
      <c r="E72" s="49"/>
      <c r="G72" s="49"/>
      <c r="H72" s="49"/>
      <c r="O72" s="13"/>
      <c r="P72" s="13"/>
      <c r="Q72" s="13"/>
      <c r="R72" s="13"/>
    </row>
    <row r="73" spans="4:18" ht="14.25" customHeight="1" x14ac:dyDescent="0.25">
      <c r="D73" s="49"/>
      <c r="E73" s="49"/>
      <c r="G73" s="49"/>
      <c r="H73" s="49"/>
      <c r="O73" s="13"/>
      <c r="P73" s="13"/>
      <c r="Q73" s="13"/>
      <c r="R73" s="13"/>
    </row>
    <row r="74" spans="4:18" ht="14.25" customHeight="1" x14ac:dyDescent="0.25">
      <c r="D74" s="49"/>
      <c r="E74" s="49"/>
      <c r="G74" s="49"/>
      <c r="H74" s="49"/>
      <c r="O74" s="13"/>
      <c r="P74" s="13"/>
      <c r="Q74" s="13"/>
      <c r="R74" s="13"/>
    </row>
    <row r="75" spans="4:18" ht="14.25" customHeight="1" x14ac:dyDescent="0.25">
      <c r="D75" s="49"/>
      <c r="E75" s="49"/>
      <c r="G75" s="49"/>
      <c r="H75" s="49"/>
      <c r="O75" s="13"/>
      <c r="P75" s="13"/>
      <c r="Q75" s="13"/>
      <c r="R75" s="13"/>
    </row>
    <row r="76" spans="4:18" ht="14.25" customHeight="1" x14ac:dyDescent="0.25">
      <c r="D76" s="49"/>
      <c r="E76" s="49"/>
      <c r="G76" s="49"/>
      <c r="H76" s="49"/>
      <c r="O76" s="13"/>
      <c r="P76" s="13"/>
      <c r="Q76" s="13"/>
      <c r="R76" s="13"/>
    </row>
    <row r="77" spans="4:18" ht="14.25" customHeight="1" x14ac:dyDescent="0.25">
      <c r="D77" s="49"/>
      <c r="E77" s="49"/>
      <c r="G77" s="49"/>
      <c r="H77" s="49"/>
      <c r="O77" s="13"/>
      <c r="P77" s="13"/>
      <c r="Q77" s="13"/>
      <c r="R77" s="13"/>
    </row>
    <row r="78" spans="4:18" ht="14.25" customHeight="1" x14ac:dyDescent="0.25">
      <c r="D78" s="49"/>
      <c r="E78" s="49"/>
      <c r="G78" s="49"/>
      <c r="H78" s="49"/>
      <c r="O78" s="13"/>
      <c r="P78" s="13"/>
      <c r="Q78" s="13"/>
      <c r="R78" s="13"/>
    </row>
    <row r="79" spans="4:18" ht="14.25" customHeight="1" x14ac:dyDescent="0.25">
      <c r="D79" s="49"/>
      <c r="E79" s="49"/>
      <c r="G79" s="49"/>
      <c r="H79" s="49"/>
      <c r="O79" s="13"/>
      <c r="P79" s="13"/>
      <c r="Q79" s="13"/>
      <c r="R79" s="13"/>
    </row>
    <row r="80" spans="4:18" ht="14.25" customHeight="1" x14ac:dyDescent="0.25">
      <c r="D80" s="49"/>
      <c r="E80" s="49"/>
      <c r="G80" s="49"/>
      <c r="H80" s="49"/>
      <c r="O80" s="13"/>
      <c r="P80" s="13"/>
      <c r="Q80" s="13"/>
      <c r="R80" s="13"/>
    </row>
    <row r="81" spans="4:18" ht="14.25" customHeight="1" x14ac:dyDescent="0.25">
      <c r="D81" s="49"/>
      <c r="E81" s="49"/>
      <c r="G81" s="49"/>
      <c r="H81" s="49"/>
      <c r="O81" s="13"/>
      <c r="P81" s="13"/>
      <c r="Q81" s="13"/>
      <c r="R81" s="13"/>
    </row>
    <row r="82" spans="4:18" ht="14.25" customHeight="1" x14ac:dyDescent="0.25">
      <c r="D82" s="49"/>
      <c r="E82" s="49"/>
      <c r="G82" s="49"/>
      <c r="H82" s="49"/>
      <c r="O82" s="13"/>
      <c r="P82" s="13"/>
      <c r="Q82" s="13"/>
      <c r="R82" s="13"/>
    </row>
    <row r="83" spans="4:18" ht="14.25" customHeight="1" x14ac:dyDescent="0.25">
      <c r="D83" s="49"/>
      <c r="E83" s="49"/>
      <c r="G83" s="49"/>
      <c r="H83" s="49"/>
      <c r="O83" s="13"/>
      <c r="P83" s="13"/>
      <c r="Q83" s="13"/>
      <c r="R83" s="13"/>
    </row>
    <row r="84" spans="4:18" ht="14.25" customHeight="1" x14ac:dyDescent="0.25">
      <c r="D84" s="49"/>
      <c r="E84" s="49"/>
      <c r="G84" s="49"/>
      <c r="H84" s="49"/>
      <c r="O84" s="13"/>
      <c r="P84" s="13"/>
      <c r="Q84" s="13"/>
      <c r="R84" s="13"/>
    </row>
    <row r="85" spans="4:18" ht="14.25" customHeight="1" x14ac:dyDescent="0.25">
      <c r="D85" s="49"/>
      <c r="E85" s="49"/>
      <c r="G85" s="49"/>
      <c r="H85" s="49"/>
      <c r="O85" s="13"/>
      <c r="P85" s="13"/>
      <c r="Q85" s="13"/>
      <c r="R85" s="13"/>
    </row>
    <row r="86" spans="4:18" ht="14.25" customHeight="1" x14ac:dyDescent="0.25">
      <c r="D86" s="49"/>
      <c r="E86" s="49"/>
      <c r="G86" s="49"/>
      <c r="H86" s="49"/>
      <c r="O86" s="13"/>
      <c r="P86" s="13"/>
      <c r="Q86" s="13"/>
      <c r="R86" s="13"/>
    </row>
    <row r="87" spans="4:18" ht="14.25" customHeight="1" x14ac:dyDescent="0.25">
      <c r="D87" s="49"/>
      <c r="E87" s="49"/>
      <c r="G87" s="49"/>
      <c r="H87" s="49"/>
      <c r="O87" s="13"/>
      <c r="P87" s="13"/>
      <c r="Q87" s="13"/>
      <c r="R87" s="13"/>
    </row>
    <row r="88" spans="4:18" ht="14.25" customHeight="1" x14ac:dyDescent="0.25">
      <c r="D88" s="49"/>
      <c r="E88" s="49"/>
      <c r="G88" s="49"/>
      <c r="H88" s="49"/>
      <c r="O88" s="13"/>
      <c r="P88" s="13"/>
      <c r="Q88" s="13"/>
      <c r="R88" s="13"/>
    </row>
    <row r="89" spans="4:18" ht="14.25" customHeight="1" x14ac:dyDescent="0.25">
      <c r="D89" s="49"/>
      <c r="E89" s="49"/>
      <c r="G89" s="49"/>
      <c r="H89" s="49"/>
      <c r="O89" s="13"/>
      <c r="P89" s="13"/>
      <c r="Q89" s="13"/>
      <c r="R89" s="13"/>
    </row>
    <row r="90" spans="4:18" ht="14.25" customHeight="1" x14ac:dyDescent="0.25">
      <c r="D90" s="49"/>
      <c r="E90" s="49"/>
      <c r="G90" s="49"/>
      <c r="H90" s="49"/>
      <c r="O90" s="13"/>
      <c r="P90" s="13"/>
      <c r="Q90" s="13"/>
      <c r="R90" s="13"/>
    </row>
    <row r="91" spans="4:18" ht="14.25" customHeight="1" x14ac:dyDescent="0.25">
      <c r="D91" s="49"/>
      <c r="E91" s="49"/>
      <c r="G91" s="49"/>
      <c r="H91" s="49"/>
      <c r="O91" s="13"/>
      <c r="P91" s="13"/>
      <c r="Q91" s="13"/>
      <c r="R91" s="13"/>
    </row>
    <row r="92" spans="4:18" ht="14.25" customHeight="1" x14ac:dyDescent="0.25">
      <c r="D92" s="49"/>
      <c r="E92" s="49"/>
      <c r="G92" s="49"/>
      <c r="H92" s="49"/>
      <c r="O92" s="13"/>
      <c r="P92" s="13"/>
      <c r="Q92" s="13"/>
      <c r="R92" s="13"/>
    </row>
    <row r="93" spans="4:18" ht="14.25" customHeight="1" x14ac:dyDescent="0.25">
      <c r="D93" s="49"/>
      <c r="E93" s="49"/>
      <c r="G93" s="49"/>
      <c r="H93" s="49"/>
      <c r="O93" s="13"/>
      <c r="P93" s="13"/>
      <c r="Q93" s="13"/>
      <c r="R93" s="13"/>
    </row>
    <row r="94" spans="4:18" ht="14.25" customHeight="1" x14ac:dyDescent="0.25">
      <c r="D94" s="49"/>
      <c r="E94" s="49"/>
      <c r="G94" s="49"/>
      <c r="H94" s="49"/>
      <c r="O94" s="13"/>
      <c r="P94" s="13"/>
      <c r="Q94" s="13"/>
      <c r="R94" s="13"/>
    </row>
    <row r="95" spans="4:18" ht="14.25" customHeight="1" x14ac:dyDescent="0.25">
      <c r="D95" s="49"/>
      <c r="E95" s="49"/>
      <c r="G95" s="49"/>
      <c r="H95" s="49"/>
      <c r="O95" s="13"/>
      <c r="P95" s="13"/>
      <c r="Q95" s="13"/>
      <c r="R95" s="13"/>
    </row>
    <row r="96" spans="4:18" ht="14.25" customHeight="1" x14ac:dyDescent="0.25">
      <c r="D96" s="49"/>
      <c r="E96" s="49"/>
      <c r="G96" s="49"/>
      <c r="H96" s="49"/>
      <c r="O96" s="13"/>
      <c r="P96" s="13"/>
      <c r="Q96" s="13"/>
      <c r="R96" s="13"/>
    </row>
    <row r="97" spans="4:18" ht="14.25" customHeight="1" x14ac:dyDescent="0.25">
      <c r="D97" s="49"/>
      <c r="E97" s="49"/>
      <c r="G97" s="49"/>
      <c r="H97" s="49"/>
      <c r="O97" s="13"/>
      <c r="P97" s="13"/>
      <c r="Q97" s="13"/>
      <c r="R97" s="13"/>
    </row>
    <row r="98" spans="4:18" ht="14.25" customHeight="1" x14ac:dyDescent="0.25">
      <c r="D98" s="49"/>
      <c r="E98" s="49"/>
      <c r="G98" s="49"/>
      <c r="H98" s="49"/>
      <c r="O98" s="13"/>
      <c r="P98" s="13"/>
      <c r="Q98" s="13"/>
      <c r="R98" s="13"/>
    </row>
    <row r="99" spans="4:18" ht="14.25" customHeight="1" x14ac:dyDescent="0.25">
      <c r="D99" s="49"/>
      <c r="E99" s="49"/>
      <c r="G99" s="49"/>
      <c r="H99" s="49"/>
      <c r="O99" s="13"/>
      <c r="P99" s="13"/>
      <c r="Q99" s="13"/>
      <c r="R99" s="13"/>
    </row>
    <row r="100" spans="4:18" ht="14.25" customHeight="1" x14ac:dyDescent="0.25">
      <c r="D100" s="49"/>
      <c r="E100" s="49"/>
      <c r="G100" s="49"/>
      <c r="H100" s="49"/>
      <c r="O100" s="13"/>
      <c r="P100" s="13"/>
      <c r="Q100" s="13"/>
      <c r="R100" s="13"/>
    </row>
    <row r="101" spans="4:18" ht="14.25" customHeight="1" x14ac:dyDescent="0.25">
      <c r="D101" s="49"/>
      <c r="E101" s="49"/>
      <c r="G101" s="49"/>
      <c r="H101" s="49"/>
      <c r="O101" s="13"/>
      <c r="P101" s="13"/>
      <c r="Q101" s="13"/>
      <c r="R101" s="13"/>
    </row>
    <row r="102" spans="4:18" ht="14.25" customHeight="1" x14ac:dyDescent="0.25">
      <c r="D102" s="49"/>
      <c r="E102" s="49"/>
      <c r="G102" s="49"/>
      <c r="H102" s="49"/>
      <c r="O102" s="13"/>
      <c r="P102" s="13"/>
      <c r="Q102" s="13"/>
      <c r="R102" s="13"/>
    </row>
    <row r="103" spans="4:18" ht="14.25" customHeight="1" x14ac:dyDescent="0.25">
      <c r="D103" s="49"/>
      <c r="E103" s="49"/>
      <c r="G103" s="49"/>
      <c r="H103" s="49"/>
      <c r="O103" s="13"/>
      <c r="P103" s="13"/>
      <c r="Q103" s="13"/>
      <c r="R103" s="13"/>
    </row>
    <row r="104" spans="4:18" ht="14.25" customHeight="1" x14ac:dyDescent="0.25">
      <c r="D104" s="49"/>
      <c r="E104" s="49"/>
      <c r="G104" s="49"/>
      <c r="H104" s="49"/>
      <c r="O104" s="13"/>
      <c r="P104" s="13"/>
      <c r="Q104" s="13"/>
      <c r="R104" s="13"/>
    </row>
    <row r="105" spans="4:18" ht="14.25" customHeight="1" x14ac:dyDescent="0.25">
      <c r="D105" s="49"/>
      <c r="E105" s="49"/>
      <c r="G105" s="49"/>
      <c r="H105" s="49"/>
      <c r="O105" s="13"/>
      <c r="P105" s="13"/>
      <c r="Q105" s="13"/>
      <c r="R105" s="13"/>
    </row>
    <row r="106" spans="4:18" ht="14.25" customHeight="1" x14ac:dyDescent="0.25">
      <c r="D106" s="49"/>
      <c r="E106" s="49"/>
      <c r="G106" s="49"/>
      <c r="H106" s="49"/>
      <c r="O106" s="13"/>
      <c r="P106" s="13"/>
      <c r="Q106" s="13"/>
      <c r="R106" s="13"/>
    </row>
    <row r="107" spans="4:18" ht="14.25" customHeight="1" x14ac:dyDescent="0.25">
      <c r="D107" s="49"/>
      <c r="E107" s="49"/>
      <c r="G107" s="49"/>
      <c r="H107" s="49"/>
      <c r="O107" s="13"/>
      <c r="P107" s="13"/>
      <c r="Q107" s="13"/>
      <c r="R107" s="13"/>
    </row>
    <row r="108" spans="4:18" ht="14.25" customHeight="1" x14ac:dyDescent="0.25">
      <c r="D108" s="49"/>
      <c r="E108" s="49"/>
      <c r="G108" s="49"/>
      <c r="H108" s="49"/>
      <c r="O108" s="13"/>
      <c r="P108" s="13"/>
      <c r="Q108" s="13"/>
      <c r="R108" s="13"/>
    </row>
    <row r="109" spans="4:18" ht="14.25" customHeight="1" x14ac:dyDescent="0.25">
      <c r="D109" s="49"/>
      <c r="E109" s="49"/>
      <c r="G109" s="49"/>
      <c r="H109" s="49"/>
      <c r="O109" s="13"/>
      <c r="P109" s="13"/>
      <c r="Q109" s="13"/>
      <c r="R109" s="13"/>
    </row>
    <row r="110" spans="4:18" ht="14.25" customHeight="1" x14ac:dyDescent="0.25">
      <c r="D110" s="49"/>
      <c r="E110" s="49"/>
      <c r="G110" s="49"/>
      <c r="H110" s="49"/>
      <c r="O110" s="13"/>
      <c r="P110" s="13"/>
      <c r="Q110" s="13"/>
      <c r="R110" s="13"/>
    </row>
    <row r="111" spans="4:18" ht="14.25" customHeight="1" x14ac:dyDescent="0.25">
      <c r="D111" s="49"/>
      <c r="E111" s="49"/>
      <c r="G111" s="49"/>
      <c r="H111" s="49"/>
      <c r="O111" s="13"/>
      <c r="P111" s="13"/>
      <c r="Q111" s="13"/>
      <c r="R111" s="13"/>
    </row>
    <row r="112" spans="4:18" ht="14.25" customHeight="1" x14ac:dyDescent="0.25">
      <c r="D112" s="49"/>
      <c r="E112" s="49"/>
      <c r="G112" s="49"/>
      <c r="H112" s="49"/>
      <c r="O112" s="13"/>
      <c r="P112" s="13"/>
      <c r="Q112" s="13"/>
      <c r="R112" s="13"/>
    </row>
    <row r="113" spans="4:18" ht="14.25" customHeight="1" x14ac:dyDescent="0.25">
      <c r="D113" s="49"/>
      <c r="E113" s="49"/>
      <c r="G113" s="49"/>
      <c r="H113" s="49"/>
      <c r="O113" s="13"/>
      <c r="P113" s="13"/>
      <c r="Q113" s="13"/>
      <c r="R113" s="13"/>
    </row>
    <row r="114" spans="4:18" ht="14.25" customHeight="1" x14ac:dyDescent="0.25">
      <c r="D114" s="49"/>
      <c r="E114" s="49"/>
      <c r="G114" s="49"/>
      <c r="H114" s="49"/>
      <c r="O114" s="13"/>
      <c r="P114" s="13"/>
      <c r="Q114" s="13"/>
      <c r="R114" s="13"/>
    </row>
    <row r="115" spans="4:18" ht="14.25" customHeight="1" x14ac:dyDescent="0.25">
      <c r="D115" s="49"/>
      <c r="E115" s="49"/>
      <c r="G115" s="49"/>
      <c r="H115" s="49"/>
      <c r="O115" s="13"/>
      <c r="P115" s="13"/>
      <c r="Q115" s="13"/>
      <c r="R115" s="13"/>
    </row>
    <row r="116" spans="4:18" ht="14.25" customHeight="1" x14ac:dyDescent="0.25">
      <c r="D116" s="49"/>
      <c r="E116" s="49"/>
      <c r="G116" s="49"/>
      <c r="H116" s="49"/>
      <c r="O116" s="13"/>
      <c r="P116" s="13"/>
      <c r="Q116" s="13"/>
      <c r="R116" s="13"/>
    </row>
    <row r="117" spans="4:18" ht="14.25" customHeight="1" x14ac:dyDescent="0.25">
      <c r="D117" s="49"/>
      <c r="E117" s="49"/>
      <c r="G117" s="49"/>
      <c r="H117" s="49"/>
      <c r="O117" s="13"/>
      <c r="P117" s="13"/>
      <c r="Q117" s="13"/>
      <c r="R117" s="13"/>
    </row>
    <row r="118" spans="4:18" ht="14.25" customHeight="1" x14ac:dyDescent="0.25">
      <c r="D118" s="49"/>
      <c r="E118" s="49"/>
      <c r="G118" s="49"/>
      <c r="H118" s="49"/>
      <c r="O118" s="13"/>
      <c r="P118" s="13"/>
      <c r="Q118" s="13"/>
      <c r="R118" s="13"/>
    </row>
    <row r="119" spans="4:18" ht="14.25" customHeight="1" x14ac:dyDescent="0.25">
      <c r="D119" s="49"/>
      <c r="E119" s="49"/>
      <c r="G119" s="49"/>
      <c r="H119" s="49"/>
      <c r="O119" s="13"/>
      <c r="P119" s="13"/>
      <c r="Q119" s="13"/>
      <c r="R119" s="13"/>
    </row>
    <row r="120" spans="4:18" ht="14.25" customHeight="1" x14ac:dyDescent="0.25">
      <c r="D120" s="49"/>
      <c r="E120" s="49"/>
      <c r="G120" s="49"/>
      <c r="H120" s="49"/>
      <c r="O120" s="13"/>
      <c r="P120" s="13"/>
      <c r="Q120" s="13"/>
      <c r="R120" s="13"/>
    </row>
    <row r="121" spans="4:18" ht="14.25" customHeight="1" x14ac:dyDescent="0.25">
      <c r="D121" s="49"/>
      <c r="E121" s="49"/>
      <c r="G121" s="49"/>
      <c r="H121" s="49"/>
      <c r="O121" s="13"/>
      <c r="P121" s="13"/>
      <c r="Q121" s="13"/>
      <c r="R121" s="13"/>
    </row>
    <row r="122" spans="4:18" ht="14.25" customHeight="1" x14ac:dyDescent="0.25">
      <c r="D122" s="49"/>
      <c r="E122" s="49"/>
      <c r="G122" s="49"/>
      <c r="H122" s="49"/>
      <c r="O122" s="13"/>
      <c r="P122" s="13"/>
      <c r="Q122" s="13"/>
      <c r="R122" s="13"/>
    </row>
    <row r="123" spans="4:18" ht="14.25" customHeight="1" x14ac:dyDescent="0.25">
      <c r="D123" s="49"/>
      <c r="E123" s="49"/>
      <c r="G123" s="49"/>
      <c r="H123" s="49"/>
      <c r="O123" s="13"/>
      <c r="P123" s="13"/>
      <c r="Q123" s="13"/>
      <c r="R123" s="13"/>
    </row>
    <row r="124" spans="4:18" ht="14.25" customHeight="1" x14ac:dyDescent="0.25">
      <c r="D124" s="49"/>
      <c r="E124" s="49"/>
      <c r="G124" s="49"/>
      <c r="H124" s="49"/>
      <c r="O124" s="13"/>
      <c r="P124" s="13"/>
      <c r="Q124" s="13"/>
      <c r="R124" s="13"/>
    </row>
    <row r="125" spans="4:18" ht="14.25" customHeight="1" x14ac:dyDescent="0.25">
      <c r="D125" s="49"/>
      <c r="E125" s="49"/>
      <c r="G125" s="49"/>
      <c r="H125" s="49"/>
      <c r="O125" s="13"/>
      <c r="P125" s="13"/>
      <c r="Q125" s="13"/>
      <c r="R125" s="13"/>
    </row>
    <row r="126" spans="4:18" ht="14.25" customHeight="1" x14ac:dyDescent="0.25">
      <c r="D126" s="49"/>
      <c r="E126" s="49"/>
      <c r="G126" s="49"/>
      <c r="H126" s="49"/>
      <c r="O126" s="13"/>
      <c r="P126" s="13"/>
      <c r="Q126" s="13"/>
      <c r="R126" s="13"/>
    </row>
    <row r="127" spans="4:18" ht="14.25" customHeight="1" x14ac:dyDescent="0.25">
      <c r="D127" s="49"/>
      <c r="E127" s="49"/>
      <c r="G127" s="49"/>
      <c r="H127" s="49"/>
      <c r="O127" s="13"/>
      <c r="P127" s="13"/>
      <c r="Q127" s="13"/>
      <c r="R127" s="13"/>
    </row>
    <row r="128" spans="4:18" ht="14.25" customHeight="1" x14ac:dyDescent="0.25">
      <c r="D128" s="49"/>
      <c r="E128" s="49"/>
      <c r="G128" s="49"/>
      <c r="H128" s="49"/>
      <c r="O128" s="13"/>
      <c r="P128" s="13"/>
      <c r="Q128" s="13"/>
      <c r="R128" s="13"/>
    </row>
    <row r="129" spans="4:18" ht="14.25" customHeight="1" x14ac:dyDescent="0.25">
      <c r="D129" s="49"/>
      <c r="E129" s="49"/>
      <c r="G129" s="49"/>
      <c r="H129" s="49"/>
      <c r="O129" s="13"/>
      <c r="P129" s="13"/>
      <c r="Q129" s="13"/>
      <c r="R129" s="13"/>
    </row>
    <row r="130" spans="4:18" ht="14.25" customHeight="1" x14ac:dyDescent="0.25">
      <c r="D130" s="49"/>
      <c r="E130" s="49"/>
      <c r="G130" s="49"/>
      <c r="H130" s="49"/>
      <c r="O130" s="13"/>
      <c r="P130" s="13"/>
      <c r="Q130" s="13"/>
      <c r="R130" s="13"/>
    </row>
    <row r="131" spans="4:18" ht="14.25" customHeight="1" x14ac:dyDescent="0.25">
      <c r="D131" s="49"/>
      <c r="E131" s="49"/>
      <c r="G131" s="49"/>
      <c r="H131" s="49"/>
      <c r="O131" s="13"/>
      <c r="P131" s="13"/>
      <c r="Q131" s="13"/>
      <c r="R131" s="13"/>
    </row>
    <row r="132" spans="4:18" ht="14.25" customHeight="1" x14ac:dyDescent="0.25">
      <c r="D132" s="49"/>
      <c r="E132" s="49"/>
      <c r="G132" s="49"/>
      <c r="H132" s="49"/>
      <c r="O132" s="13"/>
      <c r="P132" s="13"/>
      <c r="Q132" s="13"/>
      <c r="R132" s="13"/>
    </row>
    <row r="133" spans="4:18" ht="14.25" customHeight="1" x14ac:dyDescent="0.25">
      <c r="D133" s="49"/>
      <c r="E133" s="49"/>
      <c r="G133" s="49"/>
      <c r="H133" s="49"/>
      <c r="O133" s="13"/>
      <c r="P133" s="13"/>
      <c r="Q133" s="13"/>
      <c r="R133" s="13"/>
    </row>
    <row r="134" spans="4:18" ht="14.25" customHeight="1" x14ac:dyDescent="0.25">
      <c r="D134" s="49"/>
      <c r="E134" s="49"/>
      <c r="G134" s="49"/>
      <c r="H134" s="49"/>
      <c r="O134" s="13"/>
      <c r="P134" s="13"/>
      <c r="Q134" s="13"/>
      <c r="R134" s="13"/>
    </row>
    <row r="135" spans="4:18" ht="14.25" customHeight="1" x14ac:dyDescent="0.25">
      <c r="D135" s="49"/>
      <c r="E135" s="49"/>
      <c r="G135" s="49"/>
      <c r="H135" s="49"/>
      <c r="O135" s="13"/>
      <c r="P135" s="13"/>
      <c r="Q135" s="13"/>
      <c r="R135" s="13"/>
    </row>
    <row r="136" spans="4:18" ht="14.25" customHeight="1" x14ac:dyDescent="0.25">
      <c r="D136" s="49"/>
      <c r="E136" s="49"/>
      <c r="G136" s="49"/>
      <c r="H136" s="49"/>
      <c r="O136" s="13"/>
      <c r="P136" s="13"/>
      <c r="Q136" s="13"/>
      <c r="R136" s="13"/>
    </row>
    <row r="137" spans="4:18" ht="14.25" customHeight="1" x14ac:dyDescent="0.25">
      <c r="D137" s="49"/>
      <c r="E137" s="49"/>
      <c r="G137" s="49"/>
      <c r="H137" s="49"/>
      <c r="O137" s="13"/>
      <c r="P137" s="13"/>
      <c r="Q137" s="13"/>
      <c r="R137" s="13"/>
    </row>
    <row r="138" spans="4:18" ht="14.25" customHeight="1" x14ac:dyDescent="0.25">
      <c r="D138" s="49"/>
      <c r="E138" s="49"/>
      <c r="G138" s="49"/>
      <c r="H138" s="49"/>
      <c r="O138" s="13"/>
      <c r="P138" s="13"/>
      <c r="Q138" s="13"/>
      <c r="R138" s="13"/>
    </row>
    <row r="139" spans="4:18" ht="14.25" customHeight="1" x14ac:dyDescent="0.25">
      <c r="D139" s="49"/>
      <c r="E139" s="49"/>
      <c r="G139" s="49"/>
      <c r="H139" s="49"/>
      <c r="O139" s="13"/>
      <c r="P139" s="13"/>
      <c r="Q139" s="13"/>
      <c r="R139" s="13"/>
    </row>
    <row r="140" spans="4:18" ht="14.25" customHeight="1" x14ac:dyDescent="0.25">
      <c r="D140" s="49"/>
      <c r="E140" s="49"/>
      <c r="G140" s="49"/>
      <c r="H140" s="49"/>
      <c r="O140" s="13"/>
      <c r="P140" s="13"/>
      <c r="Q140" s="13"/>
      <c r="R140" s="13"/>
    </row>
    <row r="141" spans="4:18" ht="14.25" customHeight="1" x14ac:dyDescent="0.25">
      <c r="D141" s="49"/>
      <c r="E141" s="49"/>
      <c r="G141" s="49"/>
      <c r="H141" s="49"/>
      <c r="O141" s="13"/>
      <c r="P141" s="13"/>
      <c r="Q141" s="13"/>
      <c r="R141" s="13"/>
    </row>
    <row r="142" spans="4:18" ht="14.25" customHeight="1" x14ac:dyDescent="0.25">
      <c r="D142" s="49"/>
      <c r="E142" s="49"/>
      <c r="G142" s="49"/>
      <c r="H142" s="49"/>
      <c r="O142" s="13"/>
      <c r="P142" s="13"/>
      <c r="Q142" s="13"/>
      <c r="R142" s="13"/>
    </row>
    <row r="143" spans="4:18" ht="14.25" customHeight="1" x14ac:dyDescent="0.25">
      <c r="D143" s="49"/>
      <c r="E143" s="49"/>
      <c r="G143" s="49"/>
      <c r="H143" s="49"/>
      <c r="O143" s="13"/>
      <c r="P143" s="13"/>
      <c r="Q143" s="13"/>
      <c r="R143" s="13"/>
    </row>
    <row r="144" spans="4:18" ht="14.25" customHeight="1" x14ac:dyDescent="0.25">
      <c r="D144" s="49"/>
      <c r="E144" s="49"/>
      <c r="G144" s="49"/>
      <c r="H144" s="49"/>
      <c r="O144" s="13"/>
      <c r="P144" s="13"/>
      <c r="Q144" s="13"/>
      <c r="R144" s="13"/>
    </row>
    <row r="145" spans="4:18" ht="14.25" customHeight="1" x14ac:dyDescent="0.25">
      <c r="D145" s="49"/>
      <c r="E145" s="49"/>
      <c r="G145" s="49"/>
      <c r="H145" s="49"/>
      <c r="O145" s="13"/>
      <c r="P145" s="13"/>
      <c r="Q145" s="13"/>
      <c r="R145" s="13"/>
    </row>
    <row r="146" spans="4:18" ht="14.25" customHeight="1" x14ac:dyDescent="0.25">
      <c r="D146" s="49"/>
      <c r="E146" s="49"/>
      <c r="G146" s="49"/>
      <c r="H146" s="49"/>
      <c r="O146" s="13"/>
      <c r="P146" s="13"/>
      <c r="Q146" s="13"/>
      <c r="R146" s="13"/>
    </row>
    <row r="147" spans="4:18" ht="14.25" customHeight="1" x14ac:dyDescent="0.25">
      <c r="D147" s="49"/>
      <c r="E147" s="49"/>
      <c r="G147" s="49"/>
      <c r="H147" s="49"/>
      <c r="O147" s="13"/>
      <c r="P147" s="13"/>
      <c r="Q147" s="13"/>
      <c r="R147" s="13"/>
    </row>
    <row r="148" spans="4:18" ht="14.25" customHeight="1" x14ac:dyDescent="0.25">
      <c r="D148" s="49"/>
      <c r="E148" s="49"/>
      <c r="G148" s="49"/>
      <c r="H148" s="49"/>
      <c r="O148" s="13"/>
      <c r="P148" s="13"/>
      <c r="Q148" s="13"/>
      <c r="R148" s="13"/>
    </row>
    <row r="149" spans="4:18" ht="14.25" customHeight="1" x14ac:dyDescent="0.25">
      <c r="D149" s="49"/>
      <c r="E149" s="49"/>
      <c r="G149" s="49"/>
      <c r="H149" s="49"/>
      <c r="O149" s="13"/>
      <c r="P149" s="13"/>
      <c r="Q149" s="13"/>
      <c r="R149" s="13"/>
    </row>
    <row r="150" spans="4:18" ht="14.25" customHeight="1" x14ac:dyDescent="0.25">
      <c r="D150" s="49"/>
      <c r="E150" s="49"/>
      <c r="G150" s="49"/>
      <c r="H150" s="49"/>
      <c r="O150" s="13"/>
      <c r="P150" s="13"/>
      <c r="Q150" s="13"/>
      <c r="R150" s="13"/>
    </row>
    <row r="151" spans="4:18" ht="14.25" customHeight="1" x14ac:dyDescent="0.25">
      <c r="D151" s="49"/>
      <c r="E151" s="49"/>
      <c r="G151" s="49"/>
      <c r="H151" s="49"/>
      <c r="O151" s="13"/>
      <c r="P151" s="13"/>
      <c r="Q151" s="13"/>
      <c r="R151" s="13"/>
    </row>
    <row r="152" spans="4:18" ht="14.25" customHeight="1" x14ac:dyDescent="0.25">
      <c r="D152" s="49"/>
      <c r="E152" s="49"/>
      <c r="G152" s="49"/>
      <c r="H152" s="49"/>
      <c r="O152" s="13"/>
      <c r="P152" s="13"/>
      <c r="Q152" s="13"/>
      <c r="R152" s="13"/>
    </row>
    <row r="153" spans="4:18" ht="14.25" customHeight="1" x14ac:dyDescent="0.25">
      <c r="D153" s="49"/>
      <c r="E153" s="49"/>
      <c r="G153" s="49"/>
      <c r="H153" s="49"/>
      <c r="O153" s="13"/>
      <c r="P153" s="13"/>
      <c r="Q153" s="13"/>
      <c r="R153" s="13"/>
    </row>
    <row r="154" spans="4:18" ht="14.25" customHeight="1" x14ac:dyDescent="0.25">
      <c r="D154" s="49"/>
      <c r="E154" s="49"/>
      <c r="G154" s="49"/>
      <c r="H154" s="49"/>
      <c r="O154" s="13"/>
      <c r="P154" s="13"/>
      <c r="Q154" s="13"/>
      <c r="R154" s="13"/>
    </row>
    <row r="155" spans="4:18" ht="14.25" customHeight="1" x14ac:dyDescent="0.25">
      <c r="D155" s="49"/>
      <c r="E155" s="49"/>
      <c r="G155" s="49"/>
      <c r="H155" s="49"/>
      <c r="O155" s="13"/>
      <c r="P155" s="13"/>
      <c r="Q155" s="13"/>
      <c r="R155" s="13"/>
    </row>
    <row r="156" spans="4:18" ht="14.25" customHeight="1" x14ac:dyDescent="0.25">
      <c r="D156" s="49"/>
      <c r="E156" s="49"/>
      <c r="G156" s="49"/>
      <c r="H156" s="49"/>
      <c r="O156" s="13"/>
      <c r="P156" s="13"/>
      <c r="Q156" s="13"/>
      <c r="R156" s="13"/>
    </row>
    <row r="157" spans="4:18" ht="14.25" customHeight="1" x14ac:dyDescent="0.25">
      <c r="D157" s="49"/>
      <c r="E157" s="49"/>
      <c r="G157" s="49"/>
      <c r="H157" s="49"/>
      <c r="O157" s="13"/>
      <c r="P157" s="13"/>
      <c r="Q157" s="13"/>
      <c r="R157" s="13"/>
    </row>
    <row r="158" spans="4:18" ht="14.25" customHeight="1" x14ac:dyDescent="0.25">
      <c r="D158" s="49"/>
      <c r="E158" s="49"/>
      <c r="G158" s="49"/>
      <c r="H158" s="49"/>
      <c r="O158" s="13"/>
      <c r="P158" s="13"/>
      <c r="Q158" s="13"/>
      <c r="R158" s="13"/>
    </row>
    <row r="159" spans="4:18" ht="14.25" customHeight="1" x14ac:dyDescent="0.25">
      <c r="D159" s="49"/>
      <c r="E159" s="49"/>
      <c r="G159" s="49"/>
      <c r="H159" s="49"/>
      <c r="O159" s="13"/>
      <c r="P159" s="13"/>
      <c r="Q159" s="13"/>
      <c r="R159" s="13"/>
    </row>
    <row r="160" spans="4:18" ht="14.25" customHeight="1" x14ac:dyDescent="0.25">
      <c r="D160" s="49"/>
      <c r="E160" s="49"/>
      <c r="G160" s="49"/>
      <c r="H160" s="49"/>
      <c r="O160" s="13"/>
      <c r="P160" s="13"/>
      <c r="Q160" s="13"/>
      <c r="R160" s="13"/>
    </row>
    <row r="161" spans="4:18" ht="14.25" customHeight="1" x14ac:dyDescent="0.25">
      <c r="D161" s="49"/>
      <c r="E161" s="49"/>
      <c r="G161" s="49"/>
      <c r="H161" s="49"/>
      <c r="O161" s="13"/>
      <c r="P161" s="13"/>
      <c r="Q161" s="13"/>
      <c r="R161" s="13"/>
    </row>
    <row r="162" spans="4:18" ht="14.25" customHeight="1" x14ac:dyDescent="0.25">
      <c r="D162" s="49"/>
      <c r="E162" s="49"/>
      <c r="G162" s="49"/>
      <c r="H162" s="49"/>
      <c r="O162" s="13"/>
      <c r="P162" s="13"/>
      <c r="Q162" s="13"/>
      <c r="R162" s="13"/>
    </row>
    <row r="163" spans="4:18" ht="14.25" customHeight="1" x14ac:dyDescent="0.25">
      <c r="D163" s="49"/>
      <c r="E163" s="49"/>
      <c r="G163" s="49"/>
      <c r="H163" s="49"/>
      <c r="O163" s="13"/>
      <c r="P163" s="13"/>
      <c r="Q163" s="13"/>
      <c r="R163" s="13"/>
    </row>
    <row r="164" spans="4:18" ht="14.25" customHeight="1" x14ac:dyDescent="0.25">
      <c r="D164" s="49"/>
      <c r="E164" s="49"/>
      <c r="G164" s="49"/>
      <c r="H164" s="49"/>
      <c r="O164" s="13"/>
      <c r="P164" s="13"/>
      <c r="Q164" s="13"/>
      <c r="R164" s="13"/>
    </row>
    <row r="165" spans="4:18" ht="14.25" customHeight="1" x14ac:dyDescent="0.25">
      <c r="D165" s="49"/>
      <c r="E165" s="49"/>
      <c r="G165" s="49"/>
      <c r="H165" s="49"/>
      <c r="O165" s="13"/>
      <c r="P165" s="13"/>
      <c r="Q165" s="13"/>
      <c r="R165" s="13"/>
    </row>
    <row r="166" spans="4:18" ht="14.25" customHeight="1" x14ac:dyDescent="0.25">
      <c r="D166" s="49"/>
      <c r="E166" s="49"/>
      <c r="G166" s="49"/>
      <c r="H166" s="49"/>
      <c r="O166" s="13"/>
      <c r="P166" s="13"/>
      <c r="Q166" s="13"/>
      <c r="R166" s="13"/>
    </row>
    <row r="167" spans="4:18" ht="14.25" customHeight="1" x14ac:dyDescent="0.25">
      <c r="D167" s="49"/>
      <c r="E167" s="49"/>
      <c r="G167" s="49"/>
      <c r="H167" s="49"/>
      <c r="O167" s="13"/>
      <c r="P167" s="13"/>
      <c r="Q167" s="13"/>
      <c r="R167" s="13"/>
    </row>
    <row r="168" spans="4:18" ht="14.25" customHeight="1" x14ac:dyDescent="0.25">
      <c r="D168" s="49"/>
      <c r="E168" s="49"/>
      <c r="G168" s="49"/>
      <c r="H168" s="49"/>
      <c r="O168" s="13"/>
      <c r="P168" s="13"/>
      <c r="Q168" s="13"/>
      <c r="R168" s="13"/>
    </row>
    <row r="169" spans="4:18" ht="14.25" customHeight="1" x14ac:dyDescent="0.25">
      <c r="D169" s="49"/>
      <c r="E169" s="49"/>
      <c r="G169" s="49"/>
      <c r="H169" s="49"/>
      <c r="O169" s="13"/>
      <c r="P169" s="13"/>
      <c r="Q169" s="13"/>
      <c r="R169" s="13"/>
    </row>
    <row r="170" spans="4:18" ht="14.25" customHeight="1" x14ac:dyDescent="0.25">
      <c r="D170" s="49"/>
      <c r="E170" s="49"/>
      <c r="G170" s="49"/>
      <c r="H170" s="49"/>
      <c r="O170" s="13"/>
      <c r="P170" s="13"/>
      <c r="Q170" s="13"/>
      <c r="R170" s="13"/>
    </row>
    <row r="171" spans="4:18" ht="14.25" customHeight="1" x14ac:dyDescent="0.25">
      <c r="D171" s="49"/>
      <c r="E171" s="49"/>
      <c r="G171" s="49"/>
      <c r="H171" s="49"/>
      <c r="O171" s="13"/>
      <c r="P171" s="13"/>
      <c r="Q171" s="13"/>
      <c r="R171" s="13"/>
    </row>
    <row r="172" spans="4:18" ht="14.25" customHeight="1" x14ac:dyDescent="0.25">
      <c r="D172" s="49"/>
      <c r="E172" s="49"/>
      <c r="G172" s="49"/>
      <c r="H172" s="49"/>
      <c r="O172" s="13"/>
      <c r="P172" s="13"/>
      <c r="Q172" s="13"/>
      <c r="R172" s="13"/>
    </row>
    <row r="173" spans="4:18" ht="14.25" customHeight="1" x14ac:dyDescent="0.25">
      <c r="D173" s="49"/>
      <c r="E173" s="49"/>
      <c r="G173" s="49"/>
      <c r="H173" s="49"/>
      <c r="O173" s="13"/>
      <c r="P173" s="13"/>
      <c r="Q173" s="13"/>
      <c r="R173" s="13"/>
    </row>
    <row r="174" spans="4:18" ht="14.25" customHeight="1" x14ac:dyDescent="0.25">
      <c r="D174" s="49"/>
      <c r="E174" s="49"/>
      <c r="G174" s="49"/>
      <c r="H174" s="49"/>
      <c r="O174" s="13"/>
      <c r="P174" s="13"/>
      <c r="Q174" s="13"/>
      <c r="R174" s="13"/>
    </row>
    <row r="175" spans="4:18" ht="14.25" customHeight="1" x14ac:dyDescent="0.25">
      <c r="D175" s="49"/>
      <c r="E175" s="49"/>
      <c r="G175" s="49"/>
      <c r="H175" s="49"/>
      <c r="O175" s="13"/>
      <c r="P175" s="13"/>
      <c r="Q175" s="13"/>
      <c r="R175" s="13"/>
    </row>
    <row r="176" spans="4:18" ht="14.25" customHeight="1" x14ac:dyDescent="0.25">
      <c r="D176" s="49"/>
      <c r="E176" s="49"/>
      <c r="G176" s="49"/>
      <c r="H176" s="49"/>
      <c r="O176" s="13"/>
      <c r="P176" s="13"/>
      <c r="Q176" s="13"/>
      <c r="R176" s="13"/>
    </row>
    <row r="177" spans="4:18" ht="14.25" customHeight="1" x14ac:dyDescent="0.25">
      <c r="D177" s="49"/>
      <c r="E177" s="49"/>
      <c r="G177" s="49"/>
      <c r="H177" s="49"/>
      <c r="O177" s="13"/>
      <c r="P177" s="13"/>
      <c r="Q177" s="13"/>
      <c r="R177" s="13"/>
    </row>
    <row r="178" spans="4:18" ht="14.25" customHeight="1" x14ac:dyDescent="0.25">
      <c r="D178" s="49"/>
      <c r="E178" s="49"/>
      <c r="G178" s="49"/>
      <c r="H178" s="49"/>
      <c r="O178" s="13"/>
      <c r="P178" s="13"/>
      <c r="Q178" s="13"/>
      <c r="R178" s="13"/>
    </row>
    <row r="179" spans="4:18" ht="14.25" customHeight="1" x14ac:dyDescent="0.25">
      <c r="D179" s="49"/>
      <c r="E179" s="49"/>
      <c r="G179" s="49"/>
      <c r="H179" s="49"/>
      <c r="O179" s="13"/>
      <c r="P179" s="13"/>
      <c r="Q179" s="13"/>
      <c r="R179" s="13"/>
    </row>
    <row r="180" spans="4:18" ht="14.25" customHeight="1" x14ac:dyDescent="0.25">
      <c r="D180" s="49"/>
      <c r="E180" s="49"/>
      <c r="G180" s="49"/>
      <c r="H180" s="49"/>
      <c r="O180" s="13"/>
      <c r="P180" s="13"/>
      <c r="Q180" s="13"/>
      <c r="R180" s="13"/>
    </row>
    <row r="181" spans="4:18" ht="14.25" customHeight="1" x14ac:dyDescent="0.25">
      <c r="D181" s="49"/>
      <c r="E181" s="49"/>
      <c r="G181" s="49"/>
      <c r="H181" s="49"/>
      <c r="O181" s="13"/>
      <c r="P181" s="13"/>
      <c r="Q181" s="13"/>
      <c r="R181" s="13"/>
    </row>
    <row r="182" spans="4:18" ht="14.25" customHeight="1" x14ac:dyDescent="0.25">
      <c r="D182" s="49"/>
      <c r="E182" s="49"/>
      <c r="G182" s="49"/>
      <c r="H182" s="49"/>
      <c r="O182" s="13"/>
      <c r="P182" s="13"/>
      <c r="Q182" s="13"/>
      <c r="R182" s="13"/>
    </row>
    <row r="183" spans="4:18" ht="14.25" customHeight="1" x14ac:dyDescent="0.25">
      <c r="D183" s="49"/>
      <c r="E183" s="49"/>
      <c r="G183" s="49"/>
      <c r="H183" s="49"/>
      <c r="O183" s="13"/>
      <c r="P183" s="13"/>
      <c r="Q183" s="13"/>
      <c r="R183" s="13"/>
    </row>
    <row r="184" spans="4:18" ht="14.25" customHeight="1" x14ac:dyDescent="0.25">
      <c r="D184" s="49"/>
      <c r="E184" s="49"/>
      <c r="G184" s="49"/>
      <c r="H184" s="49"/>
      <c r="O184" s="13"/>
      <c r="P184" s="13"/>
      <c r="Q184" s="13"/>
      <c r="R184" s="13"/>
    </row>
    <row r="185" spans="4:18" ht="14.25" customHeight="1" x14ac:dyDescent="0.25">
      <c r="D185" s="49"/>
      <c r="E185" s="49"/>
      <c r="G185" s="49"/>
      <c r="H185" s="49"/>
      <c r="O185" s="13"/>
      <c r="P185" s="13"/>
      <c r="Q185" s="13"/>
      <c r="R185" s="13"/>
    </row>
    <row r="186" spans="4:18" ht="14.25" customHeight="1" x14ac:dyDescent="0.25">
      <c r="D186" s="49"/>
      <c r="E186" s="49"/>
      <c r="G186" s="49"/>
      <c r="H186" s="49"/>
      <c r="O186" s="13"/>
      <c r="P186" s="13"/>
      <c r="Q186" s="13"/>
      <c r="R186" s="13"/>
    </row>
    <row r="187" spans="4:18" ht="14.25" customHeight="1" x14ac:dyDescent="0.25">
      <c r="D187" s="49"/>
      <c r="E187" s="49"/>
      <c r="G187" s="49"/>
      <c r="H187" s="49"/>
      <c r="O187" s="13"/>
      <c r="P187" s="13"/>
      <c r="Q187" s="13"/>
      <c r="R187" s="13"/>
    </row>
    <row r="188" spans="4:18" ht="14.25" customHeight="1" x14ac:dyDescent="0.25">
      <c r="D188" s="49"/>
      <c r="E188" s="49"/>
      <c r="G188" s="49"/>
      <c r="H188" s="49"/>
      <c r="O188" s="13"/>
      <c r="P188" s="13"/>
      <c r="Q188" s="13"/>
      <c r="R188" s="13"/>
    </row>
    <row r="189" spans="4:18" ht="14.25" customHeight="1" x14ac:dyDescent="0.25">
      <c r="D189" s="49"/>
      <c r="E189" s="49"/>
      <c r="G189" s="49"/>
      <c r="H189" s="49"/>
      <c r="O189" s="13"/>
      <c r="P189" s="13"/>
      <c r="Q189" s="13"/>
      <c r="R189" s="13"/>
    </row>
    <row r="190" spans="4:18" ht="14.25" customHeight="1" x14ac:dyDescent="0.25">
      <c r="D190" s="49"/>
      <c r="E190" s="49"/>
      <c r="G190" s="49"/>
      <c r="H190" s="49"/>
      <c r="O190" s="13"/>
      <c r="P190" s="13"/>
      <c r="Q190" s="13"/>
      <c r="R190" s="13"/>
    </row>
    <row r="191" spans="4:18" ht="14.25" customHeight="1" x14ac:dyDescent="0.25">
      <c r="D191" s="49"/>
      <c r="E191" s="49"/>
      <c r="G191" s="49"/>
      <c r="H191" s="49"/>
      <c r="O191" s="13"/>
      <c r="P191" s="13"/>
      <c r="Q191" s="13"/>
      <c r="R191" s="13"/>
    </row>
    <row r="192" spans="4:18" ht="14.25" customHeight="1" x14ac:dyDescent="0.25">
      <c r="D192" s="49"/>
      <c r="E192" s="49"/>
      <c r="G192" s="49"/>
      <c r="H192" s="49"/>
      <c r="O192" s="13"/>
      <c r="P192" s="13"/>
      <c r="Q192" s="13"/>
      <c r="R192" s="13"/>
    </row>
    <row r="193" spans="4:18" ht="14.25" customHeight="1" x14ac:dyDescent="0.25">
      <c r="D193" s="49"/>
      <c r="E193" s="49"/>
      <c r="G193" s="49"/>
      <c r="H193" s="49"/>
      <c r="O193" s="13"/>
      <c r="P193" s="13"/>
      <c r="Q193" s="13"/>
      <c r="R193" s="13"/>
    </row>
    <row r="194" spans="4:18" ht="14.25" customHeight="1" x14ac:dyDescent="0.25">
      <c r="D194" s="49"/>
      <c r="E194" s="49"/>
      <c r="G194" s="49"/>
      <c r="H194" s="49"/>
      <c r="O194" s="13"/>
      <c r="P194" s="13"/>
      <c r="Q194" s="13"/>
      <c r="R194" s="13"/>
    </row>
    <row r="195" spans="4:18" ht="14.25" customHeight="1" x14ac:dyDescent="0.25">
      <c r="D195" s="49"/>
      <c r="E195" s="49"/>
      <c r="G195" s="49"/>
      <c r="H195" s="49"/>
      <c r="O195" s="13"/>
      <c r="P195" s="13"/>
      <c r="Q195" s="13"/>
      <c r="R195" s="13"/>
    </row>
    <row r="196" spans="4:18" ht="14.25" customHeight="1" x14ac:dyDescent="0.25">
      <c r="D196" s="49"/>
      <c r="E196" s="49"/>
      <c r="G196" s="49"/>
      <c r="H196" s="49"/>
      <c r="O196" s="13"/>
      <c r="P196" s="13"/>
      <c r="Q196" s="13"/>
      <c r="R196" s="13"/>
    </row>
    <row r="197" spans="4:18" ht="14.25" customHeight="1" x14ac:dyDescent="0.25">
      <c r="D197" s="49"/>
      <c r="E197" s="49"/>
      <c r="G197" s="49"/>
      <c r="H197" s="49"/>
      <c r="O197" s="13"/>
      <c r="P197" s="13"/>
      <c r="Q197" s="13"/>
      <c r="R197" s="13"/>
    </row>
    <row r="198" spans="4:18" ht="14.25" customHeight="1" x14ac:dyDescent="0.25">
      <c r="D198" s="49"/>
      <c r="E198" s="49"/>
      <c r="G198" s="49"/>
      <c r="H198" s="49"/>
      <c r="O198" s="13"/>
      <c r="P198" s="13"/>
      <c r="Q198" s="13"/>
      <c r="R198" s="13"/>
    </row>
    <row r="199" spans="4:18" ht="14.25" customHeight="1" x14ac:dyDescent="0.25">
      <c r="D199" s="49"/>
      <c r="E199" s="49"/>
      <c r="G199" s="49"/>
      <c r="H199" s="49"/>
      <c r="O199" s="13"/>
      <c r="P199" s="13"/>
      <c r="Q199" s="13"/>
      <c r="R199" s="13"/>
    </row>
    <row r="200" spans="4:18" ht="14.25" customHeight="1" x14ac:dyDescent="0.25">
      <c r="D200" s="49"/>
      <c r="E200" s="49"/>
      <c r="G200" s="49"/>
      <c r="H200" s="49"/>
      <c r="O200" s="13"/>
      <c r="P200" s="13"/>
      <c r="Q200" s="13"/>
      <c r="R200" s="13"/>
    </row>
    <row r="201" spans="4:18" ht="14.25" customHeight="1" x14ac:dyDescent="0.25">
      <c r="D201" s="49"/>
      <c r="E201" s="49"/>
      <c r="G201" s="49"/>
      <c r="H201" s="49"/>
      <c r="O201" s="13"/>
      <c r="P201" s="13"/>
      <c r="Q201" s="13"/>
      <c r="R201" s="13"/>
    </row>
    <row r="202" spans="4:18" ht="14.25" customHeight="1" x14ac:dyDescent="0.25">
      <c r="D202" s="49"/>
      <c r="E202" s="49"/>
      <c r="G202" s="49"/>
      <c r="H202" s="49"/>
      <c r="O202" s="13"/>
      <c r="P202" s="13"/>
      <c r="Q202" s="13"/>
      <c r="R202" s="13"/>
    </row>
    <row r="203" spans="4:18" ht="14.25" customHeight="1" x14ac:dyDescent="0.25">
      <c r="D203" s="49"/>
      <c r="E203" s="49"/>
      <c r="G203" s="49"/>
      <c r="H203" s="49"/>
      <c r="O203" s="13"/>
      <c r="P203" s="13"/>
      <c r="Q203" s="13"/>
      <c r="R203" s="13"/>
    </row>
    <row r="204" spans="4:18" ht="14.25" customHeight="1" x14ac:dyDescent="0.25">
      <c r="D204" s="49"/>
      <c r="E204" s="49"/>
      <c r="G204" s="49"/>
      <c r="H204" s="49"/>
      <c r="O204" s="13"/>
      <c r="P204" s="13"/>
      <c r="Q204" s="13"/>
      <c r="R204" s="13"/>
    </row>
    <row r="205" spans="4:18" ht="14.25" customHeight="1" x14ac:dyDescent="0.25">
      <c r="D205" s="49"/>
      <c r="E205" s="49"/>
      <c r="G205" s="49"/>
      <c r="H205" s="49"/>
      <c r="O205" s="13"/>
      <c r="P205" s="13"/>
      <c r="Q205" s="13"/>
      <c r="R205" s="13"/>
    </row>
    <row r="206" spans="4:18" ht="14.25" customHeight="1" x14ac:dyDescent="0.25">
      <c r="D206" s="49"/>
      <c r="E206" s="49"/>
      <c r="G206" s="49"/>
      <c r="H206" s="49"/>
      <c r="O206" s="13"/>
      <c r="P206" s="13"/>
      <c r="Q206" s="13"/>
      <c r="R206" s="13"/>
    </row>
    <row r="207" spans="4:18" ht="14.25" customHeight="1" x14ac:dyDescent="0.25">
      <c r="D207" s="49"/>
      <c r="E207" s="49"/>
      <c r="G207" s="49"/>
      <c r="H207" s="49"/>
      <c r="O207" s="13"/>
      <c r="P207" s="13"/>
      <c r="Q207" s="13"/>
      <c r="R207" s="13"/>
    </row>
    <row r="208" spans="4:18" ht="14.25" customHeight="1" x14ac:dyDescent="0.25">
      <c r="D208" s="49"/>
      <c r="E208" s="49"/>
      <c r="G208" s="49"/>
      <c r="H208" s="49"/>
      <c r="O208" s="13"/>
      <c r="P208" s="13"/>
      <c r="Q208" s="13"/>
      <c r="R208" s="13"/>
    </row>
    <row r="209" spans="4:18" ht="14.25" customHeight="1" x14ac:dyDescent="0.25">
      <c r="D209" s="49"/>
      <c r="E209" s="49"/>
      <c r="G209" s="49"/>
      <c r="H209" s="49"/>
      <c r="O209" s="13"/>
      <c r="P209" s="13"/>
      <c r="Q209" s="13"/>
      <c r="R209" s="13"/>
    </row>
    <row r="210" spans="4:18" ht="14.25" customHeight="1" x14ac:dyDescent="0.25">
      <c r="D210" s="49"/>
      <c r="E210" s="49"/>
      <c r="G210" s="49"/>
      <c r="H210" s="49"/>
      <c r="O210" s="13"/>
      <c r="P210" s="13"/>
      <c r="Q210" s="13"/>
      <c r="R210" s="13"/>
    </row>
    <row r="211" spans="4:18" ht="14.25" customHeight="1" x14ac:dyDescent="0.25">
      <c r="D211" s="49"/>
      <c r="E211" s="49"/>
      <c r="G211" s="49"/>
      <c r="H211" s="49"/>
      <c r="O211" s="13"/>
      <c r="P211" s="13"/>
      <c r="Q211" s="13"/>
      <c r="R211" s="13"/>
    </row>
    <row r="212" spans="4:18" ht="14.25" customHeight="1" x14ac:dyDescent="0.25">
      <c r="D212" s="49"/>
      <c r="E212" s="49"/>
      <c r="G212" s="49"/>
      <c r="H212" s="49"/>
      <c r="O212" s="13"/>
      <c r="P212" s="13"/>
      <c r="Q212" s="13"/>
      <c r="R212" s="13"/>
    </row>
    <row r="213" spans="4:18" ht="14.25" customHeight="1" x14ac:dyDescent="0.25">
      <c r="D213" s="49"/>
      <c r="E213" s="49"/>
      <c r="G213" s="49"/>
      <c r="H213" s="49"/>
      <c r="O213" s="13"/>
      <c r="P213" s="13"/>
      <c r="Q213" s="13"/>
      <c r="R213" s="13"/>
    </row>
    <row r="214" spans="4:18" ht="14.25" customHeight="1" x14ac:dyDescent="0.25">
      <c r="D214" s="49"/>
      <c r="E214" s="49"/>
      <c r="G214" s="49"/>
      <c r="H214" s="49"/>
      <c r="O214" s="13"/>
      <c r="P214" s="13"/>
      <c r="Q214" s="13"/>
      <c r="R214" s="13"/>
    </row>
    <row r="215" spans="4:18" ht="14.25" customHeight="1" x14ac:dyDescent="0.25">
      <c r="D215" s="49"/>
      <c r="E215" s="49"/>
      <c r="G215" s="49"/>
      <c r="H215" s="49"/>
      <c r="O215" s="13"/>
      <c r="P215" s="13"/>
      <c r="Q215" s="13"/>
      <c r="R215" s="13"/>
    </row>
    <row r="216" spans="4:18" ht="14.25" customHeight="1" x14ac:dyDescent="0.25">
      <c r="D216" s="49"/>
      <c r="E216" s="49"/>
      <c r="G216" s="49"/>
      <c r="H216" s="49"/>
      <c r="O216" s="13"/>
      <c r="P216" s="13"/>
      <c r="Q216" s="13"/>
      <c r="R216" s="13"/>
    </row>
    <row r="217" spans="4:18" ht="14.25" customHeight="1" x14ac:dyDescent="0.25">
      <c r="D217" s="49"/>
      <c r="E217" s="49"/>
      <c r="G217" s="49"/>
      <c r="H217" s="49"/>
      <c r="O217" s="13"/>
      <c r="P217" s="13"/>
      <c r="Q217" s="13"/>
      <c r="R217" s="13"/>
    </row>
    <row r="218" spans="4:18" ht="14.25" customHeight="1" x14ac:dyDescent="0.25">
      <c r="D218" s="49"/>
      <c r="E218" s="49"/>
      <c r="G218" s="49"/>
      <c r="H218" s="49"/>
      <c r="O218" s="13"/>
      <c r="P218" s="13"/>
      <c r="Q218" s="13"/>
      <c r="R218" s="13"/>
    </row>
    <row r="219" spans="4:18" ht="14.25" customHeight="1" x14ac:dyDescent="0.25">
      <c r="D219" s="49"/>
      <c r="E219" s="49"/>
      <c r="G219" s="49"/>
      <c r="H219" s="49"/>
      <c r="O219" s="13"/>
      <c r="P219" s="13"/>
      <c r="Q219" s="13"/>
      <c r="R219" s="13"/>
    </row>
    <row r="220" spans="4:18" ht="14.25" customHeight="1" x14ac:dyDescent="0.25">
      <c r="D220" s="49"/>
      <c r="E220" s="49"/>
      <c r="G220" s="49"/>
      <c r="H220" s="49"/>
      <c r="O220" s="13"/>
      <c r="P220" s="13"/>
      <c r="Q220" s="13"/>
      <c r="R220" s="13"/>
    </row>
    <row r="221" spans="4:18" ht="14.25" customHeight="1" x14ac:dyDescent="0.25">
      <c r="D221" s="49"/>
      <c r="E221" s="49"/>
      <c r="G221" s="49"/>
      <c r="H221" s="49"/>
      <c r="O221" s="13"/>
      <c r="P221" s="13"/>
      <c r="Q221" s="13"/>
      <c r="R221" s="13"/>
    </row>
    <row r="222" spans="4:18" ht="14.25" customHeight="1" x14ac:dyDescent="0.25">
      <c r="D222" s="49"/>
      <c r="E222" s="49"/>
      <c r="G222" s="49"/>
      <c r="H222" s="49"/>
      <c r="O222" s="13"/>
      <c r="P222" s="13"/>
      <c r="Q222" s="13"/>
      <c r="R222" s="13"/>
    </row>
    <row r="223" spans="4:18" ht="14.25" customHeight="1" x14ac:dyDescent="0.25">
      <c r="D223" s="49"/>
      <c r="E223" s="49"/>
      <c r="G223" s="49"/>
      <c r="H223" s="49"/>
      <c r="O223" s="13"/>
      <c r="P223" s="13"/>
      <c r="Q223" s="13"/>
      <c r="R223" s="13"/>
    </row>
    <row r="224" spans="4:18" ht="14.25" customHeight="1" x14ac:dyDescent="0.25">
      <c r="D224" s="49"/>
      <c r="E224" s="49"/>
      <c r="G224" s="49"/>
      <c r="H224" s="49"/>
      <c r="O224" s="13"/>
      <c r="P224" s="13"/>
      <c r="Q224" s="13"/>
      <c r="R224" s="13"/>
    </row>
    <row r="225" spans="4:18" ht="14.25" customHeight="1" x14ac:dyDescent="0.25">
      <c r="D225" s="49"/>
      <c r="E225" s="49"/>
      <c r="G225" s="49"/>
      <c r="H225" s="49"/>
      <c r="O225" s="13"/>
      <c r="P225" s="13"/>
      <c r="Q225" s="13"/>
      <c r="R225" s="13"/>
    </row>
    <row r="226" spans="4:18" ht="14.25" customHeight="1" x14ac:dyDescent="0.25">
      <c r="D226" s="49"/>
      <c r="E226" s="49"/>
      <c r="G226" s="49"/>
      <c r="H226" s="49"/>
      <c r="O226" s="13"/>
      <c r="P226" s="13"/>
      <c r="Q226" s="13"/>
      <c r="R226" s="13"/>
    </row>
    <row r="227" spans="4:18" ht="14.25" customHeight="1" x14ac:dyDescent="0.25">
      <c r="D227" s="49"/>
      <c r="E227" s="49"/>
      <c r="G227" s="49"/>
      <c r="H227" s="49"/>
      <c r="O227" s="13"/>
      <c r="P227" s="13"/>
      <c r="Q227" s="13"/>
      <c r="R227" s="13"/>
    </row>
    <row r="228" spans="4:18" ht="14.25" customHeight="1" x14ac:dyDescent="0.25">
      <c r="D228" s="49"/>
      <c r="E228" s="49"/>
      <c r="G228" s="49"/>
      <c r="H228" s="49"/>
      <c r="O228" s="13"/>
      <c r="P228" s="13"/>
      <c r="Q228" s="13"/>
      <c r="R228" s="13"/>
    </row>
    <row r="229" spans="4:18" ht="14.25" customHeight="1" x14ac:dyDescent="0.25">
      <c r="D229" s="49"/>
      <c r="E229" s="49"/>
      <c r="G229" s="49"/>
      <c r="H229" s="49"/>
      <c r="O229" s="13"/>
      <c r="P229" s="13"/>
      <c r="Q229" s="13"/>
      <c r="R229" s="13"/>
    </row>
    <row r="230" spans="4:18" ht="14.25" customHeight="1" x14ac:dyDescent="0.25">
      <c r="D230" s="49"/>
      <c r="E230" s="49"/>
      <c r="G230" s="49"/>
      <c r="H230" s="49"/>
      <c r="O230" s="13"/>
      <c r="P230" s="13"/>
      <c r="Q230" s="13"/>
      <c r="R230" s="13"/>
    </row>
    <row r="231" spans="4:18" ht="14.25" customHeight="1" x14ac:dyDescent="0.25">
      <c r="D231" s="49"/>
      <c r="E231" s="49"/>
      <c r="G231" s="49"/>
      <c r="H231" s="49"/>
      <c r="O231" s="13"/>
      <c r="P231" s="13"/>
      <c r="Q231" s="13"/>
      <c r="R231" s="13"/>
    </row>
    <row r="232" spans="4:18" ht="14.25" customHeight="1" x14ac:dyDescent="0.25">
      <c r="D232" s="49"/>
      <c r="E232" s="49"/>
      <c r="G232" s="49"/>
      <c r="H232" s="49"/>
      <c r="O232" s="13"/>
      <c r="P232" s="13"/>
      <c r="Q232" s="13"/>
      <c r="R232" s="13"/>
    </row>
    <row r="233" spans="4:18" ht="14.25" customHeight="1" x14ac:dyDescent="0.25">
      <c r="D233" s="49"/>
      <c r="E233" s="49"/>
      <c r="G233" s="49"/>
      <c r="H233" s="49"/>
      <c r="O233" s="13"/>
      <c r="P233" s="13"/>
      <c r="Q233" s="13"/>
      <c r="R233" s="13"/>
    </row>
    <row r="234" spans="4:18" ht="15.75" customHeight="1" x14ac:dyDescent="0.25">
      <c r="O234" s="13"/>
      <c r="P234" s="13"/>
      <c r="Q234" s="13"/>
      <c r="R234" s="13"/>
    </row>
    <row r="235" spans="4:18" ht="15.75" customHeight="1" x14ac:dyDescent="0.25">
      <c r="O235" s="13"/>
      <c r="P235" s="13"/>
      <c r="Q235" s="13"/>
      <c r="R235" s="13"/>
    </row>
    <row r="236" spans="4:18" ht="15.75" customHeight="1" x14ac:dyDescent="0.25">
      <c r="O236" s="13"/>
      <c r="P236" s="13"/>
      <c r="Q236" s="13"/>
      <c r="R236" s="13"/>
    </row>
    <row r="237" spans="4:18" ht="15.75" customHeight="1" x14ac:dyDescent="0.25">
      <c r="O237" s="13"/>
      <c r="P237" s="13"/>
      <c r="Q237" s="13"/>
      <c r="R237" s="13"/>
    </row>
    <row r="238" spans="4:18" ht="15.75" customHeight="1" x14ac:dyDescent="0.25">
      <c r="O238" s="13"/>
      <c r="P238" s="13"/>
      <c r="Q238" s="13"/>
      <c r="R238" s="13"/>
    </row>
    <row r="239" spans="4:18" ht="15.75" customHeight="1" x14ac:dyDescent="0.25">
      <c r="O239" s="13"/>
      <c r="P239" s="13"/>
      <c r="Q239" s="13"/>
      <c r="R239" s="13"/>
    </row>
    <row r="240" spans="4:18" ht="15.75" customHeight="1" x14ac:dyDescent="0.25">
      <c r="O240" s="13"/>
      <c r="P240" s="13"/>
      <c r="Q240" s="13"/>
      <c r="R240" s="13"/>
    </row>
    <row r="241" spans="15:18" ht="15.75" customHeight="1" x14ac:dyDescent="0.25">
      <c r="O241" s="13"/>
      <c r="P241" s="13"/>
      <c r="Q241" s="13"/>
      <c r="R241" s="13"/>
    </row>
    <row r="242" spans="15:18" ht="15.75" customHeight="1" x14ac:dyDescent="0.25">
      <c r="O242" s="13"/>
      <c r="P242" s="13"/>
      <c r="Q242" s="13"/>
      <c r="R242" s="13"/>
    </row>
    <row r="243" spans="15:18" ht="15.75" customHeight="1" x14ac:dyDescent="0.25">
      <c r="O243" s="13"/>
      <c r="P243" s="13"/>
      <c r="Q243" s="13"/>
      <c r="R243" s="13"/>
    </row>
    <row r="244" spans="15:18" ht="15.75" customHeight="1" x14ac:dyDescent="0.25">
      <c r="O244" s="13"/>
      <c r="P244" s="13"/>
      <c r="Q244" s="13"/>
      <c r="R244" s="13"/>
    </row>
    <row r="245" spans="15:18" ht="15.75" customHeight="1" x14ac:dyDescent="0.25">
      <c r="O245" s="13"/>
      <c r="P245" s="13"/>
      <c r="Q245" s="13"/>
      <c r="R245" s="13"/>
    </row>
    <row r="246" spans="15:18" ht="15.75" customHeight="1" x14ac:dyDescent="0.25">
      <c r="O246" s="13"/>
      <c r="P246" s="13"/>
      <c r="Q246" s="13"/>
      <c r="R246" s="13"/>
    </row>
    <row r="247" spans="15:18" ht="15.75" customHeight="1" x14ac:dyDescent="0.25">
      <c r="O247" s="13"/>
      <c r="P247" s="13"/>
      <c r="Q247" s="13"/>
      <c r="R247" s="13"/>
    </row>
    <row r="248" spans="15:18" ht="15.75" customHeight="1" x14ac:dyDescent="0.25">
      <c r="O248" s="13"/>
      <c r="P248" s="13"/>
      <c r="Q248" s="13"/>
      <c r="R248" s="13"/>
    </row>
    <row r="249" spans="15:18" ht="15.75" customHeight="1" x14ac:dyDescent="0.25">
      <c r="O249" s="13"/>
      <c r="P249" s="13"/>
      <c r="Q249" s="13"/>
      <c r="R249" s="13"/>
    </row>
    <row r="250" spans="15:18" ht="15.75" customHeight="1" x14ac:dyDescent="0.25">
      <c r="O250" s="13"/>
      <c r="P250" s="13"/>
      <c r="Q250" s="13"/>
      <c r="R250" s="13"/>
    </row>
    <row r="251" spans="15:18" ht="15.75" customHeight="1" x14ac:dyDescent="0.25">
      <c r="O251" s="13"/>
      <c r="P251" s="13"/>
      <c r="Q251" s="13"/>
      <c r="R251" s="13"/>
    </row>
    <row r="252" spans="15:18" ht="15.75" customHeight="1" x14ac:dyDescent="0.25">
      <c r="O252" s="13"/>
      <c r="P252" s="13"/>
      <c r="Q252" s="13"/>
      <c r="R252" s="13"/>
    </row>
    <row r="253" spans="15:18" ht="15.75" customHeight="1" x14ac:dyDescent="0.25">
      <c r="O253" s="13"/>
      <c r="P253" s="13"/>
      <c r="Q253" s="13"/>
      <c r="R253" s="13"/>
    </row>
    <row r="254" spans="15:18" ht="15.75" customHeight="1" x14ac:dyDescent="0.25">
      <c r="O254" s="13"/>
      <c r="P254" s="13"/>
      <c r="Q254" s="13"/>
      <c r="R254" s="13"/>
    </row>
    <row r="255" spans="15:18" ht="15.75" customHeight="1" x14ac:dyDescent="0.25">
      <c r="O255" s="13"/>
      <c r="P255" s="13"/>
      <c r="Q255" s="13"/>
      <c r="R255" s="13"/>
    </row>
    <row r="256" spans="15:18" ht="15.75" customHeight="1" x14ac:dyDescent="0.25">
      <c r="O256" s="13"/>
      <c r="P256" s="13"/>
      <c r="Q256" s="13"/>
      <c r="R256" s="13"/>
    </row>
    <row r="257" spans="15:18" ht="15.75" customHeight="1" x14ac:dyDescent="0.25">
      <c r="O257" s="13"/>
      <c r="P257" s="13"/>
      <c r="Q257" s="13"/>
      <c r="R257" s="13"/>
    </row>
    <row r="258" spans="15:18" ht="15.75" customHeight="1" x14ac:dyDescent="0.25">
      <c r="O258" s="13"/>
      <c r="P258" s="13"/>
      <c r="Q258" s="13"/>
      <c r="R258" s="13"/>
    </row>
    <row r="259" spans="15:18" ht="15.75" customHeight="1" x14ac:dyDescent="0.25">
      <c r="O259" s="13"/>
      <c r="P259" s="13"/>
      <c r="Q259" s="13"/>
      <c r="R259" s="13"/>
    </row>
    <row r="260" spans="15:18" ht="15.75" customHeight="1" x14ac:dyDescent="0.25">
      <c r="O260" s="13"/>
      <c r="P260" s="13"/>
      <c r="Q260" s="13"/>
      <c r="R260" s="13"/>
    </row>
    <row r="261" spans="15:18" ht="15.75" customHeight="1" x14ac:dyDescent="0.25">
      <c r="O261" s="13"/>
      <c r="P261" s="13"/>
      <c r="Q261" s="13"/>
      <c r="R261" s="13"/>
    </row>
    <row r="262" spans="15:18" ht="15.75" customHeight="1" x14ac:dyDescent="0.25">
      <c r="O262" s="13"/>
      <c r="P262" s="13"/>
      <c r="Q262" s="13"/>
      <c r="R262" s="13"/>
    </row>
    <row r="263" spans="15:18" ht="15.75" customHeight="1" x14ac:dyDescent="0.25">
      <c r="O263" s="13"/>
      <c r="P263" s="13"/>
      <c r="Q263" s="13"/>
      <c r="R263" s="13"/>
    </row>
    <row r="264" spans="15:18" ht="15.75" customHeight="1" x14ac:dyDescent="0.25">
      <c r="O264" s="13"/>
      <c r="P264" s="13"/>
      <c r="Q264" s="13"/>
      <c r="R264" s="13"/>
    </row>
    <row r="265" spans="15:18" ht="15.75" customHeight="1" x14ac:dyDescent="0.25">
      <c r="O265" s="13"/>
      <c r="P265" s="13"/>
      <c r="Q265" s="13"/>
      <c r="R265" s="13"/>
    </row>
    <row r="266" spans="15:18" ht="15.75" customHeight="1" x14ac:dyDescent="0.25">
      <c r="O266" s="13"/>
      <c r="P266" s="13"/>
      <c r="Q266" s="13"/>
      <c r="R266" s="13"/>
    </row>
    <row r="267" spans="15:18" ht="15.75" customHeight="1" x14ac:dyDescent="0.25">
      <c r="O267" s="13"/>
      <c r="P267" s="13"/>
      <c r="Q267" s="13"/>
      <c r="R267" s="13"/>
    </row>
    <row r="268" spans="15:18" ht="15.75" customHeight="1" x14ac:dyDescent="0.25">
      <c r="O268" s="13"/>
      <c r="P268" s="13"/>
      <c r="Q268" s="13"/>
      <c r="R268" s="13"/>
    </row>
    <row r="269" spans="15:18" ht="15.75" customHeight="1" x14ac:dyDescent="0.25">
      <c r="O269" s="13"/>
      <c r="P269" s="13"/>
      <c r="Q269" s="13"/>
      <c r="R269" s="13"/>
    </row>
    <row r="270" spans="15:18" ht="15.75" customHeight="1" x14ac:dyDescent="0.25">
      <c r="O270" s="13"/>
      <c r="P270" s="13"/>
      <c r="Q270" s="13"/>
      <c r="R270" s="13"/>
    </row>
    <row r="271" spans="15:18" ht="15.75" customHeight="1" x14ac:dyDescent="0.25">
      <c r="O271" s="13"/>
      <c r="P271" s="13"/>
      <c r="Q271" s="13"/>
      <c r="R271" s="13"/>
    </row>
    <row r="272" spans="15:18" ht="15.75" customHeight="1" x14ac:dyDescent="0.25">
      <c r="O272" s="13"/>
      <c r="P272" s="13"/>
      <c r="Q272" s="13"/>
      <c r="R272" s="13"/>
    </row>
    <row r="273" spans="15:18" ht="15.75" customHeight="1" x14ac:dyDescent="0.25">
      <c r="O273" s="13"/>
      <c r="P273" s="13"/>
      <c r="Q273" s="13"/>
      <c r="R273" s="13"/>
    </row>
    <row r="274" spans="15:18" ht="15.75" customHeight="1" x14ac:dyDescent="0.25">
      <c r="O274" s="13"/>
      <c r="P274" s="13"/>
      <c r="Q274" s="13"/>
      <c r="R274" s="13"/>
    </row>
    <row r="275" spans="15:18" ht="15.75" customHeight="1" x14ac:dyDescent="0.25">
      <c r="O275" s="13"/>
      <c r="P275" s="13"/>
      <c r="Q275" s="13"/>
      <c r="R275" s="13"/>
    </row>
    <row r="276" spans="15:18" ht="15.75" customHeight="1" x14ac:dyDescent="0.25">
      <c r="O276" s="13"/>
      <c r="P276" s="13"/>
      <c r="Q276" s="13"/>
      <c r="R276" s="13"/>
    </row>
    <row r="277" spans="15:18" ht="15.75" customHeight="1" x14ac:dyDescent="0.25">
      <c r="O277" s="13"/>
      <c r="P277" s="13"/>
      <c r="Q277" s="13"/>
      <c r="R277" s="13"/>
    </row>
    <row r="278" spans="15:18" ht="15.75" customHeight="1" x14ac:dyDescent="0.25">
      <c r="O278" s="13"/>
      <c r="P278" s="13"/>
      <c r="Q278" s="13"/>
      <c r="R278" s="13"/>
    </row>
    <row r="279" spans="15:18" ht="15.75" customHeight="1" x14ac:dyDescent="0.25">
      <c r="O279" s="13"/>
      <c r="P279" s="13"/>
      <c r="Q279" s="13"/>
      <c r="R279" s="13"/>
    </row>
    <row r="280" spans="15:18" ht="15.75" customHeight="1" x14ac:dyDescent="0.25">
      <c r="O280" s="13"/>
      <c r="P280" s="13"/>
      <c r="Q280" s="13"/>
      <c r="R280" s="13"/>
    </row>
    <row r="281" spans="15:18" ht="15.75" customHeight="1" x14ac:dyDescent="0.25">
      <c r="O281" s="13"/>
      <c r="P281" s="13"/>
      <c r="Q281" s="13"/>
      <c r="R281" s="13"/>
    </row>
    <row r="282" spans="15:18" ht="15.75" customHeight="1" x14ac:dyDescent="0.25">
      <c r="O282" s="13"/>
      <c r="P282" s="13"/>
      <c r="Q282" s="13"/>
      <c r="R282" s="13"/>
    </row>
    <row r="283" spans="15:18" ht="15.75" customHeight="1" x14ac:dyDescent="0.25">
      <c r="O283" s="13"/>
      <c r="P283" s="13"/>
      <c r="Q283" s="13"/>
      <c r="R283" s="13"/>
    </row>
    <row r="284" spans="15:18" ht="15.75" customHeight="1" x14ac:dyDescent="0.25">
      <c r="O284" s="13"/>
      <c r="P284" s="13"/>
      <c r="Q284" s="13"/>
      <c r="R284" s="13"/>
    </row>
    <row r="285" spans="15:18" ht="15.75" customHeight="1" x14ac:dyDescent="0.25">
      <c r="O285" s="13"/>
      <c r="P285" s="13"/>
      <c r="Q285" s="13"/>
      <c r="R285" s="13"/>
    </row>
    <row r="286" spans="15:18" ht="15.75" customHeight="1" x14ac:dyDescent="0.25">
      <c r="O286" s="13"/>
      <c r="P286" s="13"/>
      <c r="Q286" s="13"/>
      <c r="R286" s="13"/>
    </row>
    <row r="287" spans="15:18" ht="15.75" customHeight="1" x14ac:dyDescent="0.25">
      <c r="O287" s="13"/>
      <c r="P287" s="13"/>
      <c r="Q287" s="13"/>
      <c r="R287" s="13"/>
    </row>
    <row r="288" spans="15:18" ht="15.75" customHeight="1" x14ac:dyDescent="0.25">
      <c r="O288" s="13"/>
      <c r="P288" s="13"/>
      <c r="Q288" s="13"/>
      <c r="R288" s="13"/>
    </row>
    <row r="289" spans="15:18" ht="15.75" customHeight="1" x14ac:dyDescent="0.25">
      <c r="O289" s="13"/>
      <c r="P289" s="13"/>
      <c r="Q289" s="13"/>
      <c r="R289" s="13"/>
    </row>
    <row r="290" spans="15:18" ht="15.75" customHeight="1" x14ac:dyDescent="0.25">
      <c r="O290" s="13"/>
      <c r="P290" s="13"/>
      <c r="Q290" s="13"/>
      <c r="R290" s="13"/>
    </row>
    <row r="291" spans="15:18" ht="15.75" customHeight="1" x14ac:dyDescent="0.25">
      <c r="O291" s="13"/>
      <c r="P291" s="13"/>
      <c r="Q291" s="13"/>
      <c r="R291" s="13"/>
    </row>
    <row r="292" spans="15:18" ht="15.75" customHeight="1" x14ac:dyDescent="0.25">
      <c r="O292" s="13"/>
      <c r="P292" s="13"/>
      <c r="Q292" s="13"/>
      <c r="R292" s="13"/>
    </row>
    <row r="293" spans="15:18" ht="15.75" customHeight="1" x14ac:dyDescent="0.25">
      <c r="O293" s="13"/>
      <c r="P293" s="13"/>
      <c r="Q293" s="13"/>
      <c r="R293" s="13"/>
    </row>
    <row r="294" spans="15:18" ht="15.75" customHeight="1" x14ac:dyDescent="0.25">
      <c r="O294" s="13"/>
      <c r="P294" s="13"/>
      <c r="Q294" s="13"/>
      <c r="R294" s="13"/>
    </row>
    <row r="295" spans="15:18" ht="15.75" customHeight="1" x14ac:dyDescent="0.25">
      <c r="O295" s="13"/>
      <c r="P295" s="13"/>
      <c r="Q295" s="13"/>
      <c r="R295" s="13"/>
    </row>
    <row r="296" spans="15:18" ht="15.75" customHeight="1" x14ac:dyDescent="0.25">
      <c r="O296" s="13"/>
      <c r="P296" s="13"/>
      <c r="Q296" s="13"/>
      <c r="R296" s="13"/>
    </row>
    <row r="297" spans="15:18" ht="15.75" customHeight="1" x14ac:dyDescent="0.25">
      <c r="O297" s="13"/>
      <c r="P297" s="13"/>
      <c r="Q297" s="13"/>
      <c r="R297" s="13"/>
    </row>
    <row r="298" spans="15:18" ht="15.75" customHeight="1" x14ac:dyDescent="0.25">
      <c r="O298" s="13"/>
      <c r="P298" s="13"/>
      <c r="Q298" s="13"/>
      <c r="R298" s="13"/>
    </row>
    <row r="299" spans="15:18" ht="15.75" customHeight="1" x14ac:dyDescent="0.25">
      <c r="O299" s="13"/>
      <c r="P299" s="13"/>
      <c r="Q299" s="13"/>
      <c r="R299" s="13"/>
    </row>
    <row r="300" spans="15:18" ht="15.75" customHeight="1" x14ac:dyDescent="0.25">
      <c r="O300" s="13"/>
      <c r="P300" s="13"/>
      <c r="Q300" s="13"/>
      <c r="R300" s="13"/>
    </row>
    <row r="301" spans="15:18" ht="15.75" customHeight="1" x14ac:dyDescent="0.25">
      <c r="O301" s="13"/>
      <c r="P301" s="13"/>
      <c r="Q301" s="13"/>
      <c r="R301" s="13"/>
    </row>
    <row r="302" spans="15:18" ht="15.75" customHeight="1" x14ac:dyDescent="0.25">
      <c r="O302" s="13"/>
      <c r="P302" s="13"/>
      <c r="Q302" s="13"/>
      <c r="R302" s="13"/>
    </row>
    <row r="303" spans="15:18" ht="15.75" customHeight="1" x14ac:dyDescent="0.25">
      <c r="O303" s="13"/>
      <c r="P303" s="13"/>
      <c r="Q303" s="13"/>
      <c r="R303" s="13"/>
    </row>
    <row r="304" spans="15:18" ht="15.75" customHeight="1" x14ac:dyDescent="0.25">
      <c r="O304" s="13"/>
      <c r="P304" s="13"/>
      <c r="Q304" s="13"/>
      <c r="R304" s="13"/>
    </row>
    <row r="305" spans="15:18" ht="15.75" customHeight="1" x14ac:dyDescent="0.25">
      <c r="O305" s="13"/>
      <c r="P305" s="13"/>
      <c r="Q305" s="13"/>
      <c r="R305" s="13"/>
    </row>
    <row r="306" spans="15:18" ht="15.75" customHeight="1" x14ac:dyDescent="0.25">
      <c r="O306" s="13"/>
      <c r="P306" s="13"/>
      <c r="Q306" s="13"/>
      <c r="R306" s="13"/>
    </row>
    <row r="307" spans="15:18" ht="15.75" customHeight="1" x14ac:dyDescent="0.25">
      <c r="O307" s="13"/>
      <c r="P307" s="13"/>
      <c r="Q307" s="13"/>
      <c r="R307" s="13"/>
    </row>
    <row r="308" spans="15:18" ht="15.75" customHeight="1" x14ac:dyDescent="0.25">
      <c r="O308" s="13"/>
      <c r="P308" s="13"/>
      <c r="Q308" s="13"/>
      <c r="R308" s="13"/>
    </row>
    <row r="309" spans="15:18" ht="15.75" customHeight="1" x14ac:dyDescent="0.25">
      <c r="O309" s="13"/>
      <c r="P309" s="13"/>
      <c r="Q309" s="13"/>
      <c r="R309" s="13"/>
    </row>
    <row r="310" spans="15:18" ht="15.75" customHeight="1" x14ac:dyDescent="0.25">
      <c r="O310" s="13"/>
      <c r="P310" s="13"/>
      <c r="Q310" s="13"/>
      <c r="R310" s="13"/>
    </row>
    <row r="311" spans="15:18" ht="15.75" customHeight="1" x14ac:dyDescent="0.25">
      <c r="O311" s="13"/>
      <c r="P311" s="13"/>
      <c r="Q311" s="13"/>
      <c r="R311" s="13"/>
    </row>
    <row r="312" spans="15:18" ht="15.75" customHeight="1" x14ac:dyDescent="0.25">
      <c r="O312" s="13"/>
      <c r="P312" s="13"/>
      <c r="Q312" s="13"/>
      <c r="R312" s="13"/>
    </row>
    <row r="313" spans="15:18" ht="15.75" customHeight="1" x14ac:dyDescent="0.25">
      <c r="O313" s="13"/>
      <c r="P313" s="13"/>
      <c r="Q313" s="13"/>
      <c r="R313" s="13"/>
    </row>
    <row r="314" spans="15:18" ht="15.75" customHeight="1" x14ac:dyDescent="0.25">
      <c r="O314" s="13"/>
      <c r="P314" s="13"/>
      <c r="Q314" s="13"/>
      <c r="R314" s="13"/>
    </row>
    <row r="315" spans="15:18" ht="15.75" customHeight="1" x14ac:dyDescent="0.25">
      <c r="O315" s="13"/>
      <c r="P315" s="13"/>
      <c r="Q315" s="13"/>
      <c r="R315" s="13"/>
    </row>
    <row r="316" spans="15:18" ht="15.75" customHeight="1" x14ac:dyDescent="0.25">
      <c r="O316" s="13"/>
      <c r="P316" s="13"/>
      <c r="Q316" s="13"/>
      <c r="R316" s="13"/>
    </row>
    <row r="317" spans="15:18" ht="15.75" customHeight="1" x14ac:dyDescent="0.25">
      <c r="O317" s="13"/>
      <c r="P317" s="13"/>
      <c r="Q317" s="13"/>
      <c r="R317" s="13"/>
    </row>
    <row r="318" spans="15:18" ht="15.75" customHeight="1" x14ac:dyDescent="0.25">
      <c r="O318" s="13"/>
      <c r="P318" s="13"/>
      <c r="Q318" s="13"/>
      <c r="R318" s="13"/>
    </row>
    <row r="319" spans="15:18" ht="15.75" customHeight="1" x14ac:dyDescent="0.25">
      <c r="O319" s="13"/>
      <c r="P319" s="13"/>
      <c r="Q319" s="13"/>
      <c r="R319" s="13"/>
    </row>
    <row r="320" spans="15:18" ht="15.75" customHeight="1" x14ac:dyDescent="0.25">
      <c r="O320" s="13"/>
      <c r="P320" s="13"/>
      <c r="Q320" s="13"/>
      <c r="R320" s="13"/>
    </row>
    <row r="321" spans="15:18" ht="15.75" customHeight="1" x14ac:dyDescent="0.25">
      <c r="O321" s="13"/>
      <c r="P321" s="13"/>
      <c r="Q321" s="13"/>
      <c r="R321" s="13"/>
    </row>
    <row r="322" spans="15:18" ht="15.75" customHeight="1" x14ac:dyDescent="0.25">
      <c r="O322" s="13"/>
      <c r="P322" s="13"/>
      <c r="Q322" s="13"/>
      <c r="R322" s="13"/>
    </row>
    <row r="323" spans="15:18" ht="15.75" customHeight="1" x14ac:dyDescent="0.25">
      <c r="O323" s="13"/>
      <c r="P323" s="13"/>
      <c r="Q323" s="13"/>
      <c r="R323" s="13"/>
    </row>
    <row r="324" spans="15:18" ht="15.75" customHeight="1" x14ac:dyDescent="0.25">
      <c r="O324" s="13"/>
      <c r="P324" s="13"/>
      <c r="Q324" s="13"/>
      <c r="R324" s="13"/>
    </row>
    <row r="325" spans="15:18" ht="15.75" customHeight="1" x14ac:dyDescent="0.25">
      <c r="O325" s="13"/>
      <c r="P325" s="13"/>
      <c r="Q325" s="13"/>
      <c r="R325" s="13"/>
    </row>
    <row r="326" spans="15:18" ht="15.75" customHeight="1" x14ac:dyDescent="0.25">
      <c r="O326" s="13"/>
      <c r="P326" s="13"/>
      <c r="Q326" s="13"/>
      <c r="R326" s="13"/>
    </row>
    <row r="327" spans="15:18" ht="15.75" customHeight="1" x14ac:dyDescent="0.25">
      <c r="O327" s="13"/>
      <c r="P327" s="13"/>
      <c r="Q327" s="13"/>
      <c r="R327" s="13"/>
    </row>
    <row r="328" spans="15:18" ht="15.75" customHeight="1" x14ac:dyDescent="0.25">
      <c r="O328" s="13"/>
      <c r="P328" s="13"/>
      <c r="Q328" s="13"/>
      <c r="R328" s="13"/>
    </row>
    <row r="329" spans="15:18" ht="15.75" customHeight="1" x14ac:dyDescent="0.25">
      <c r="O329" s="13"/>
      <c r="P329" s="13"/>
      <c r="Q329" s="13"/>
      <c r="R329" s="13"/>
    </row>
    <row r="330" spans="15:18" ht="15.75" customHeight="1" x14ac:dyDescent="0.25">
      <c r="O330" s="13"/>
      <c r="P330" s="13"/>
      <c r="Q330" s="13"/>
      <c r="R330" s="13"/>
    </row>
    <row r="331" spans="15:18" ht="15.75" customHeight="1" x14ac:dyDescent="0.25">
      <c r="O331" s="13"/>
      <c r="P331" s="13"/>
      <c r="Q331" s="13"/>
      <c r="R331" s="13"/>
    </row>
    <row r="332" spans="15:18" ht="15.75" customHeight="1" x14ac:dyDescent="0.25">
      <c r="O332" s="13"/>
      <c r="P332" s="13"/>
      <c r="Q332" s="13"/>
      <c r="R332" s="13"/>
    </row>
    <row r="333" spans="15:18" ht="15.75" customHeight="1" x14ac:dyDescent="0.25">
      <c r="O333" s="13"/>
      <c r="P333" s="13"/>
      <c r="Q333" s="13"/>
      <c r="R333" s="13"/>
    </row>
    <row r="334" spans="15:18" ht="15.75" customHeight="1" x14ac:dyDescent="0.25">
      <c r="O334" s="13"/>
      <c r="P334" s="13"/>
      <c r="Q334" s="13"/>
      <c r="R334" s="13"/>
    </row>
    <row r="335" spans="15:18" ht="15.75" customHeight="1" x14ac:dyDescent="0.25">
      <c r="O335" s="13"/>
      <c r="P335" s="13"/>
      <c r="Q335" s="13"/>
      <c r="R335" s="13"/>
    </row>
    <row r="336" spans="15:18" ht="15.75" customHeight="1" x14ac:dyDescent="0.25">
      <c r="O336" s="13"/>
      <c r="P336" s="13"/>
      <c r="Q336" s="13"/>
      <c r="R336" s="13"/>
    </row>
    <row r="337" spans="15:18" ht="15.75" customHeight="1" x14ac:dyDescent="0.25">
      <c r="O337" s="13"/>
      <c r="P337" s="13"/>
      <c r="Q337" s="13"/>
      <c r="R337" s="13"/>
    </row>
    <row r="338" spans="15:18" ht="15.75" customHeight="1" x14ac:dyDescent="0.25">
      <c r="O338" s="13"/>
      <c r="P338" s="13"/>
      <c r="Q338" s="13"/>
      <c r="R338" s="13"/>
    </row>
    <row r="339" spans="15:18" ht="15.75" customHeight="1" x14ac:dyDescent="0.25">
      <c r="O339" s="13"/>
      <c r="P339" s="13"/>
      <c r="Q339" s="13"/>
      <c r="R339" s="13"/>
    </row>
    <row r="340" spans="15:18" ht="15.75" customHeight="1" x14ac:dyDescent="0.25">
      <c r="O340" s="13"/>
      <c r="P340" s="13"/>
      <c r="Q340" s="13"/>
      <c r="R340" s="13"/>
    </row>
    <row r="341" spans="15:18" ht="15.75" customHeight="1" x14ac:dyDescent="0.25">
      <c r="O341" s="13"/>
      <c r="P341" s="13"/>
      <c r="Q341" s="13"/>
      <c r="R341" s="13"/>
    </row>
    <row r="342" spans="15:18" ht="15.75" customHeight="1" x14ac:dyDescent="0.25">
      <c r="O342" s="13"/>
      <c r="P342" s="13"/>
      <c r="Q342" s="13"/>
      <c r="R342" s="13"/>
    </row>
    <row r="343" spans="15:18" ht="15.75" customHeight="1" x14ac:dyDescent="0.25">
      <c r="O343" s="13"/>
      <c r="P343" s="13"/>
      <c r="Q343" s="13"/>
      <c r="R343" s="13"/>
    </row>
    <row r="344" spans="15:18" ht="15.75" customHeight="1" x14ac:dyDescent="0.25">
      <c r="O344" s="13"/>
      <c r="P344" s="13"/>
      <c r="Q344" s="13"/>
      <c r="R344" s="13"/>
    </row>
    <row r="345" spans="15:18" ht="15.75" customHeight="1" x14ac:dyDescent="0.25">
      <c r="O345" s="13"/>
      <c r="P345" s="13"/>
      <c r="Q345" s="13"/>
      <c r="R345" s="13"/>
    </row>
    <row r="346" spans="15:18" ht="15.75" customHeight="1" x14ac:dyDescent="0.25">
      <c r="O346" s="13"/>
      <c r="P346" s="13"/>
      <c r="Q346" s="13"/>
      <c r="R346" s="13"/>
    </row>
    <row r="347" spans="15:18" ht="15.75" customHeight="1" x14ac:dyDescent="0.25">
      <c r="O347" s="13"/>
      <c r="P347" s="13"/>
      <c r="Q347" s="13"/>
      <c r="R347" s="13"/>
    </row>
    <row r="348" spans="15:18" ht="15.75" customHeight="1" x14ac:dyDescent="0.25">
      <c r="O348" s="13"/>
      <c r="P348" s="13"/>
      <c r="Q348" s="13"/>
      <c r="R348" s="13"/>
    </row>
    <row r="349" spans="15:18" ht="15.75" customHeight="1" x14ac:dyDescent="0.25">
      <c r="O349" s="13"/>
      <c r="P349" s="13"/>
      <c r="Q349" s="13"/>
      <c r="R349" s="13"/>
    </row>
    <row r="350" spans="15:18" ht="15.75" customHeight="1" x14ac:dyDescent="0.25">
      <c r="O350" s="13"/>
      <c r="P350" s="13"/>
      <c r="Q350" s="13"/>
      <c r="R350" s="13"/>
    </row>
    <row r="351" spans="15:18" ht="15.75" customHeight="1" x14ac:dyDescent="0.25">
      <c r="O351" s="13"/>
      <c r="P351" s="13"/>
      <c r="Q351" s="13"/>
      <c r="R351" s="13"/>
    </row>
    <row r="352" spans="15:18" ht="15.75" customHeight="1" x14ac:dyDescent="0.25">
      <c r="O352" s="13"/>
      <c r="P352" s="13"/>
      <c r="Q352" s="13"/>
      <c r="R352" s="13"/>
    </row>
    <row r="353" spans="15:18" ht="15.75" customHeight="1" x14ac:dyDescent="0.25">
      <c r="O353" s="13"/>
      <c r="P353" s="13"/>
      <c r="Q353" s="13"/>
      <c r="R353" s="13"/>
    </row>
    <row r="354" spans="15:18" ht="15.75" customHeight="1" x14ac:dyDescent="0.25">
      <c r="O354" s="13"/>
      <c r="P354" s="13"/>
      <c r="Q354" s="13"/>
      <c r="R354" s="13"/>
    </row>
    <row r="355" spans="15:18" ht="15.75" customHeight="1" x14ac:dyDescent="0.25">
      <c r="O355" s="13"/>
      <c r="P355" s="13"/>
      <c r="Q355" s="13"/>
      <c r="R355" s="13"/>
    </row>
    <row r="356" spans="15:18" ht="15.75" customHeight="1" x14ac:dyDescent="0.25">
      <c r="O356" s="13"/>
      <c r="P356" s="13"/>
      <c r="Q356" s="13"/>
      <c r="R356" s="13"/>
    </row>
    <row r="357" spans="15:18" ht="15.75" customHeight="1" x14ac:dyDescent="0.25">
      <c r="O357" s="13"/>
      <c r="P357" s="13"/>
      <c r="Q357" s="13"/>
      <c r="R357" s="13"/>
    </row>
    <row r="358" spans="15:18" ht="15.75" customHeight="1" x14ac:dyDescent="0.25">
      <c r="O358" s="13"/>
      <c r="P358" s="13"/>
      <c r="Q358" s="13"/>
      <c r="R358" s="13"/>
    </row>
    <row r="359" spans="15:18" ht="15.75" customHeight="1" x14ac:dyDescent="0.25">
      <c r="O359" s="13"/>
      <c r="P359" s="13"/>
      <c r="Q359" s="13"/>
      <c r="R359" s="13"/>
    </row>
    <row r="360" spans="15:18" ht="15.75" customHeight="1" x14ac:dyDescent="0.25">
      <c r="O360" s="13"/>
      <c r="P360" s="13"/>
      <c r="Q360" s="13"/>
      <c r="R360" s="13"/>
    </row>
    <row r="361" spans="15:18" ht="15.75" customHeight="1" x14ac:dyDescent="0.25">
      <c r="O361" s="13"/>
      <c r="P361" s="13"/>
      <c r="Q361" s="13"/>
      <c r="R361" s="13"/>
    </row>
    <row r="362" spans="15:18" ht="15.75" customHeight="1" x14ac:dyDescent="0.25">
      <c r="O362" s="13"/>
      <c r="P362" s="13"/>
      <c r="Q362" s="13"/>
      <c r="R362" s="13"/>
    </row>
    <row r="363" spans="15:18" ht="15.75" customHeight="1" x14ac:dyDescent="0.25">
      <c r="O363" s="13"/>
      <c r="P363" s="13"/>
      <c r="Q363" s="13"/>
      <c r="R363" s="13"/>
    </row>
    <row r="364" spans="15:18" ht="15.75" customHeight="1" x14ac:dyDescent="0.25">
      <c r="O364" s="13"/>
      <c r="P364" s="13"/>
      <c r="Q364" s="13"/>
      <c r="R364" s="13"/>
    </row>
    <row r="365" spans="15:18" ht="15.75" customHeight="1" x14ac:dyDescent="0.25">
      <c r="O365" s="13"/>
      <c r="P365" s="13"/>
      <c r="Q365" s="13"/>
      <c r="R365" s="13"/>
    </row>
    <row r="366" spans="15:18" ht="15.75" customHeight="1" x14ac:dyDescent="0.25">
      <c r="O366" s="13"/>
      <c r="P366" s="13"/>
      <c r="Q366" s="13"/>
      <c r="R366" s="13"/>
    </row>
    <row r="367" spans="15:18" ht="15.75" customHeight="1" x14ac:dyDescent="0.25">
      <c r="O367" s="13"/>
      <c r="P367" s="13"/>
      <c r="Q367" s="13"/>
      <c r="R367" s="13"/>
    </row>
    <row r="368" spans="15:18" ht="15.75" customHeight="1" x14ac:dyDescent="0.25">
      <c r="O368" s="13"/>
      <c r="P368" s="13"/>
      <c r="Q368" s="13"/>
      <c r="R368" s="13"/>
    </row>
    <row r="369" spans="15:18" ht="15.75" customHeight="1" x14ac:dyDescent="0.25">
      <c r="O369" s="13"/>
      <c r="P369" s="13"/>
      <c r="Q369" s="13"/>
      <c r="R369" s="13"/>
    </row>
    <row r="370" spans="15:18" ht="15.75" customHeight="1" x14ac:dyDescent="0.25">
      <c r="O370" s="13"/>
      <c r="P370" s="13"/>
      <c r="Q370" s="13"/>
      <c r="R370" s="13"/>
    </row>
    <row r="371" spans="15:18" ht="15.75" customHeight="1" x14ac:dyDescent="0.25">
      <c r="O371" s="13"/>
      <c r="P371" s="13"/>
      <c r="Q371" s="13"/>
      <c r="R371" s="13"/>
    </row>
    <row r="372" spans="15:18" ht="15.75" customHeight="1" x14ac:dyDescent="0.25">
      <c r="O372" s="13"/>
      <c r="P372" s="13"/>
      <c r="Q372" s="13"/>
      <c r="R372" s="13"/>
    </row>
    <row r="373" spans="15:18" ht="15.75" customHeight="1" x14ac:dyDescent="0.25">
      <c r="O373" s="13"/>
      <c r="P373" s="13"/>
      <c r="Q373" s="13"/>
      <c r="R373" s="13"/>
    </row>
    <row r="374" spans="15:18" ht="15.75" customHeight="1" x14ac:dyDescent="0.25">
      <c r="O374" s="13"/>
      <c r="P374" s="13"/>
      <c r="Q374" s="13"/>
      <c r="R374" s="13"/>
    </row>
    <row r="375" spans="15:18" ht="15.75" customHeight="1" x14ac:dyDescent="0.25">
      <c r="O375" s="13"/>
      <c r="P375" s="13"/>
      <c r="Q375" s="13"/>
      <c r="R375" s="13"/>
    </row>
    <row r="376" spans="15:18" ht="15.75" customHeight="1" x14ac:dyDescent="0.25">
      <c r="O376" s="13"/>
      <c r="P376" s="13"/>
      <c r="Q376" s="13"/>
      <c r="R376" s="13"/>
    </row>
    <row r="377" spans="15:18" ht="15.75" customHeight="1" x14ac:dyDescent="0.25">
      <c r="O377" s="13"/>
      <c r="P377" s="13"/>
      <c r="Q377" s="13"/>
      <c r="R377" s="13"/>
    </row>
    <row r="378" spans="15:18" ht="15.75" customHeight="1" x14ac:dyDescent="0.25">
      <c r="O378" s="13"/>
      <c r="P378" s="13"/>
      <c r="Q378" s="13"/>
      <c r="R378" s="13"/>
    </row>
    <row r="379" spans="15:18" ht="15.75" customHeight="1" x14ac:dyDescent="0.25">
      <c r="O379" s="13"/>
      <c r="P379" s="13"/>
      <c r="Q379" s="13"/>
      <c r="R379" s="13"/>
    </row>
    <row r="380" spans="15:18" ht="15.75" customHeight="1" x14ac:dyDescent="0.25">
      <c r="O380" s="13"/>
      <c r="P380" s="13"/>
      <c r="Q380" s="13"/>
      <c r="R380" s="13"/>
    </row>
    <row r="381" spans="15:18" ht="15.75" customHeight="1" x14ac:dyDescent="0.25">
      <c r="O381" s="13"/>
      <c r="P381" s="13"/>
      <c r="Q381" s="13"/>
      <c r="R381" s="13"/>
    </row>
    <row r="382" spans="15:18" ht="15.75" customHeight="1" x14ac:dyDescent="0.25">
      <c r="O382" s="13"/>
      <c r="P382" s="13"/>
      <c r="Q382" s="13"/>
      <c r="R382" s="13"/>
    </row>
    <row r="383" spans="15:18" ht="15.75" customHeight="1" x14ac:dyDescent="0.25">
      <c r="O383" s="13"/>
      <c r="P383" s="13"/>
      <c r="Q383" s="13"/>
      <c r="R383" s="13"/>
    </row>
    <row r="384" spans="15:18" ht="15.75" customHeight="1" x14ac:dyDescent="0.25">
      <c r="O384" s="13"/>
      <c r="P384" s="13"/>
      <c r="Q384" s="13"/>
      <c r="R384" s="13"/>
    </row>
    <row r="385" spans="15:18" ht="15.75" customHeight="1" x14ac:dyDescent="0.25">
      <c r="O385" s="13"/>
      <c r="P385" s="13"/>
      <c r="Q385" s="13"/>
      <c r="R385" s="13"/>
    </row>
    <row r="386" spans="15:18" ht="15.75" customHeight="1" x14ac:dyDescent="0.25">
      <c r="O386" s="13"/>
      <c r="P386" s="13"/>
      <c r="Q386" s="13"/>
      <c r="R386" s="13"/>
    </row>
    <row r="387" spans="15:18" ht="15.75" customHeight="1" x14ac:dyDescent="0.25">
      <c r="O387" s="13"/>
      <c r="P387" s="13"/>
      <c r="Q387" s="13"/>
      <c r="R387" s="13"/>
    </row>
    <row r="388" spans="15:18" ht="15.75" customHeight="1" x14ac:dyDescent="0.25">
      <c r="O388" s="13"/>
      <c r="P388" s="13"/>
      <c r="Q388" s="13"/>
      <c r="R388" s="13"/>
    </row>
    <row r="389" spans="15:18" ht="15.75" customHeight="1" x14ac:dyDescent="0.25">
      <c r="O389" s="13"/>
      <c r="P389" s="13"/>
      <c r="Q389" s="13"/>
      <c r="R389" s="13"/>
    </row>
    <row r="390" spans="15:18" ht="15.75" customHeight="1" x14ac:dyDescent="0.25">
      <c r="O390" s="13"/>
      <c r="P390" s="13"/>
      <c r="Q390" s="13"/>
      <c r="R390" s="13"/>
    </row>
    <row r="391" spans="15:18" ht="15.75" customHeight="1" x14ac:dyDescent="0.25">
      <c r="O391" s="13"/>
      <c r="P391" s="13"/>
      <c r="Q391" s="13"/>
      <c r="R391" s="13"/>
    </row>
    <row r="392" spans="15:18" ht="15.75" customHeight="1" x14ac:dyDescent="0.25">
      <c r="O392" s="13"/>
      <c r="P392" s="13"/>
      <c r="Q392" s="13"/>
      <c r="R392" s="13"/>
    </row>
    <row r="393" spans="15:18" ht="15.75" customHeight="1" x14ac:dyDescent="0.25">
      <c r="O393" s="13"/>
      <c r="P393" s="13"/>
      <c r="Q393" s="13"/>
      <c r="R393" s="13"/>
    </row>
    <row r="394" spans="15:18" ht="15.75" customHeight="1" x14ac:dyDescent="0.25">
      <c r="O394" s="13"/>
      <c r="P394" s="13"/>
      <c r="Q394" s="13"/>
      <c r="R394" s="13"/>
    </row>
    <row r="395" spans="15:18" ht="15.75" customHeight="1" x14ac:dyDescent="0.25">
      <c r="O395" s="13"/>
      <c r="P395" s="13"/>
      <c r="Q395" s="13"/>
      <c r="R395" s="13"/>
    </row>
    <row r="396" spans="15:18" ht="15.75" customHeight="1" x14ac:dyDescent="0.25">
      <c r="O396" s="13"/>
      <c r="P396" s="13"/>
      <c r="Q396" s="13"/>
      <c r="R396" s="13"/>
    </row>
    <row r="397" spans="15:18" ht="15.75" customHeight="1" x14ac:dyDescent="0.25">
      <c r="O397" s="13"/>
      <c r="P397" s="13"/>
      <c r="Q397" s="13"/>
      <c r="R397" s="13"/>
    </row>
    <row r="398" spans="15:18" ht="15.75" customHeight="1" x14ac:dyDescent="0.25">
      <c r="O398" s="13"/>
      <c r="P398" s="13"/>
      <c r="Q398" s="13"/>
      <c r="R398" s="13"/>
    </row>
    <row r="399" spans="15:18" ht="15.75" customHeight="1" x14ac:dyDescent="0.25">
      <c r="O399" s="13"/>
      <c r="P399" s="13"/>
      <c r="Q399" s="13"/>
      <c r="R399" s="13"/>
    </row>
    <row r="400" spans="15:18" ht="15.75" customHeight="1" x14ac:dyDescent="0.25">
      <c r="O400" s="13"/>
      <c r="P400" s="13"/>
      <c r="Q400" s="13"/>
      <c r="R400" s="13"/>
    </row>
    <row r="401" spans="15:18" ht="15.75" customHeight="1" x14ac:dyDescent="0.25">
      <c r="O401" s="13"/>
      <c r="P401" s="13"/>
      <c r="Q401" s="13"/>
      <c r="R401" s="13"/>
    </row>
    <row r="402" spans="15:18" ht="15.75" customHeight="1" x14ac:dyDescent="0.25">
      <c r="O402" s="13"/>
      <c r="P402" s="13"/>
      <c r="Q402" s="13"/>
      <c r="R402" s="13"/>
    </row>
    <row r="403" spans="15:18" ht="15.75" customHeight="1" x14ac:dyDescent="0.25">
      <c r="O403" s="13"/>
      <c r="P403" s="13"/>
      <c r="Q403" s="13"/>
      <c r="R403" s="13"/>
    </row>
    <row r="404" spans="15:18" ht="15.75" customHeight="1" x14ac:dyDescent="0.25">
      <c r="O404" s="13"/>
      <c r="P404" s="13"/>
      <c r="Q404" s="13"/>
      <c r="R404" s="13"/>
    </row>
    <row r="405" spans="15:18" ht="15.75" customHeight="1" x14ac:dyDescent="0.25">
      <c r="O405" s="13"/>
      <c r="P405" s="13"/>
      <c r="Q405" s="13"/>
      <c r="R405" s="13"/>
    </row>
    <row r="406" spans="15:18" ht="15.75" customHeight="1" x14ac:dyDescent="0.25">
      <c r="O406" s="13"/>
      <c r="P406" s="13"/>
      <c r="Q406" s="13"/>
      <c r="R406" s="13"/>
    </row>
    <row r="407" spans="15:18" ht="15.75" customHeight="1" x14ac:dyDescent="0.25">
      <c r="O407" s="13"/>
      <c r="P407" s="13"/>
      <c r="Q407" s="13"/>
      <c r="R407" s="13"/>
    </row>
    <row r="408" spans="15:18" ht="15.75" customHeight="1" x14ac:dyDescent="0.25">
      <c r="O408" s="13"/>
      <c r="P408" s="13"/>
      <c r="Q408" s="13"/>
      <c r="R408" s="13"/>
    </row>
    <row r="409" spans="15:18" ht="15.75" customHeight="1" x14ac:dyDescent="0.25">
      <c r="O409" s="13"/>
      <c r="P409" s="13"/>
      <c r="Q409" s="13"/>
      <c r="R409" s="13"/>
    </row>
    <row r="410" spans="15:18" ht="15.75" customHeight="1" x14ac:dyDescent="0.25">
      <c r="O410" s="13"/>
      <c r="P410" s="13"/>
      <c r="Q410" s="13"/>
      <c r="R410" s="13"/>
    </row>
    <row r="411" spans="15:18" ht="15.75" customHeight="1" x14ac:dyDescent="0.25">
      <c r="O411" s="13"/>
      <c r="P411" s="13"/>
      <c r="Q411" s="13"/>
      <c r="R411" s="13"/>
    </row>
    <row r="412" spans="15:18" ht="15.75" customHeight="1" x14ac:dyDescent="0.25">
      <c r="O412" s="13"/>
      <c r="P412" s="13"/>
      <c r="Q412" s="13"/>
      <c r="R412" s="13"/>
    </row>
    <row r="413" spans="15:18" ht="15.75" customHeight="1" x14ac:dyDescent="0.25">
      <c r="O413" s="13"/>
      <c r="P413" s="13"/>
      <c r="Q413" s="13"/>
      <c r="R413" s="13"/>
    </row>
    <row r="414" spans="15:18" ht="15.75" customHeight="1" x14ac:dyDescent="0.25">
      <c r="O414" s="13"/>
      <c r="P414" s="13"/>
      <c r="Q414" s="13"/>
      <c r="R414" s="13"/>
    </row>
    <row r="415" spans="15:18" ht="15.75" customHeight="1" x14ac:dyDescent="0.25">
      <c r="O415" s="13"/>
      <c r="P415" s="13"/>
      <c r="Q415" s="13"/>
      <c r="R415" s="13"/>
    </row>
    <row r="416" spans="15:18" ht="15.75" customHeight="1" x14ac:dyDescent="0.25">
      <c r="O416" s="13"/>
      <c r="P416" s="13"/>
      <c r="Q416" s="13"/>
      <c r="R416" s="13"/>
    </row>
    <row r="417" spans="15:18" ht="15.75" customHeight="1" x14ac:dyDescent="0.25">
      <c r="O417" s="13"/>
      <c r="P417" s="13"/>
      <c r="Q417" s="13"/>
      <c r="R417" s="13"/>
    </row>
    <row r="418" spans="15:18" ht="15.75" customHeight="1" x14ac:dyDescent="0.25">
      <c r="O418" s="13"/>
      <c r="P418" s="13"/>
      <c r="Q418" s="13"/>
      <c r="R418" s="13"/>
    </row>
    <row r="419" spans="15:18" ht="15.75" customHeight="1" x14ac:dyDescent="0.25">
      <c r="O419" s="13"/>
      <c r="P419" s="13"/>
      <c r="Q419" s="13"/>
      <c r="R419" s="13"/>
    </row>
    <row r="420" spans="15:18" ht="15.75" customHeight="1" x14ac:dyDescent="0.25">
      <c r="O420" s="13"/>
      <c r="P420" s="13"/>
      <c r="Q420" s="13"/>
      <c r="R420" s="13"/>
    </row>
    <row r="421" spans="15:18" ht="15.75" customHeight="1" x14ac:dyDescent="0.25">
      <c r="O421" s="13"/>
      <c r="P421" s="13"/>
      <c r="Q421" s="13"/>
      <c r="R421" s="13"/>
    </row>
    <row r="422" spans="15:18" ht="15.75" customHeight="1" x14ac:dyDescent="0.25">
      <c r="O422" s="13"/>
      <c r="P422" s="13"/>
      <c r="Q422" s="13"/>
      <c r="R422" s="13"/>
    </row>
    <row r="423" spans="15:18" ht="15.75" customHeight="1" x14ac:dyDescent="0.25">
      <c r="O423" s="13"/>
      <c r="P423" s="13"/>
      <c r="Q423" s="13"/>
      <c r="R423" s="13"/>
    </row>
    <row r="424" spans="15:18" ht="15.75" customHeight="1" x14ac:dyDescent="0.25">
      <c r="O424" s="13"/>
      <c r="P424" s="13"/>
      <c r="Q424" s="13"/>
      <c r="R424" s="13"/>
    </row>
    <row r="425" spans="15:18" ht="15.75" customHeight="1" x14ac:dyDescent="0.25">
      <c r="O425" s="13"/>
      <c r="P425" s="13"/>
      <c r="Q425" s="13"/>
      <c r="R425" s="13"/>
    </row>
    <row r="426" spans="15:18" ht="15.75" customHeight="1" x14ac:dyDescent="0.25">
      <c r="O426" s="13"/>
      <c r="P426" s="13"/>
      <c r="Q426" s="13"/>
      <c r="R426" s="13"/>
    </row>
    <row r="427" spans="15:18" ht="15.75" customHeight="1" x14ac:dyDescent="0.25">
      <c r="O427" s="13"/>
      <c r="P427" s="13"/>
      <c r="Q427" s="13"/>
      <c r="R427" s="13"/>
    </row>
    <row r="428" spans="15:18" ht="15.75" customHeight="1" x14ac:dyDescent="0.25">
      <c r="O428" s="13"/>
      <c r="P428" s="13"/>
      <c r="Q428" s="13"/>
      <c r="R428" s="13"/>
    </row>
    <row r="429" spans="15:18" ht="15.75" customHeight="1" x14ac:dyDescent="0.25">
      <c r="O429" s="13"/>
      <c r="P429" s="13"/>
      <c r="Q429" s="13"/>
      <c r="R429" s="13"/>
    </row>
    <row r="430" spans="15:18" ht="15.75" customHeight="1" x14ac:dyDescent="0.25">
      <c r="O430" s="13"/>
      <c r="P430" s="13"/>
      <c r="Q430" s="13"/>
      <c r="R430" s="13"/>
    </row>
    <row r="431" spans="15:18" ht="15.75" customHeight="1" x14ac:dyDescent="0.25">
      <c r="O431" s="13"/>
      <c r="P431" s="13"/>
      <c r="Q431" s="13"/>
      <c r="R431" s="13"/>
    </row>
    <row r="432" spans="15:18" ht="15.75" customHeight="1" x14ac:dyDescent="0.25">
      <c r="O432" s="13"/>
      <c r="P432" s="13"/>
      <c r="Q432" s="13"/>
      <c r="R432" s="13"/>
    </row>
    <row r="433" spans="15:18" ht="15.75" customHeight="1" x14ac:dyDescent="0.25">
      <c r="O433" s="13"/>
      <c r="P433" s="13"/>
      <c r="Q433" s="13"/>
      <c r="R433" s="13"/>
    </row>
    <row r="434" spans="15:18" ht="15.75" customHeight="1" x14ac:dyDescent="0.25">
      <c r="O434" s="13"/>
      <c r="P434" s="13"/>
      <c r="Q434" s="13"/>
      <c r="R434" s="13"/>
    </row>
    <row r="435" spans="15:18" ht="15.75" customHeight="1" x14ac:dyDescent="0.25">
      <c r="O435" s="13"/>
      <c r="P435" s="13"/>
      <c r="Q435" s="13"/>
      <c r="R435" s="13"/>
    </row>
    <row r="436" spans="15:18" ht="15.75" customHeight="1" x14ac:dyDescent="0.25">
      <c r="O436" s="13"/>
      <c r="P436" s="13"/>
      <c r="Q436" s="13"/>
      <c r="R436" s="13"/>
    </row>
    <row r="437" spans="15:18" ht="15.75" customHeight="1" x14ac:dyDescent="0.25">
      <c r="O437" s="13"/>
      <c r="P437" s="13"/>
      <c r="Q437" s="13"/>
      <c r="R437" s="13"/>
    </row>
    <row r="438" spans="15:18" ht="15.75" customHeight="1" x14ac:dyDescent="0.25">
      <c r="O438" s="13"/>
      <c r="P438" s="13"/>
      <c r="Q438" s="13"/>
      <c r="R438" s="13"/>
    </row>
    <row r="439" spans="15:18" ht="15.75" customHeight="1" x14ac:dyDescent="0.25">
      <c r="O439" s="13"/>
      <c r="P439" s="13"/>
      <c r="Q439" s="13"/>
      <c r="R439" s="13"/>
    </row>
    <row r="440" spans="15:18" ht="15.75" customHeight="1" x14ac:dyDescent="0.25">
      <c r="O440" s="13"/>
      <c r="P440" s="13"/>
      <c r="Q440" s="13"/>
      <c r="R440" s="13"/>
    </row>
    <row r="441" spans="15:18" ht="15.75" customHeight="1" x14ac:dyDescent="0.25">
      <c r="O441" s="13"/>
      <c r="P441" s="13"/>
      <c r="Q441" s="13"/>
      <c r="R441" s="13"/>
    </row>
    <row r="442" spans="15:18" ht="15.75" customHeight="1" x14ac:dyDescent="0.25">
      <c r="O442" s="13"/>
      <c r="P442" s="13"/>
      <c r="Q442" s="13"/>
      <c r="R442" s="13"/>
    </row>
    <row r="443" spans="15:18" ht="15.75" customHeight="1" x14ac:dyDescent="0.25">
      <c r="O443" s="13"/>
      <c r="P443" s="13"/>
      <c r="Q443" s="13"/>
      <c r="R443" s="13"/>
    </row>
    <row r="444" spans="15:18" ht="15.75" customHeight="1" x14ac:dyDescent="0.25">
      <c r="O444" s="13"/>
      <c r="P444" s="13"/>
      <c r="Q444" s="13"/>
      <c r="R444" s="13"/>
    </row>
    <row r="445" spans="15:18" ht="15.75" customHeight="1" x14ac:dyDescent="0.25">
      <c r="O445" s="13"/>
      <c r="P445" s="13"/>
      <c r="Q445" s="13"/>
      <c r="R445" s="13"/>
    </row>
    <row r="446" spans="15:18" ht="15.75" customHeight="1" x14ac:dyDescent="0.25">
      <c r="O446" s="13"/>
      <c r="P446" s="13"/>
      <c r="Q446" s="13"/>
      <c r="R446" s="13"/>
    </row>
    <row r="447" spans="15:18" ht="15.75" customHeight="1" x14ac:dyDescent="0.25">
      <c r="O447" s="13"/>
      <c r="P447" s="13"/>
      <c r="Q447" s="13"/>
      <c r="R447" s="13"/>
    </row>
    <row r="448" spans="15:18" ht="15.75" customHeight="1" x14ac:dyDescent="0.25">
      <c r="O448" s="13"/>
      <c r="P448" s="13"/>
      <c r="Q448" s="13"/>
      <c r="R448" s="13"/>
    </row>
    <row r="449" spans="15:18" ht="15.75" customHeight="1" x14ac:dyDescent="0.25">
      <c r="O449" s="13"/>
      <c r="P449" s="13"/>
      <c r="Q449" s="13"/>
      <c r="R449" s="13"/>
    </row>
    <row r="450" spans="15:18" ht="15.75" customHeight="1" x14ac:dyDescent="0.25">
      <c r="O450" s="13"/>
      <c r="P450" s="13"/>
      <c r="Q450" s="13"/>
      <c r="R450" s="13"/>
    </row>
    <row r="451" spans="15:18" ht="15.75" customHeight="1" x14ac:dyDescent="0.25">
      <c r="O451" s="13"/>
      <c r="P451" s="13"/>
      <c r="Q451" s="13"/>
      <c r="R451" s="13"/>
    </row>
    <row r="452" spans="15:18" ht="15.75" customHeight="1" x14ac:dyDescent="0.25">
      <c r="O452" s="13"/>
      <c r="P452" s="13"/>
      <c r="Q452" s="13"/>
      <c r="R452" s="13"/>
    </row>
    <row r="453" spans="15:18" ht="15.75" customHeight="1" x14ac:dyDescent="0.25">
      <c r="O453" s="13"/>
      <c r="P453" s="13"/>
      <c r="Q453" s="13"/>
      <c r="R453" s="13"/>
    </row>
    <row r="454" spans="15:18" ht="15.75" customHeight="1" x14ac:dyDescent="0.25">
      <c r="O454" s="13"/>
      <c r="P454" s="13"/>
      <c r="Q454" s="13"/>
      <c r="R454" s="13"/>
    </row>
    <row r="455" spans="15:18" ht="15.75" customHeight="1" x14ac:dyDescent="0.25">
      <c r="O455" s="13"/>
      <c r="P455" s="13"/>
      <c r="Q455" s="13"/>
      <c r="R455" s="13"/>
    </row>
    <row r="456" spans="15:18" ht="15.75" customHeight="1" x14ac:dyDescent="0.25">
      <c r="O456" s="13"/>
      <c r="P456" s="13"/>
      <c r="Q456" s="13"/>
      <c r="R456" s="13"/>
    </row>
    <row r="457" spans="15:18" ht="15.75" customHeight="1" x14ac:dyDescent="0.25">
      <c r="O457" s="13"/>
      <c r="P457" s="13"/>
      <c r="Q457" s="13"/>
      <c r="R457" s="13"/>
    </row>
    <row r="458" spans="15:18" ht="15.75" customHeight="1" x14ac:dyDescent="0.25">
      <c r="O458" s="13"/>
      <c r="P458" s="13"/>
      <c r="Q458" s="13"/>
      <c r="R458" s="13"/>
    </row>
    <row r="459" spans="15:18" ht="15.75" customHeight="1" x14ac:dyDescent="0.25">
      <c r="O459" s="13"/>
      <c r="P459" s="13"/>
      <c r="Q459" s="13"/>
      <c r="R459" s="13"/>
    </row>
    <row r="460" spans="15:18" ht="15.75" customHeight="1" x14ac:dyDescent="0.25">
      <c r="O460" s="13"/>
      <c r="P460" s="13"/>
      <c r="Q460" s="13"/>
      <c r="R460" s="13"/>
    </row>
    <row r="461" spans="15:18" ht="15.75" customHeight="1" x14ac:dyDescent="0.25">
      <c r="O461" s="13"/>
      <c r="P461" s="13"/>
      <c r="Q461" s="13"/>
      <c r="R461" s="13"/>
    </row>
    <row r="462" spans="15:18" ht="15.75" customHeight="1" x14ac:dyDescent="0.25">
      <c r="O462" s="13"/>
      <c r="P462" s="13"/>
      <c r="Q462" s="13"/>
      <c r="R462" s="13"/>
    </row>
    <row r="463" spans="15:18" ht="15.75" customHeight="1" x14ac:dyDescent="0.25">
      <c r="O463" s="13"/>
      <c r="P463" s="13"/>
      <c r="Q463" s="13"/>
      <c r="R463" s="13"/>
    </row>
    <row r="464" spans="15:18" ht="15.75" customHeight="1" x14ac:dyDescent="0.25">
      <c r="O464" s="13"/>
      <c r="P464" s="13"/>
      <c r="Q464" s="13"/>
      <c r="R464" s="13"/>
    </row>
    <row r="465" spans="15:18" ht="15.75" customHeight="1" x14ac:dyDescent="0.25">
      <c r="O465" s="13"/>
      <c r="P465" s="13"/>
      <c r="Q465" s="13"/>
      <c r="R465" s="13"/>
    </row>
    <row r="466" spans="15:18" ht="15.75" customHeight="1" x14ac:dyDescent="0.25">
      <c r="O466" s="13"/>
      <c r="P466" s="13"/>
      <c r="Q466" s="13"/>
      <c r="R466" s="13"/>
    </row>
    <row r="467" spans="15:18" ht="15.75" customHeight="1" x14ac:dyDescent="0.25">
      <c r="O467" s="13"/>
      <c r="P467" s="13"/>
      <c r="Q467" s="13"/>
      <c r="R467" s="13"/>
    </row>
    <row r="468" spans="15:18" ht="15.75" customHeight="1" x14ac:dyDescent="0.25">
      <c r="O468" s="13"/>
      <c r="P468" s="13"/>
      <c r="Q468" s="13"/>
      <c r="R468" s="13"/>
    </row>
    <row r="469" spans="15:18" ht="15.75" customHeight="1" x14ac:dyDescent="0.25">
      <c r="O469" s="13"/>
      <c r="P469" s="13"/>
      <c r="Q469" s="13"/>
      <c r="R469" s="13"/>
    </row>
    <row r="470" spans="15:18" ht="15.75" customHeight="1" x14ac:dyDescent="0.25">
      <c r="O470" s="13"/>
      <c r="P470" s="13"/>
      <c r="Q470" s="13"/>
      <c r="R470" s="13"/>
    </row>
    <row r="471" spans="15:18" ht="15.75" customHeight="1" x14ac:dyDescent="0.25">
      <c r="O471" s="13"/>
      <c r="P471" s="13"/>
      <c r="Q471" s="13"/>
      <c r="R471" s="13"/>
    </row>
    <row r="472" spans="15:18" ht="15.75" customHeight="1" x14ac:dyDescent="0.25">
      <c r="O472" s="13"/>
      <c r="P472" s="13"/>
      <c r="Q472" s="13"/>
      <c r="R472" s="13"/>
    </row>
    <row r="473" spans="15:18" ht="15.75" customHeight="1" x14ac:dyDescent="0.25">
      <c r="O473" s="13"/>
      <c r="P473" s="13"/>
      <c r="Q473" s="13"/>
      <c r="R473" s="13"/>
    </row>
    <row r="474" spans="15:18" ht="15.75" customHeight="1" x14ac:dyDescent="0.25">
      <c r="O474" s="13"/>
      <c r="P474" s="13"/>
      <c r="Q474" s="13"/>
      <c r="R474" s="13"/>
    </row>
    <row r="475" spans="15:18" ht="15.75" customHeight="1" x14ac:dyDescent="0.25">
      <c r="O475" s="13"/>
      <c r="P475" s="13"/>
      <c r="Q475" s="13"/>
      <c r="R475" s="13"/>
    </row>
    <row r="476" spans="15:18" ht="15.75" customHeight="1" x14ac:dyDescent="0.25">
      <c r="O476" s="13"/>
      <c r="P476" s="13"/>
      <c r="Q476" s="13"/>
      <c r="R476" s="13"/>
    </row>
    <row r="477" spans="15:18" ht="15.75" customHeight="1" x14ac:dyDescent="0.25">
      <c r="O477" s="13"/>
      <c r="P477" s="13"/>
      <c r="Q477" s="13"/>
      <c r="R477" s="13"/>
    </row>
    <row r="478" spans="15:18" ht="15.75" customHeight="1" x14ac:dyDescent="0.25">
      <c r="O478" s="13"/>
      <c r="P478" s="13"/>
      <c r="Q478" s="13"/>
      <c r="R478" s="13"/>
    </row>
    <row r="479" spans="15:18" ht="15.75" customHeight="1" x14ac:dyDescent="0.25">
      <c r="O479" s="13"/>
      <c r="P479" s="13"/>
      <c r="Q479" s="13"/>
      <c r="R479" s="13"/>
    </row>
    <row r="480" spans="15:18" ht="15.75" customHeight="1" x14ac:dyDescent="0.25">
      <c r="O480" s="13"/>
      <c r="P480" s="13"/>
      <c r="Q480" s="13"/>
      <c r="R480" s="13"/>
    </row>
    <row r="481" spans="15:18" ht="15.75" customHeight="1" x14ac:dyDescent="0.25">
      <c r="O481" s="13"/>
      <c r="P481" s="13"/>
      <c r="Q481" s="13"/>
      <c r="R481" s="13"/>
    </row>
    <row r="482" spans="15:18" ht="15.75" customHeight="1" x14ac:dyDescent="0.25">
      <c r="O482" s="13"/>
      <c r="P482" s="13"/>
      <c r="Q482" s="13"/>
      <c r="R482" s="13"/>
    </row>
    <row r="483" spans="15:18" ht="15.75" customHeight="1" x14ac:dyDescent="0.25">
      <c r="O483" s="13"/>
      <c r="P483" s="13"/>
      <c r="Q483" s="13"/>
      <c r="R483" s="13"/>
    </row>
    <row r="484" spans="15:18" ht="15.75" customHeight="1" x14ac:dyDescent="0.25">
      <c r="O484" s="13"/>
      <c r="P484" s="13"/>
      <c r="Q484" s="13"/>
      <c r="R484" s="13"/>
    </row>
    <row r="485" spans="15:18" ht="15.75" customHeight="1" x14ac:dyDescent="0.25">
      <c r="O485" s="13"/>
      <c r="P485" s="13"/>
      <c r="Q485" s="13"/>
      <c r="R485" s="13"/>
    </row>
    <row r="486" spans="15:18" ht="15.75" customHeight="1" x14ac:dyDescent="0.25">
      <c r="O486" s="13"/>
      <c r="P486" s="13"/>
      <c r="Q486" s="13"/>
      <c r="R486" s="13"/>
    </row>
    <row r="487" spans="15:18" ht="15.75" customHeight="1" x14ac:dyDescent="0.25">
      <c r="O487" s="13"/>
      <c r="P487" s="13"/>
      <c r="Q487" s="13"/>
      <c r="R487" s="13"/>
    </row>
    <row r="488" spans="15:18" ht="15.75" customHeight="1" x14ac:dyDescent="0.25">
      <c r="O488" s="13"/>
      <c r="P488" s="13"/>
      <c r="Q488" s="13"/>
      <c r="R488" s="13"/>
    </row>
    <row r="489" spans="15:18" ht="15.75" customHeight="1" x14ac:dyDescent="0.25">
      <c r="O489" s="13"/>
      <c r="P489" s="13"/>
      <c r="Q489" s="13"/>
      <c r="R489" s="13"/>
    </row>
    <row r="490" spans="15:18" ht="15.75" customHeight="1" x14ac:dyDescent="0.25">
      <c r="O490" s="13"/>
      <c r="P490" s="13"/>
      <c r="Q490" s="13"/>
      <c r="R490" s="13"/>
    </row>
    <row r="491" spans="15:18" ht="15.75" customHeight="1" x14ac:dyDescent="0.25">
      <c r="O491" s="13"/>
      <c r="P491" s="13"/>
      <c r="Q491" s="13"/>
      <c r="R491" s="13"/>
    </row>
    <row r="492" spans="15:18" ht="15.75" customHeight="1" x14ac:dyDescent="0.25">
      <c r="O492" s="13"/>
      <c r="P492" s="13"/>
      <c r="Q492" s="13"/>
      <c r="R492" s="13"/>
    </row>
    <row r="493" spans="15:18" ht="15.75" customHeight="1" x14ac:dyDescent="0.25">
      <c r="O493" s="13"/>
      <c r="P493" s="13"/>
      <c r="Q493" s="13"/>
      <c r="R493" s="13"/>
    </row>
    <row r="494" spans="15:18" ht="15.75" customHeight="1" x14ac:dyDescent="0.25">
      <c r="O494" s="13"/>
      <c r="P494" s="13"/>
      <c r="Q494" s="13"/>
      <c r="R494" s="13"/>
    </row>
    <row r="495" spans="15:18" ht="15.75" customHeight="1" x14ac:dyDescent="0.25">
      <c r="O495" s="13"/>
      <c r="P495" s="13"/>
      <c r="Q495" s="13"/>
      <c r="R495" s="13"/>
    </row>
    <row r="496" spans="15:18" ht="15.75" customHeight="1" x14ac:dyDescent="0.25">
      <c r="O496" s="13"/>
      <c r="P496" s="13"/>
      <c r="Q496" s="13"/>
      <c r="R496" s="13"/>
    </row>
    <row r="497" spans="15:18" ht="15.75" customHeight="1" x14ac:dyDescent="0.25">
      <c r="O497" s="13"/>
      <c r="P497" s="13"/>
      <c r="Q497" s="13"/>
      <c r="R497" s="13"/>
    </row>
    <row r="498" spans="15:18" ht="15.75" customHeight="1" x14ac:dyDescent="0.25">
      <c r="O498" s="13"/>
      <c r="P498" s="13"/>
      <c r="Q498" s="13"/>
      <c r="R498" s="13"/>
    </row>
    <row r="499" spans="15:18" ht="15.75" customHeight="1" x14ac:dyDescent="0.25">
      <c r="O499" s="13"/>
      <c r="P499" s="13"/>
      <c r="Q499" s="13"/>
      <c r="R499" s="13"/>
    </row>
    <row r="500" spans="15:18" ht="15.75" customHeight="1" x14ac:dyDescent="0.25">
      <c r="O500" s="13"/>
      <c r="P500" s="13"/>
      <c r="Q500" s="13"/>
      <c r="R500" s="13"/>
    </row>
    <row r="501" spans="15:18" ht="15.75" customHeight="1" x14ac:dyDescent="0.25">
      <c r="O501" s="13"/>
      <c r="P501" s="13"/>
      <c r="Q501" s="13"/>
      <c r="R501" s="13"/>
    </row>
    <row r="502" spans="15:18" ht="15.75" customHeight="1" x14ac:dyDescent="0.25">
      <c r="O502" s="13"/>
      <c r="P502" s="13"/>
      <c r="Q502" s="13"/>
      <c r="R502" s="13"/>
    </row>
    <row r="503" spans="15:18" ht="15.75" customHeight="1" x14ac:dyDescent="0.25">
      <c r="O503" s="13"/>
      <c r="P503" s="13"/>
      <c r="Q503" s="13"/>
      <c r="R503" s="13"/>
    </row>
    <row r="504" spans="15:18" ht="15.75" customHeight="1" x14ac:dyDescent="0.25">
      <c r="O504" s="13"/>
      <c r="P504" s="13"/>
      <c r="Q504" s="13"/>
      <c r="R504" s="13"/>
    </row>
    <row r="505" spans="15:18" ht="15.75" customHeight="1" x14ac:dyDescent="0.25">
      <c r="O505" s="13"/>
      <c r="P505" s="13"/>
      <c r="Q505" s="13"/>
      <c r="R505" s="13"/>
    </row>
    <row r="506" spans="15:18" ht="15.75" customHeight="1" x14ac:dyDescent="0.25">
      <c r="O506" s="13"/>
      <c r="P506" s="13"/>
      <c r="Q506" s="13"/>
      <c r="R506" s="13"/>
    </row>
    <row r="507" spans="15:18" ht="15.75" customHeight="1" x14ac:dyDescent="0.25">
      <c r="O507" s="13"/>
      <c r="P507" s="13"/>
      <c r="Q507" s="13"/>
      <c r="R507" s="13"/>
    </row>
    <row r="508" spans="15:18" ht="15.75" customHeight="1" x14ac:dyDescent="0.25">
      <c r="O508" s="13"/>
      <c r="P508" s="13"/>
      <c r="Q508" s="13"/>
      <c r="R508" s="13"/>
    </row>
    <row r="509" spans="15:18" ht="15.75" customHeight="1" x14ac:dyDescent="0.25">
      <c r="O509" s="13"/>
      <c r="P509" s="13"/>
      <c r="Q509" s="13"/>
      <c r="R509" s="13"/>
    </row>
    <row r="510" spans="15:18" ht="15.75" customHeight="1" x14ac:dyDescent="0.25">
      <c r="O510" s="13"/>
      <c r="P510" s="13"/>
      <c r="Q510" s="13"/>
      <c r="R510" s="13"/>
    </row>
    <row r="511" spans="15:18" ht="15.75" customHeight="1" x14ac:dyDescent="0.25">
      <c r="O511" s="13"/>
      <c r="P511" s="13"/>
      <c r="Q511" s="13"/>
      <c r="R511" s="13"/>
    </row>
    <row r="512" spans="15:18" ht="15.75" customHeight="1" x14ac:dyDescent="0.25">
      <c r="O512" s="13"/>
      <c r="P512" s="13"/>
      <c r="Q512" s="13"/>
      <c r="R512" s="13"/>
    </row>
    <row r="513" spans="15:18" ht="15.75" customHeight="1" x14ac:dyDescent="0.25">
      <c r="O513" s="13"/>
      <c r="P513" s="13"/>
      <c r="Q513" s="13"/>
      <c r="R513" s="13"/>
    </row>
    <row r="514" spans="15:18" ht="15.75" customHeight="1" x14ac:dyDescent="0.25">
      <c r="O514" s="13"/>
      <c r="P514" s="13"/>
      <c r="Q514" s="13"/>
      <c r="R514" s="13"/>
    </row>
    <row r="515" spans="15:18" ht="15.75" customHeight="1" x14ac:dyDescent="0.25">
      <c r="O515" s="13"/>
      <c r="P515" s="13"/>
      <c r="Q515" s="13"/>
      <c r="R515" s="13"/>
    </row>
    <row r="516" spans="15:18" ht="15.75" customHeight="1" x14ac:dyDescent="0.25">
      <c r="O516" s="13"/>
      <c r="P516" s="13"/>
      <c r="Q516" s="13"/>
      <c r="R516" s="13"/>
    </row>
    <row r="517" spans="15:18" ht="15.75" customHeight="1" x14ac:dyDescent="0.25">
      <c r="O517" s="13"/>
      <c r="P517" s="13"/>
      <c r="Q517" s="13"/>
      <c r="R517" s="13"/>
    </row>
    <row r="518" spans="15:18" ht="15.75" customHeight="1" x14ac:dyDescent="0.25">
      <c r="O518" s="13"/>
      <c r="P518" s="13"/>
      <c r="Q518" s="13"/>
      <c r="R518" s="13"/>
    </row>
    <row r="519" spans="15:18" ht="15.75" customHeight="1" x14ac:dyDescent="0.25">
      <c r="O519" s="13"/>
      <c r="P519" s="13"/>
      <c r="Q519" s="13"/>
      <c r="R519" s="13"/>
    </row>
    <row r="520" spans="15:18" ht="15.75" customHeight="1" x14ac:dyDescent="0.25">
      <c r="O520" s="13"/>
      <c r="P520" s="13"/>
      <c r="Q520" s="13"/>
      <c r="R520" s="13"/>
    </row>
    <row r="521" spans="15:18" ht="15.75" customHeight="1" x14ac:dyDescent="0.25">
      <c r="O521" s="13"/>
      <c r="P521" s="13"/>
      <c r="Q521" s="13"/>
      <c r="R521" s="13"/>
    </row>
    <row r="522" spans="15:18" ht="15.75" customHeight="1" x14ac:dyDescent="0.25">
      <c r="O522" s="13"/>
      <c r="P522" s="13"/>
      <c r="Q522" s="13"/>
      <c r="R522" s="13"/>
    </row>
    <row r="523" spans="15:18" ht="15.75" customHeight="1" x14ac:dyDescent="0.25">
      <c r="O523" s="13"/>
      <c r="P523" s="13"/>
      <c r="Q523" s="13"/>
      <c r="R523" s="13"/>
    </row>
    <row r="524" spans="15:18" ht="15.75" customHeight="1" x14ac:dyDescent="0.25">
      <c r="O524" s="13"/>
      <c r="P524" s="13"/>
      <c r="Q524" s="13"/>
      <c r="R524" s="13"/>
    </row>
    <row r="525" spans="15:18" ht="15.75" customHeight="1" x14ac:dyDescent="0.25">
      <c r="O525" s="13"/>
      <c r="P525" s="13"/>
      <c r="Q525" s="13"/>
      <c r="R525" s="13"/>
    </row>
    <row r="526" spans="15:18" ht="15.75" customHeight="1" x14ac:dyDescent="0.25">
      <c r="O526" s="13"/>
      <c r="P526" s="13"/>
      <c r="Q526" s="13"/>
      <c r="R526" s="13"/>
    </row>
    <row r="527" spans="15:18" ht="15.75" customHeight="1" x14ac:dyDescent="0.25">
      <c r="O527" s="13"/>
      <c r="P527" s="13"/>
      <c r="Q527" s="13"/>
      <c r="R527" s="13"/>
    </row>
    <row r="528" spans="15:18" ht="15.75" customHeight="1" x14ac:dyDescent="0.25">
      <c r="O528" s="13"/>
      <c r="P528" s="13"/>
      <c r="Q528" s="13"/>
      <c r="R528" s="13"/>
    </row>
    <row r="529" spans="15:18" ht="15.75" customHeight="1" x14ac:dyDescent="0.25">
      <c r="O529" s="13"/>
      <c r="P529" s="13"/>
      <c r="Q529" s="13"/>
      <c r="R529" s="13"/>
    </row>
    <row r="530" spans="15:18" ht="15.75" customHeight="1" x14ac:dyDescent="0.25">
      <c r="O530" s="13"/>
      <c r="P530" s="13"/>
      <c r="Q530" s="13"/>
      <c r="R530" s="13"/>
    </row>
    <row r="531" spans="15:18" ht="15.75" customHeight="1" x14ac:dyDescent="0.25">
      <c r="O531" s="13"/>
      <c r="P531" s="13"/>
      <c r="Q531" s="13"/>
      <c r="R531" s="13"/>
    </row>
    <row r="532" spans="15:18" ht="15.75" customHeight="1" x14ac:dyDescent="0.25">
      <c r="O532" s="13"/>
      <c r="P532" s="13"/>
      <c r="Q532" s="13"/>
      <c r="R532" s="13"/>
    </row>
    <row r="533" spans="15:18" ht="15.75" customHeight="1" x14ac:dyDescent="0.25">
      <c r="O533" s="13"/>
      <c r="P533" s="13"/>
      <c r="Q533" s="13"/>
      <c r="R533" s="13"/>
    </row>
    <row r="534" spans="15:18" ht="15.75" customHeight="1" x14ac:dyDescent="0.25">
      <c r="O534" s="13"/>
      <c r="P534" s="13"/>
      <c r="Q534" s="13"/>
      <c r="R534" s="13"/>
    </row>
    <row r="535" spans="15:18" ht="15.75" customHeight="1" x14ac:dyDescent="0.25">
      <c r="O535" s="13"/>
      <c r="P535" s="13"/>
      <c r="Q535" s="13"/>
      <c r="R535" s="13"/>
    </row>
    <row r="536" spans="15:18" ht="15.75" customHeight="1" x14ac:dyDescent="0.25">
      <c r="O536" s="13"/>
      <c r="P536" s="13"/>
      <c r="Q536" s="13"/>
      <c r="R536" s="13"/>
    </row>
    <row r="537" spans="15:18" ht="15.75" customHeight="1" x14ac:dyDescent="0.25">
      <c r="O537" s="13"/>
      <c r="P537" s="13"/>
      <c r="Q537" s="13"/>
      <c r="R537" s="13"/>
    </row>
    <row r="538" spans="15:18" ht="15.75" customHeight="1" x14ac:dyDescent="0.25">
      <c r="O538" s="13"/>
      <c r="P538" s="13"/>
      <c r="Q538" s="13"/>
      <c r="R538" s="13"/>
    </row>
    <row r="539" spans="15:18" ht="15.75" customHeight="1" x14ac:dyDescent="0.25">
      <c r="O539" s="13"/>
      <c r="P539" s="13"/>
      <c r="Q539" s="13"/>
      <c r="R539" s="13"/>
    </row>
    <row r="540" spans="15:18" ht="15.75" customHeight="1" x14ac:dyDescent="0.25">
      <c r="O540" s="13"/>
      <c r="P540" s="13"/>
      <c r="Q540" s="13"/>
      <c r="R540" s="13"/>
    </row>
    <row r="541" spans="15:18" ht="15.75" customHeight="1" x14ac:dyDescent="0.25">
      <c r="O541" s="13"/>
      <c r="P541" s="13"/>
      <c r="Q541" s="13"/>
      <c r="R541" s="13"/>
    </row>
    <row r="542" spans="15:18" ht="15.75" customHeight="1" x14ac:dyDescent="0.25">
      <c r="O542" s="13"/>
      <c r="P542" s="13"/>
      <c r="Q542" s="13"/>
      <c r="R542" s="13"/>
    </row>
    <row r="543" spans="15:18" ht="15.75" customHeight="1" x14ac:dyDescent="0.25">
      <c r="O543" s="13"/>
      <c r="P543" s="13"/>
      <c r="Q543" s="13"/>
      <c r="R543" s="13"/>
    </row>
    <row r="544" spans="15:18" ht="15.75" customHeight="1" x14ac:dyDescent="0.25">
      <c r="O544" s="13"/>
      <c r="P544" s="13"/>
      <c r="Q544" s="13"/>
      <c r="R544" s="13"/>
    </row>
    <row r="545" spans="15:18" ht="15.75" customHeight="1" x14ac:dyDescent="0.25">
      <c r="O545" s="13"/>
      <c r="P545" s="13"/>
      <c r="Q545" s="13"/>
      <c r="R545" s="13"/>
    </row>
    <row r="546" spans="15:18" ht="15.75" customHeight="1" x14ac:dyDescent="0.25">
      <c r="O546" s="13"/>
      <c r="P546" s="13"/>
      <c r="Q546" s="13"/>
      <c r="R546" s="13"/>
    </row>
    <row r="547" spans="15:18" ht="15.75" customHeight="1" x14ac:dyDescent="0.25">
      <c r="O547" s="13"/>
      <c r="P547" s="13"/>
      <c r="Q547" s="13"/>
      <c r="R547" s="13"/>
    </row>
    <row r="548" spans="15:18" ht="15.75" customHeight="1" x14ac:dyDescent="0.25">
      <c r="O548" s="13"/>
      <c r="P548" s="13"/>
      <c r="Q548" s="13"/>
      <c r="R548" s="13"/>
    </row>
    <row r="549" spans="15:18" ht="15.75" customHeight="1" x14ac:dyDescent="0.25">
      <c r="O549" s="13"/>
      <c r="P549" s="13"/>
      <c r="Q549" s="13"/>
      <c r="R549" s="13"/>
    </row>
    <row r="550" spans="15:18" ht="15.75" customHeight="1" x14ac:dyDescent="0.25">
      <c r="O550" s="13"/>
      <c r="P550" s="13"/>
      <c r="Q550" s="13"/>
      <c r="R550" s="13"/>
    </row>
    <row r="551" spans="15:18" ht="15.75" customHeight="1" x14ac:dyDescent="0.25">
      <c r="O551" s="13"/>
      <c r="P551" s="13"/>
      <c r="Q551" s="13"/>
      <c r="R551" s="13"/>
    </row>
    <row r="552" spans="15:18" ht="15.75" customHeight="1" x14ac:dyDescent="0.25">
      <c r="O552" s="13"/>
      <c r="P552" s="13"/>
      <c r="Q552" s="13"/>
      <c r="R552" s="13"/>
    </row>
    <row r="553" spans="15:18" ht="15.75" customHeight="1" x14ac:dyDescent="0.25">
      <c r="O553" s="13"/>
      <c r="P553" s="13"/>
      <c r="Q553" s="13"/>
      <c r="R553" s="13"/>
    </row>
    <row r="554" spans="15:18" ht="15.75" customHeight="1" x14ac:dyDescent="0.25">
      <c r="O554" s="13"/>
      <c r="P554" s="13"/>
      <c r="Q554" s="13"/>
      <c r="R554" s="13"/>
    </row>
    <row r="555" spans="15:18" ht="15.75" customHeight="1" x14ac:dyDescent="0.25">
      <c r="O555" s="13"/>
      <c r="P555" s="13"/>
      <c r="Q555" s="13"/>
      <c r="R555" s="13"/>
    </row>
    <row r="556" spans="15:18" ht="15.75" customHeight="1" x14ac:dyDescent="0.25">
      <c r="O556" s="13"/>
      <c r="P556" s="13"/>
      <c r="Q556" s="13"/>
      <c r="R556" s="13"/>
    </row>
    <row r="557" spans="15:18" ht="15.75" customHeight="1" x14ac:dyDescent="0.25">
      <c r="O557" s="13"/>
      <c r="P557" s="13"/>
      <c r="Q557" s="13"/>
      <c r="R557" s="13"/>
    </row>
    <row r="558" spans="15:18" ht="15.75" customHeight="1" x14ac:dyDescent="0.25">
      <c r="O558" s="13"/>
      <c r="P558" s="13"/>
      <c r="Q558" s="13"/>
      <c r="R558" s="13"/>
    </row>
    <row r="559" spans="15:18" ht="15.75" customHeight="1" x14ac:dyDescent="0.25">
      <c r="O559" s="13"/>
      <c r="P559" s="13"/>
      <c r="Q559" s="13"/>
      <c r="R559" s="13"/>
    </row>
    <row r="560" spans="15:18" ht="15.75" customHeight="1" x14ac:dyDescent="0.25">
      <c r="O560" s="13"/>
      <c r="P560" s="13"/>
      <c r="Q560" s="13"/>
      <c r="R560" s="13"/>
    </row>
    <row r="561" spans="15:18" ht="15.75" customHeight="1" x14ac:dyDescent="0.25">
      <c r="O561" s="13"/>
      <c r="P561" s="13"/>
      <c r="Q561" s="13"/>
      <c r="R561" s="13"/>
    </row>
    <row r="562" spans="15:18" ht="15.75" customHeight="1" x14ac:dyDescent="0.25">
      <c r="O562" s="13"/>
      <c r="P562" s="13"/>
      <c r="Q562" s="13"/>
      <c r="R562" s="13"/>
    </row>
    <row r="563" spans="15:18" ht="15.75" customHeight="1" x14ac:dyDescent="0.25">
      <c r="O563" s="13"/>
      <c r="P563" s="13"/>
      <c r="Q563" s="13"/>
      <c r="R563" s="13"/>
    </row>
    <row r="564" spans="15:18" ht="15.75" customHeight="1" x14ac:dyDescent="0.25">
      <c r="O564" s="13"/>
      <c r="P564" s="13"/>
      <c r="Q564" s="13"/>
      <c r="R564" s="13"/>
    </row>
    <row r="565" spans="15:18" ht="15.75" customHeight="1" x14ac:dyDescent="0.25">
      <c r="O565" s="13"/>
      <c r="P565" s="13"/>
      <c r="Q565" s="13"/>
      <c r="R565" s="13"/>
    </row>
    <row r="566" spans="15:18" ht="15.75" customHeight="1" x14ac:dyDescent="0.25">
      <c r="O566" s="13"/>
      <c r="P566" s="13"/>
      <c r="Q566" s="13"/>
      <c r="R566" s="13"/>
    </row>
    <row r="567" spans="15:18" ht="15.75" customHeight="1" x14ac:dyDescent="0.25">
      <c r="O567" s="13"/>
      <c r="P567" s="13"/>
      <c r="Q567" s="13"/>
      <c r="R567" s="13"/>
    </row>
    <row r="568" spans="15:18" ht="15.75" customHeight="1" x14ac:dyDescent="0.25">
      <c r="O568" s="13"/>
      <c r="P568" s="13"/>
      <c r="Q568" s="13"/>
      <c r="R568" s="13"/>
    </row>
    <row r="569" spans="15:18" ht="15.75" customHeight="1" x14ac:dyDescent="0.25">
      <c r="O569" s="13"/>
      <c r="P569" s="13"/>
      <c r="Q569" s="13"/>
      <c r="R569" s="13"/>
    </row>
    <row r="570" spans="15:18" ht="15.75" customHeight="1" x14ac:dyDescent="0.25">
      <c r="O570" s="13"/>
      <c r="P570" s="13"/>
      <c r="Q570" s="13"/>
      <c r="R570" s="13"/>
    </row>
    <row r="571" spans="15:18" ht="15.75" customHeight="1" x14ac:dyDescent="0.25">
      <c r="O571" s="13"/>
      <c r="P571" s="13"/>
      <c r="Q571" s="13"/>
      <c r="R571" s="13"/>
    </row>
    <row r="572" spans="15:18" ht="15.75" customHeight="1" x14ac:dyDescent="0.25">
      <c r="O572" s="13"/>
      <c r="P572" s="13"/>
      <c r="Q572" s="13"/>
      <c r="R572" s="13"/>
    </row>
    <row r="573" spans="15:18" ht="15.75" customHeight="1" x14ac:dyDescent="0.25">
      <c r="O573" s="13"/>
      <c r="P573" s="13"/>
      <c r="Q573" s="13"/>
      <c r="R573" s="13"/>
    </row>
    <row r="574" spans="15:18" ht="15.75" customHeight="1" x14ac:dyDescent="0.25">
      <c r="O574" s="13"/>
      <c r="P574" s="13"/>
      <c r="Q574" s="13"/>
      <c r="R574" s="13"/>
    </row>
    <row r="575" spans="15:18" ht="15.75" customHeight="1" x14ac:dyDescent="0.25">
      <c r="O575" s="13"/>
      <c r="P575" s="13"/>
      <c r="Q575" s="13"/>
      <c r="R575" s="13"/>
    </row>
    <row r="576" spans="15:18" ht="15.75" customHeight="1" x14ac:dyDescent="0.25">
      <c r="O576" s="13"/>
      <c r="P576" s="13"/>
      <c r="Q576" s="13"/>
      <c r="R576" s="13"/>
    </row>
    <row r="577" spans="15:18" ht="15.75" customHeight="1" x14ac:dyDescent="0.25">
      <c r="O577" s="13"/>
      <c r="P577" s="13"/>
      <c r="Q577" s="13"/>
      <c r="R577" s="13"/>
    </row>
    <row r="578" spans="15:18" ht="15.75" customHeight="1" x14ac:dyDescent="0.25">
      <c r="O578" s="13"/>
      <c r="P578" s="13"/>
      <c r="Q578" s="13"/>
      <c r="R578" s="13"/>
    </row>
    <row r="579" spans="15:18" ht="15.75" customHeight="1" x14ac:dyDescent="0.25">
      <c r="O579" s="13"/>
      <c r="P579" s="13"/>
      <c r="Q579" s="13"/>
      <c r="R579" s="13"/>
    </row>
    <row r="580" spans="15:18" ht="15.75" customHeight="1" x14ac:dyDescent="0.25">
      <c r="O580" s="13"/>
      <c r="P580" s="13"/>
      <c r="Q580" s="13"/>
      <c r="R580" s="13"/>
    </row>
    <row r="581" spans="15:18" ht="15.75" customHeight="1" x14ac:dyDescent="0.25">
      <c r="O581" s="13"/>
      <c r="P581" s="13"/>
      <c r="Q581" s="13"/>
      <c r="R581" s="13"/>
    </row>
    <row r="582" spans="15:18" ht="15.75" customHeight="1" x14ac:dyDescent="0.25">
      <c r="O582" s="13"/>
      <c r="P582" s="13"/>
      <c r="Q582" s="13"/>
      <c r="R582" s="13"/>
    </row>
    <row r="583" spans="15:18" ht="15.75" customHeight="1" x14ac:dyDescent="0.25">
      <c r="O583" s="13"/>
      <c r="P583" s="13"/>
      <c r="Q583" s="13"/>
      <c r="R583" s="13"/>
    </row>
    <row r="584" spans="15:18" ht="15.75" customHeight="1" x14ac:dyDescent="0.25">
      <c r="O584" s="13"/>
      <c r="P584" s="13"/>
      <c r="Q584" s="13"/>
      <c r="R584" s="13"/>
    </row>
    <row r="585" spans="15:18" ht="15.75" customHeight="1" x14ac:dyDescent="0.25">
      <c r="O585" s="13"/>
      <c r="P585" s="13"/>
      <c r="Q585" s="13"/>
      <c r="R585" s="13"/>
    </row>
    <row r="586" spans="15:18" ht="15.75" customHeight="1" x14ac:dyDescent="0.25">
      <c r="O586" s="13"/>
      <c r="P586" s="13"/>
      <c r="Q586" s="13"/>
      <c r="R586" s="13"/>
    </row>
    <row r="587" spans="15:18" ht="15.75" customHeight="1" x14ac:dyDescent="0.25">
      <c r="O587" s="13"/>
      <c r="P587" s="13"/>
      <c r="Q587" s="13"/>
      <c r="R587" s="13"/>
    </row>
    <row r="588" spans="15:18" ht="15.75" customHeight="1" x14ac:dyDescent="0.25">
      <c r="O588" s="13"/>
      <c r="P588" s="13"/>
      <c r="Q588" s="13"/>
      <c r="R588" s="13"/>
    </row>
    <row r="589" spans="15:18" ht="15.75" customHeight="1" x14ac:dyDescent="0.25">
      <c r="O589" s="13"/>
      <c r="P589" s="13"/>
      <c r="Q589" s="13"/>
      <c r="R589" s="13"/>
    </row>
    <row r="590" spans="15:18" ht="15.75" customHeight="1" x14ac:dyDescent="0.25">
      <c r="O590" s="13"/>
      <c r="P590" s="13"/>
      <c r="Q590" s="13"/>
      <c r="R590" s="13"/>
    </row>
    <row r="591" spans="15:18" ht="15.75" customHeight="1" x14ac:dyDescent="0.25">
      <c r="O591" s="13"/>
      <c r="P591" s="13"/>
      <c r="Q591" s="13"/>
      <c r="R591" s="13"/>
    </row>
    <row r="592" spans="15:18" ht="15.75" customHeight="1" x14ac:dyDescent="0.25">
      <c r="O592" s="13"/>
      <c r="P592" s="13"/>
      <c r="Q592" s="13"/>
      <c r="R592" s="13"/>
    </row>
    <row r="593" spans="15:18" ht="15.75" customHeight="1" x14ac:dyDescent="0.25">
      <c r="O593" s="13"/>
      <c r="P593" s="13"/>
      <c r="Q593" s="13"/>
      <c r="R593" s="13"/>
    </row>
    <row r="594" spans="15:18" ht="15.75" customHeight="1" x14ac:dyDescent="0.25">
      <c r="O594" s="13"/>
      <c r="P594" s="13"/>
      <c r="Q594" s="13"/>
      <c r="R594" s="13"/>
    </row>
    <row r="595" spans="15:18" ht="15.75" customHeight="1" x14ac:dyDescent="0.25">
      <c r="O595" s="13"/>
      <c r="P595" s="13"/>
      <c r="Q595" s="13"/>
      <c r="R595" s="13"/>
    </row>
    <row r="596" spans="15:18" ht="15.75" customHeight="1" x14ac:dyDescent="0.25">
      <c r="O596" s="13"/>
      <c r="P596" s="13"/>
      <c r="Q596" s="13"/>
      <c r="R596" s="13"/>
    </row>
    <row r="597" spans="15:18" ht="15.75" customHeight="1" x14ac:dyDescent="0.25">
      <c r="O597" s="13"/>
      <c r="P597" s="13"/>
      <c r="Q597" s="13"/>
      <c r="R597" s="13"/>
    </row>
    <row r="598" spans="15:18" ht="15.75" customHeight="1" x14ac:dyDescent="0.25">
      <c r="O598" s="13"/>
      <c r="P598" s="13"/>
      <c r="Q598" s="13"/>
      <c r="R598" s="13"/>
    </row>
    <row r="599" spans="15:18" ht="15.75" customHeight="1" x14ac:dyDescent="0.25">
      <c r="O599" s="13"/>
      <c r="P599" s="13"/>
      <c r="Q599" s="13"/>
      <c r="R599" s="13"/>
    </row>
    <row r="600" spans="15:18" ht="15.75" customHeight="1" x14ac:dyDescent="0.25">
      <c r="O600" s="13"/>
      <c r="P600" s="13"/>
      <c r="Q600" s="13"/>
      <c r="R600" s="13"/>
    </row>
    <row r="601" spans="15:18" ht="15.75" customHeight="1" x14ac:dyDescent="0.25">
      <c r="O601" s="13"/>
      <c r="P601" s="13"/>
      <c r="Q601" s="13"/>
      <c r="R601" s="13"/>
    </row>
    <row r="602" spans="15:18" ht="15.75" customHeight="1" x14ac:dyDescent="0.25">
      <c r="O602" s="13"/>
      <c r="P602" s="13"/>
      <c r="Q602" s="13"/>
      <c r="R602" s="13"/>
    </row>
    <row r="603" spans="15:18" ht="15.75" customHeight="1" x14ac:dyDescent="0.25">
      <c r="O603" s="13"/>
      <c r="P603" s="13"/>
      <c r="Q603" s="13"/>
      <c r="R603" s="13"/>
    </row>
    <row r="604" spans="15:18" ht="15.75" customHeight="1" x14ac:dyDescent="0.25">
      <c r="O604" s="13"/>
      <c r="P604" s="13"/>
      <c r="Q604" s="13"/>
      <c r="R604" s="13"/>
    </row>
    <row r="605" spans="15:18" ht="15.75" customHeight="1" x14ac:dyDescent="0.25">
      <c r="O605" s="13"/>
      <c r="P605" s="13"/>
      <c r="Q605" s="13"/>
      <c r="R605" s="13"/>
    </row>
    <row r="606" spans="15:18" ht="15.75" customHeight="1" x14ac:dyDescent="0.25">
      <c r="O606" s="13"/>
      <c r="P606" s="13"/>
      <c r="Q606" s="13"/>
      <c r="R606" s="13"/>
    </row>
    <row r="607" spans="15:18" ht="15.75" customHeight="1" x14ac:dyDescent="0.25">
      <c r="O607" s="13"/>
      <c r="P607" s="13"/>
      <c r="Q607" s="13"/>
      <c r="R607" s="13"/>
    </row>
    <row r="608" spans="15:18" ht="15.75" customHeight="1" x14ac:dyDescent="0.25">
      <c r="O608" s="13"/>
      <c r="P608" s="13"/>
      <c r="Q608" s="13"/>
      <c r="R608" s="13"/>
    </row>
    <row r="609" spans="15:18" ht="15.75" customHeight="1" x14ac:dyDescent="0.25">
      <c r="O609" s="13"/>
      <c r="P609" s="13"/>
      <c r="Q609" s="13"/>
      <c r="R609" s="13"/>
    </row>
    <row r="610" spans="15:18" ht="15.75" customHeight="1" x14ac:dyDescent="0.25">
      <c r="O610" s="13"/>
      <c r="P610" s="13"/>
      <c r="Q610" s="13"/>
      <c r="R610" s="13"/>
    </row>
    <row r="611" spans="15:18" ht="15.75" customHeight="1" x14ac:dyDescent="0.25">
      <c r="O611" s="13"/>
      <c r="P611" s="13"/>
      <c r="Q611" s="13"/>
      <c r="R611" s="13"/>
    </row>
    <row r="612" spans="15:18" ht="15.75" customHeight="1" x14ac:dyDescent="0.25">
      <c r="O612" s="13"/>
      <c r="P612" s="13"/>
      <c r="Q612" s="13"/>
      <c r="R612" s="13"/>
    </row>
    <row r="613" spans="15:18" ht="15.75" customHeight="1" x14ac:dyDescent="0.25">
      <c r="O613" s="13"/>
      <c r="P613" s="13"/>
      <c r="Q613" s="13"/>
      <c r="R613" s="13"/>
    </row>
    <row r="614" spans="15:18" ht="15.75" customHeight="1" x14ac:dyDescent="0.25">
      <c r="O614" s="13"/>
      <c r="P614" s="13"/>
      <c r="Q614" s="13"/>
      <c r="R614" s="13"/>
    </row>
    <row r="615" spans="15:18" ht="15.75" customHeight="1" x14ac:dyDescent="0.25">
      <c r="O615" s="13"/>
      <c r="P615" s="13"/>
      <c r="Q615" s="13"/>
      <c r="R615" s="13"/>
    </row>
    <row r="616" spans="15:18" ht="15.75" customHeight="1" x14ac:dyDescent="0.25">
      <c r="O616" s="13"/>
      <c r="P616" s="13"/>
      <c r="Q616" s="13"/>
      <c r="R616" s="13"/>
    </row>
    <row r="617" spans="15:18" ht="15.75" customHeight="1" x14ac:dyDescent="0.25">
      <c r="O617" s="13"/>
      <c r="P617" s="13"/>
      <c r="Q617" s="13"/>
      <c r="R617" s="13"/>
    </row>
    <row r="618" spans="15:18" ht="15.75" customHeight="1" x14ac:dyDescent="0.25">
      <c r="O618" s="13"/>
      <c r="P618" s="13"/>
      <c r="Q618" s="13"/>
      <c r="R618" s="13"/>
    </row>
    <row r="619" spans="15:18" ht="15.75" customHeight="1" x14ac:dyDescent="0.25">
      <c r="O619" s="13"/>
      <c r="P619" s="13"/>
      <c r="Q619" s="13"/>
      <c r="R619" s="13"/>
    </row>
    <row r="620" spans="15:18" ht="15.75" customHeight="1" x14ac:dyDescent="0.25">
      <c r="O620" s="13"/>
      <c r="P620" s="13"/>
      <c r="Q620" s="13"/>
      <c r="R620" s="13"/>
    </row>
    <row r="621" spans="15:18" ht="15.75" customHeight="1" x14ac:dyDescent="0.25">
      <c r="O621" s="13"/>
      <c r="P621" s="13"/>
      <c r="Q621" s="13"/>
      <c r="R621" s="13"/>
    </row>
    <row r="622" spans="15:18" ht="15.75" customHeight="1" x14ac:dyDescent="0.25">
      <c r="O622" s="13"/>
      <c r="P622" s="13"/>
      <c r="Q622" s="13"/>
      <c r="R622" s="13"/>
    </row>
    <row r="623" spans="15:18" ht="15.75" customHeight="1" x14ac:dyDescent="0.25">
      <c r="O623" s="13"/>
      <c r="P623" s="13"/>
      <c r="Q623" s="13"/>
      <c r="R623" s="13"/>
    </row>
    <row r="624" spans="15:18" ht="15.75" customHeight="1" x14ac:dyDescent="0.25">
      <c r="O624" s="13"/>
      <c r="P624" s="13"/>
      <c r="Q624" s="13"/>
      <c r="R624" s="13"/>
    </row>
    <row r="625" spans="15:18" ht="15.75" customHeight="1" x14ac:dyDescent="0.25">
      <c r="O625" s="13"/>
      <c r="P625" s="13"/>
      <c r="Q625" s="13"/>
      <c r="R625" s="13"/>
    </row>
    <row r="626" spans="15:18" ht="15.75" customHeight="1" x14ac:dyDescent="0.25">
      <c r="O626" s="13"/>
      <c r="P626" s="13"/>
      <c r="Q626" s="13"/>
      <c r="R626" s="13"/>
    </row>
    <row r="627" spans="15:18" ht="15.75" customHeight="1" x14ac:dyDescent="0.25">
      <c r="O627" s="13"/>
      <c r="P627" s="13"/>
      <c r="Q627" s="13"/>
      <c r="R627" s="13"/>
    </row>
    <row r="628" spans="15:18" ht="15.75" customHeight="1" x14ac:dyDescent="0.25">
      <c r="O628" s="13"/>
      <c r="P628" s="13"/>
      <c r="Q628" s="13"/>
      <c r="R628" s="13"/>
    </row>
    <row r="629" spans="15:18" ht="15.75" customHeight="1" x14ac:dyDescent="0.25">
      <c r="O629" s="13"/>
      <c r="P629" s="13"/>
      <c r="Q629" s="13"/>
      <c r="R629" s="13"/>
    </row>
    <row r="630" spans="15:18" ht="15.75" customHeight="1" x14ac:dyDescent="0.25">
      <c r="O630" s="13"/>
      <c r="P630" s="13"/>
      <c r="Q630" s="13"/>
      <c r="R630" s="13"/>
    </row>
    <row r="631" spans="15:18" ht="15.75" customHeight="1" x14ac:dyDescent="0.25">
      <c r="O631" s="13"/>
      <c r="P631" s="13"/>
      <c r="Q631" s="13"/>
      <c r="R631" s="13"/>
    </row>
    <row r="632" spans="15:18" ht="15.75" customHeight="1" x14ac:dyDescent="0.25">
      <c r="O632" s="13"/>
      <c r="P632" s="13"/>
      <c r="Q632" s="13"/>
      <c r="R632" s="13"/>
    </row>
    <row r="633" spans="15:18" ht="15.75" customHeight="1" x14ac:dyDescent="0.25">
      <c r="O633" s="13"/>
      <c r="P633" s="13"/>
      <c r="Q633" s="13"/>
      <c r="R633" s="13"/>
    </row>
    <row r="634" spans="15:18" ht="15.75" customHeight="1" x14ac:dyDescent="0.25">
      <c r="O634" s="13"/>
      <c r="P634" s="13"/>
      <c r="Q634" s="13"/>
      <c r="R634" s="13"/>
    </row>
    <row r="635" spans="15:18" ht="15.75" customHeight="1" x14ac:dyDescent="0.25">
      <c r="O635" s="13"/>
      <c r="P635" s="13"/>
      <c r="Q635" s="13"/>
      <c r="R635" s="13"/>
    </row>
    <row r="636" spans="15:18" ht="15.75" customHeight="1" x14ac:dyDescent="0.25">
      <c r="O636" s="13"/>
      <c r="P636" s="13"/>
      <c r="Q636" s="13"/>
      <c r="R636" s="13"/>
    </row>
    <row r="637" spans="15:18" ht="15.75" customHeight="1" x14ac:dyDescent="0.25">
      <c r="O637" s="13"/>
      <c r="P637" s="13"/>
      <c r="Q637" s="13"/>
      <c r="R637" s="13"/>
    </row>
    <row r="638" spans="15:18" ht="15.75" customHeight="1" x14ac:dyDescent="0.25">
      <c r="O638" s="13"/>
      <c r="P638" s="13"/>
      <c r="Q638" s="13"/>
      <c r="R638" s="13"/>
    </row>
    <row r="639" spans="15:18" ht="15.75" customHeight="1" x14ac:dyDescent="0.25">
      <c r="O639" s="13"/>
      <c r="P639" s="13"/>
      <c r="Q639" s="13"/>
      <c r="R639" s="13"/>
    </row>
    <row r="640" spans="15:18" ht="15.75" customHeight="1" x14ac:dyDescent="0.25">
      <c r="O640" s="13"/>
      <c r="P640" s="13"/>
      <c r="Q640" s="13"/>
      <c r="R640" s="13"/>
    </row>
    <row r="641" spans="15:18" ht="15.75" customHeight="1" x14ac:dyDescent="0.25">
      <c r="O641" s="13"/>
      <c r="P641" s="13"/>
      <c r="Q641" s="13"/>
      <c r="R641" s="13"/>
    </row>
    <row r="642" spans="15:18" ht="15.75" customHeight="1" x14ac:dyDescent="0.25">
      <c r="O642" s="13"/>
      <c r="P642" s="13"/>
      <c r="Q642" s="13"/>
      <c r="R642" s="13"/>
    </row>
    <row r="643" spans="15:18" ht="15.75" customHeight="1" x14ac:dyDescent="0.25">
      <c r="O643" s="13"/>
      <c r="P643" s="13"/>
      <c r="Q643" s="13"/>
      <c r="R643" s="13"/>
    </row>
    <row r="644" spans="15:18" ht="15.75" customHeight="1" x14ac:dyDescent="0.25">
      <c r="O644" s="13"/>
      <c r="P644" s="13"/>
      <c r="Q644" s="13"/>
      <c r="R644" s="13"/>
    </row>
    <row r="645" spans="15:18" ht="15.75" customHeight="1" x14ac:dyDescent="0.25">
      <c r="O645" s="13"/>
      <c r="P645" s="13"/>
      <c r="Q645" s="13"/>
      <c r="R645" s="13"/>
    </row>
    <row r="646" spans="15:18" ht="15.75" customHeight="1" x14ac:dyDescent="0.25">
      <c r="O646" s="13"/>
      <c r="P646" s="13"/>
      <c r="Q646" s="13"/>
      <c r="R646" s="13"/>
    </row>
    <row r="647" spans="15:18" ht="15.75" customHeight="1" x14ac:dyDescent="0.25">
      <c r="O647" s="13"/>
      <c r="P647" s="13"/>
      <c r="Q647" s="13"/>
      <c r="R647" s="13"/>
    </row>
    <row r="648" spans="15:18" ht="15.75" customHeight="1" x14ac:dyDescent="0.25">
      <c r="O648" s="13"/>
      <c r="P648" s="13"/>
      <c r="Q648" s="13"/>
      <c r="R648" s="13"/>
    </row>
    <row r="649" spans="15:18" ht="15.75" customHeight="1" x14ac:dyDescent="0.25">
      <c r="O649" s="13"/>
      <c r="P649" s="13"/>
      <c r="Q649" s="13"/>
      <c r="R649" s="13"/>
    </row>
    <row r="650" spans="15:18" ht="15.75" customHeight="1" x14ac:dyDescent="0.25">
      <c r="O650" s="13"/>
      <c r="P650" s="13"/>
      <c r="Q650" s="13"/>
      <c r="R650" s="13"/>
    </row>
    <row r="651" spans="15:18" ht="15.75" customHeight="1" x14ac:dyDescent="0.25">
      <c r="O651" s="13"/>
      <c r="P651" s="13"/>
      <c r="Q651" s="13"/>
      <c r="R651" s="13"/>
    </row>
    <row r="652" spans="15:18" ht="15.75" customHeight="1" x14ac:dyDescent="0.25">
      <c r="O652" s="13"/>
      <c r="P652" s="13"/>
      <c r="Q652" s="13"/>
      <c r="R652" s="13"/>
    </row>
    <row r="653" spans="15:18" ht="15.75" customHeight="1" x14ac:dyDescent="0.25">
      <c r="O653" s="13"/>
      <c r="P653" s="13"/>
      <c r="Q653" s="13"/>
      <c r="R653" s="13"/>
    </row>
    <row r="654" spans="15:18" ht="15.75" customHeight="1" x14ac:dyDescent="0.25">
      <c r="O654" s="13"/>
      <c r="P654" s="13"/>
      <c r="Q654" s="13"/>
      <c r="R654" s="13"/>
    </row>
    <row r="655" spans="15:18" ht="15.75" customHeight="1" x14ac:dyDescent="0.25">
      <c r="O655" s="13"/>
      <c r="P655" s="13"/>
      <c r="Q655" s="13"/>
      <c r="R655" s="13"/>
    </row>
    <row r="656" spans="15:18" ht="15.75" customHeight="1" x14ac:dyDescent="0.25">
      <c r="O656" s="13"/>
      <c r="P656" s="13"/>
      <c r="Q656" s="13"/>
      <c r="R656" s="13"/>
    </row>
    <row r="657" spans="15:18" ht="15.75" customHeight="1" x14ac:dyDescent="0.25">
      <c r="O657" s="13"/>
      <c r="P657" s="13"/>
      <c r="Q657" s="13"/>
      <c r="R657" s="13"/>
    </row>
    <row r="658" spans="15:18" ht="15.75" customHeight="1" x14ac:dyDescent="0.25">
      <c r="O658" s="13"/>
      <c r="P658" s="13"/>
      <c r="Q658" s="13"/>
      <c r="R658" s="13"/>
    </row>
    <row r="659" spans="15:18" ht="15.75" customHeight="1" x14ac:dyDescent="0.25">
      <c r="O659" s="13"/>
      <c r="P659" s="13"/>
      <c r="Q659" s="13"/>
      <c r="R659" s="13"/>
    </row>
    <row r="660" spans="15:18" ht="15.75" customHeight="1" x14ac:dyDescent="0.25">
      <c r="O660" s="13"/>
      <c r="P660" s="13"/>
      <c r="Q660" s="13"/>
      <c r="R660" s="13"/>
    </row>
    <row r="661" spans="15:18" ht="15.75" customHeight="1" x14ac:dyDescent="0.25">
      <c r="O661" s="13"/>
      <c r="P661" s="13"/>
      <c r="Q661" s="13"/>
      <c r="R661" s="13"/>
    </row>
    <row r="662" spans="15:18" ht="15.75" customHeight="1" x14ac:dyDescent="0.25">
      <c r="O662" s="13"/>
      <c r="P662" s="13"/>
      <c r="Q662" s="13"/>
      <c r="R662" s="13"/>
    </row>
    <row r="663" spans="15:18" ht="15.75" customHeight="1" x14ac:dyDescent="0.25">
      <c r="O663" s="13"/>
      <c r="P663" s="13"/>
      <c r="Q663" s="13"/>
      <c r="R663" s="13"/>
    </row>
    <row r="664" spans="15:18" ht="15.75" customHeight="1" x14ac:dyDescent="0.25">
      <c r="O664" s="13"/>
      <c r="P664" s="13"/>
      <c r="Q664" s="13"/>
      <c r="R664" s="13"/>
    </row>
    <row r="665" spans="15:18" ht="15.75" customHeight="1" x14ac:dyDescent="0.25">
      <c r="O665" s="13"/>
      <c r="P665" s="13"/>
      <c r="Q665" s="13"/>
      <c r="R665" s="13"/>
    </row>
    <row r="666" spans="15:18" ht="15.75" customHeight="1" x14ac:dyDescent="0.25">
      <c r="O666" s="13"/>
      <c r="P666" s="13"/>
      <c r="Q666" s="13"/>
      <c r="R666" s="13"/>
    </row>
    <row r="667" spans="15:18" ht="15.75" customHeight="1" x14ac:dyDescent="0.25">
      <c r="O667" s="13"/>
      <c r="P667" s="13"/>
      <c r="Q667" s="13"/>
      <c r="R667" s="13"/>
    </row>
    <row r="668" spans="15:18" ht="15.75" customHeight="1" x14ac:dyDescent="0.25">
      <c r="O668" s="13"/>
      <c r="P668" s="13"/>
      <c r="Q668" s="13"/>
      <c r="R668" s="13"/>
    </row>
    <row r="669" spans="15:18" ht="15.75" customHeight="1" x14ac:dyDescent="0.25">
      <c r="O669" s="13"/>
      <c r="P669" s="13"/>
      <c r="Q669" s="13"/>
      <c r="R669" s="13"/>
    </row>
    <row r="670" spans="15:18" ht="15.75" customHeight="1" x14ac:dyDescent="0.25">
      <c r="O670" s="13"/>
      <c r="P670" s="13"/>
      <c r="Q670" s="13"/>
      <c r="R670" s="13"/>
    </row>
    <row r="671" spans="15:18" ht="15.75" customHeight="1" x14ac:dyDescent="0.25">
      <c r="O671" s="13"/>
      <c r="P671" s="13"/>
      <c r="Q671" s="13"/>
      <c r="R671" s="13"/>
    </row>
    <row r="672" spans="15:18" ht="15.75" customHeight="1" x14ac:dyDescent="0.25">
      <c r="O672" s="13"/>
      <c r="P672" s="13"/>
      <c r="Q672" s="13"/>
      <c r="R672" s="13"/>
    </row>
    <row r="673" spans="15:18" ht="15.75" customHeight="1" x14ac:dyDescent="0.25">
      <c r="O673" s="13"/>
      <c r="P673" s="13"/>
      <c r="Q673" s="13"/>
      <c r="R673" s="13"/>
    </row>
    <row r="674" spans="15:18" ht="15.75" customHeight="1" x14ac:dyDescent="0.25">
      <c r="O674" s="13"/>
      <c r="P674" s="13"/>
      <c r="Q674" s="13"/>
      <c r="R674" s="13"/>
    </row>
    <row r="675" spans="15:18" ht="15.75" customHeight="1" x14ac:dyDescent="0.25">
      <c r="O675" s="13"/>
      <c r="P675" s="13"/>
      <c r="Q675" s="13"/>
      <c r="R675" s="13"/>
    </row>
    <row r="676" spans="15:18" ht="15.75" customHeight="1" x14ac:dyDescent="0.25">
      <c r="O676" s="13"/>
      <c r="P676" s="13"/>
      <c r="Q676" s="13"/>
      <c r="R676" s="13"/>
    </row>
    <row r="677" spans="15:18" ht="15.75" customHeight="1" x14ac:dyDescent="0.25">
      <c r="O677" s="13"/>
      <c r="P677" s="13"/>
      <c r="Q677" s="13"/>
      <c r="R677" s="13"/>
    </row>
    <row r="678" spans="15:18" ht="15.75" customHeight="1" x14ac:dyDescent="0.25">
      <c r="O678" s="13"/>
      <c r="P678" s="13"/>
      <c r="Q678" s="13"/>
      <c r="R678" s="13"/>
    </row>
    <row r="679" spans="15:18" ht="15.75" customHeight="1" x14ac:dyDescent="0.25">
      <c r="O679" s="13"/>
      <c r="P679" s="13"/>
      <c r="Q679" s="13"/>
      <c r="R679" s="13"/>
    </row>
    <row r="680" spans="15:18" ht="15.75" customHeight="1" x14ac:dyDescent="0.25">
      <c r="O680" s="13"/>
      <c r="P680" s="13"/>
      <c r="Q680" s="13"/>
      <c r="R680" s="13"/>
    </row>
    <row r="681" spans="15:18" ht="15.75" customHeight="1" x14ac:dyDescent="0.25">
      <c r="O681" s="13"/>
      <c r="P681" s="13"/>
      <c r="Q681" s="13"/>
      <c r="R681" s="13"/>
    </row>
    <row r="682" spans="15:18" ht="15.75" customHeight="1" x14ac:dyDescent="0.25">
      <c r="O682" s="13"/>
      <c r="P682" s="13"/>
      <c r="Q682" s="13"/>
      <c r="R682" s="13"/>
    </row>
    <row r="683" spans="15:18" ht="15.75" customHeight="1" x14ac:dyDescent="0.25">
      <c r="O683" s="13"/>
      <c r="P683" s="13"/>
      <c r="Q683" s="13"/>
      <c r="R683" s="13"/>
    </row>
    <row r="684" spans="15:18" ht="15.75" customHeight="1" x14ac:dyDescent="0.25">
      <c r="O684" s="13"/>
      <c r="P684" s="13"/>
      <c r="Q684" s="13"/>
      <c r="R684" s="13"/>
    </row>
    <row r="685" spans="15:18" ht="15.75" customHeight="1" x14ac:dyDescent="0.25">
      <c r="O685" s="13"/>
      <c r="P685" s="13"/>
      <c r="Q685" s="13"/>
      <c r="R685" s="13"/>
    </row>
    <row r="686" spans="15:18" ht="15.75" customHeight="1" x14ac:dyDescent="0.25">
      <c r="O686" s="13"/>
      <c r="P686" s="13"/>
      <c r="Q686" s="13"/>
      <c r="R686" s="13"/>
    </row>
    <row r="687" spans="15:18" ht="15.75" customHeight="1" x14ac:dyDescent="0.25">
      <c r="O687" s="13"/>
      <c r="P687" s="13"/>
      <c r="Q687" s="13"/>
      <c r="R687" s="13"/>
    </row>
    <row r="688" spans="15:18" ht="15.75" customHeight="1" x14ac:dyDescent="0.25">
      <c r="O688" s="13"/>
      <c r="P688" s="13"/>
      <c r="Q688" s="13"/>
      <c r="R688" s="13"/>
    </row>
    <row r="689" spans="15:18" ht="15.75" customHeight="1" x14ac:dyDescent="0.25">
      <c r="O689" s="13"/>
      <c r="P689" s="13"/>
      <c r="Q689" s="13"/>
      <c r="R689" s="13"/>
    </row>
    <row r="690" spans="15:18" ht="15.75" customHeight="1" x14ac:dyDescent="0.25">
      <c r="O690" s="13"/>
      <c r="P690" s="13"/>
      <c r="Q690" s="13"/>
      <c r="R690" s="13"/>
    </row>
    <row r="691" spans="15:18" ht="15.75" customHeight="1" x14ac:dyDescent="0.25">
      <c r="O691" s="13"/>
      <c r="P691" s="13"/>
      <c r="Q691" s="13"/>
      <c r="R691" s="13"/>
    </row>
    <row r="692" spans="15:18" ht="15.75" customHeight="1" x14ac:dyDescent="0.25">
      <c r="O692" s="13"/>
      <c r="P692" s="13"/>
      <c r="Q692" s="13"/>
      <c r="R692" s="13"/>
    </row>
    <row r="693" spans="15:18" ht="15.75" customHeight="1" x14ac:dyDescent="0.25">
      <c r="O693" s="13"/>
      <c r="P693" s="13"/>
      <c r="Q693" s="13"/>
      <c r="R693" s="13"/>
    </row>
    <row r="694" spans="15:18" ht="15.75" customHeight="1" x14ac:dyDescent="0.25">
      <c r="O694" s="13"/>
      <c r="P694" s="13"/>
      <c r="Q694" s="13"/>
      <c r="R694" s="13"/>
    </row>
    <row r="695" spans="15:18" ht="15.75" customHeight="1" x14ac:dyDescent="0.25">
      <c r="O695" s="13"/>
      <c r="P695" s="13"/>
      <c r="Q695" s="13"/>
      <c r="R695" s="13"/>
    </row>
    <row r="696" spans="15:18" ht="15.75" customHeight="1" x14ac:dyDescent="0.25">
      <c r="O696" s="13"/>
      <c r="P696" s="13"/>
      <c r="Q696" s="13"/>
      <c r="R696" s="13"/>
    </row>
    <row r="697" spans="15:18" ht="15.75" customHeight="1" x14ac:dyDescent="0.25">
      <c r="O697" s="13"/>
      <c r="P697" s="13"/>
      <c r="Q697" s="13"/>
      <c r="R697" s="13"/>
    </row>
    <row r="698" spans="15:18" ht="15.75" customHeight="1" x14ac:dyDescent="0.25">
      <c r="O698" s="13"/>
      <c r="P698" s="13"/>
      <c r="Q698" s="13"/>
      <c r="R698" s="13"/>
    </row>
    <row r="699" spans="15:18" ht="15.75" customHeight="1" x14ac:dyDescent="0.25">
      <c r="O699" s="13"/>
      <c r="P699" s="13"/>
      <c r="Q699" s="13"/>
      <c r="R699" s="13"/>
    </row>
    <row r="700" spans="15:18" ht="15.75" customHeight="1" x14ac:dyDescent="0.25">
      <c r="O700" s="13"/>
      <c r="P700" s="13"/>
      <c r="Q700" s="13"/>
      <c r="R700" s="13"/>
    </row>
    <row r="701" spans="15:18" ht="15.75" customHeight="1" x14ac:dyDescent="0.25">
      <c r="O701" s="13"/>
      <c r="P701" s="13"/>
      <c r="Q701" s="13"/>
      <c r="R701" s="13"/>
    </row>
    <row r="702" spans="15:18" ht="15.75" customHeight="1" x14ac:dyDescent="0.25">
      <c r="O702" s="13"/>
      <c r="P702" s="13"/>
      <c r="Q702" s="13"/>
      <c r="R702" s="13"/>
    </row>
    <row r="703" spans="15:18" ht="15.75" customHeight="1" x14ac:dyDescent="0.25">
      <c r="O703" s="13"/>
      <c r="P703" s="13"/>
      <c r="Q703" s="13"/>
      <c r="R703" s="13"/>
    </row>
    <row r="704" spans="15:18" ht="15.75" customHeight="1" x14ac:dyDescent="0.25">
      <c r="O704" s="13"/>
      <c r="P704" s="13"/>
      <c r="Q704" s="13"/>
      <c r="R704" s="13"/>
    </row>
    <row r="705" spans="15:18" ht="15.75" customHeight="1" x14ac:dyDescent="0.25">
      <c r="O705" s="13"/>
      <c r="P705" s="13"/>
      <c r="Q705" s="13"/>
      <c r="R705" s="13"/>
    </row>
    <row r="706" spans="15:18" ht="15.75" customHeight="1" x14ac:dyDescent="0.25">
      <c r="O706" s="13"/>
      <c r="P706" s="13"/>
      <c r="Q706" s="13"/>
      <c r="R706" s="13"/>
    </row>
    <row r="707" spans="15:18" ht="15.75" customHeight="1" x14ac:dyDescent="0.25">
      <c r="O707" s="13"/>
      <c r="P707" s="13"/>
      <c r="Q707" s="13"/>
      <c r="R707" s="13"/>
    </row>
    <row r="708" spans="15:18" ht="15.75" customHeight="1" x14ac:dyDescent="0.25">
      <c r="O708" s="13"/>
      <c r="P708" s="13"/>
      <c r="Q708" s="13"/>
      <c r="R708" s="13"/>
    </row>
    <row r="709" spans="15:18" ht="15.75" customHeight="1" x14ac:dyDescent="0.25">
      <c r="O709" s="13"/>
      <c r="P709" s="13"/>
      <c r="Q709" s="13"/>
      <c r="R709" s="13"/>
    </row>
    <row r="710" spans="15:18" ht="15.75" customHeight="1" x14ac:dyDescent="0.25">
      <c r="O710" s="13"/>
      <c r="P710" s="13"/>
      <c r="Q710" s="13"/>
      <c r="R710" s="13"/>
    </row>
    <row r="711" spans="15:18" ht="15.75" customHeight="1" x14ac:dyDescent="0.25">
      <c r="O711" s="13"/>
      <c r="P711" s="13"/>
      <c r="Q711" s="13"/>
      <c r="R711" s="13"/>
    </row>
    <row r="712" spans="15:18" ht="15.75" customHeight="1" x14ac:dyDescent="0.25">
      <c r="O712" s="13"/>
      <c r="P712" s="13"/>
      <c r="Q712" s="13"/>
      <c r="R712" s="13"/>
    </row>
    <row r="713" spans="15:18" ht="15.75" customHeight="1" x14ac:dyDescent="0.25">
      <c r="O713" s="13"/>
      <c r="P713" s="13"/>
      <c r="Q713" s="13"/>
      <c r="R713" s="13"/>
    </row>
    <row r="714" spans="15:18" ht="15.75" customHeight="1" x14ac:dyDescent="0.25">
      <c r="O714" s="13"/>
      <c r="P714" s="13"/>
      <c r="Q714" s="13"/>
      <c r="R714" s="13"/>
    </row>
    <row r="715" spans="15:18" ht="15.75" customHeight="1" x14ac:dyDescent="0.25">
      <c r="O715" s="13"/>
      <c r="P715" s="13"/>
      <c r="Q715" s="13"/>
      <c r="R715" s="13"/>
    </row>
    <row r="716" spans="15:18" ht="15.75" customHeight="1" x14ac:dyDescent="0.25">
      <c r="O716" s="13"/>
      <c r="P716" s="13"/>
      <c r="Q716" s="13"/>
      <c r="R716" s="13"/>
    </row>
    <row r="717" spans="15:18" ht="15.75" customHeight="1" x14ac:dyDescent="0.25">
      <c r="O717" s="13"/>
      <c r="P717" s="13"/>
      <c r="Q717" s="13"/>
      <c r="R717" s="13"/>
    </row>
    <row r="718" spans="15:18" ht="15.75" customHeight="1" x14ac:dyDescent="0.25">
      <c r="O718" s="13"/>
      <c r="P718" s="13"/>
      <c r="Q718" s="13"/>
      <c r="R718" s="13"/>
    </row>
    <row r="719" spans="15:18" ht="15.75" customHeight="1" x14ac:dyDescent="0.25">
      <c r="O719" s="13"/>
      <c r="P719" s="13"/>
      <c r="Q719" s="13"/>
      <c r="R719" s="13"/>
    </row>
    <row r="720" spans="15:18" ht="15.75" customHeight="1" x14ac:dyDescent="0.25">
      <c r="O720" s="13"/>
      <c r="P720" s="13"/>
      <c r="Q720" s="13"/>
      <c r="R720" s="13"/>
    </row>
    <row r="721" spans="15:18" ht="15.75" customHeight="1" x14ac:dyDescent="0.25">
      <c r="O721" s="13"/>
      <c r="P721" s="13"/>
      <c r="Q721" s="13"/>
      <c r="R721" s="13"/>
    </row>
    <row r="722" spans="15:18" ht="15.75" customHeight="1" x14ac:dyDescent="0.25">
      <c r="O722" s="13"/>
      <c r="P722" s="13"/>
      <c r="Q722" s="13"/>
      <c r="R722" s="13"/>
    </row>
    <row r="723" spans="15:18" ht="15.75" customHeight="1" x14ac:dyDescent="0.25">
      <c r="O723" s="13"/>
      <c r="P723" s="13"/>
      <c r="Q723" s="13"/>
      <c r="R723" s="13"/>
    </row>
    <row r="724" spans="15:18" ht="15.75" customHeight="1" x14ac:dyDescent="0.25">
      <c r="O724" s="13"/>
      <c r="P724" s="13"/>
      <c r="Q724" s="13"/>
      <c r="R724" s="13"/>
    </row>
    <row r="725" spans="15:18" ht="15.75" customHeight="1" x14ac:dyDescent="0.25">
      <c r="O725" s="13"/>
      <c r="P725" s="13"/>
      <c r="Q725" s="13"/>
      <c r="R725" s="13"/>
    </row>
    <row r="726" spans="15:18" ht="15.75" customHeight="1" x14ac:dyDescent="0.25">
      <c r="O726" s="13"/>
      <c r="P726" s="13"/>
      <c r="Q726" s="13"/>
      <c r="R726" s="13"/>
    </row>
    <row r="727" spans="15:18" ht="15.75" customHeight="1" x14ac:dyDescent="0.25">
      <c r="O727" s="13"/>
      <c r="P727" s="13"/>
      <c r="Q727" s="13"/>
      <c r="R727" s="13"/>
    </row>
    <row r="728" spans="15:18" ht="15.75" customHeight="1" x14ac:dyDescent="0.25">
      <c r="O728" s="13"/>
      <c r="P728" s="13"/>
      <c r="Q728" s="13"/>
      <c r="R728" s="13"/>
    </row>
    <row r="729" spans="15:18" ht="15.75" customHeight="1" x14ac:dyDescent="0.25">
      <c r="O729" s="13"/>
      <c r="P729" s="13"/>
      <c r="Q729" s="13"/>
      <c r="R729" s="13"/>
    </row>
    <row r="730" spans="15:18" ht="15.75" customHeight="1" x14ac:dyDescent="0.25">
      <c r="O730" s="13"/>
      <c r="P730" s="13"/>
      <c r="Q730" s="13"/>
      <c r="R730" s="13"/>
    </row>
    <row r="731" spans="15:18" ht="15.75" customHeight="1" x14ac:dyDescent="0.25">
      <c r="O731" s="13"/>
      <c r="P731" s="13"/>
      <c r="Q731" s="13"/>
      <c r="R731" s="13"/>
    </row>
    <row r="732" spans="15:18" ht="15.75" customHeight="1" x14ac:dyDescent="0.25">
      <c r="O732" s="13"/>
      <c r="P732" s="13"/>
      <c r="Q732" s="13"/>
      <c r="R732" s="13"/>
    </row>
    <row r="733" spans="15:18" ht="15.75" customHeight="1" x14ac:dyDescent="0.25">
      <c r="O733" s="13"/>
      <c r="P733" s="13"/>
      <c r="Q733" s="13"/>
      <c r="R733" s="13"/>
    </row>
    <row r="734" spans="15:18" ht="15.75" customHeight="1" x14ac:dyDescent="0.25">
      <c r="O734" s="13"/>
      <c r="P734" s="13"/>
      <c r="Q734" s="13"/>
      <c r="R734" s="13"/>
    </row>
    <row r="735" spans="15:18" ht="15.75" customHeight="1" x14ac:dyDescent="0.25">
      <c r="O735" s="13"/>
      <c r="P735" s="13"/>
      <c r="Q735" s="13"/>
      <c r="R735" s="13"/>
    </row>
    <row r="736" spans="15:18" ht="15.75" customHeight="1" x14ac:dyDescent="0.25">
      <c r="O736" s="13"/>
      <c r="P736" s="13"/>
      <c r="Q736" s="13"/>
      <c r="R736" s="13"/>
    </row>
    <row r="737" spans="15:18" ht="15.75" customHeight="1" x14ac:dyDescent="0.25">
      <c r="O737" s="13"/>
      <c r="P737" s="13"/>
      <c r="Q737" s="13"/>
      <c r="R737" s="13"/>
    </row>
    <row r="738" spans="15:18" ht="15.75" customHeight="1" x14ac:dyDescent="0.25">
      <c r="O738" s="13"/>
      <c r="P738" s="13"/>
      <c r="Q738" s="13"/>
      <c r="R738" s="13"/>
    </row>
    <row r="739" spans="15:18" ht="15.75" customHeight="1" x14ac:dyDescent="0.25">
      <c r="O739" s="13"/>
      <c r="P739" s="13"/>
      <c r="Q739" s="13"/>
      <c r="R739" s="13"/>
    </row>
    <row r="740" spans="15:18" ht="15.75" customHeight="1" x14ac:dyDescent="0.25">
      <c r="O740" s="13"/>
      <c r="P740" s="13"/>
      <c r="Q740" s="13"/>
      <c r="R740" s="13"/>
    </row>
    <row r="741" spans="15:18" ht="15.75" customHeight="1" x14ac:dyDescent="0.25">
      <c r="O741" s="13"/>
      <c r="P741" s="13"/>
      <c r="Q741" s="13"/>
      <c r="R741" s="13"/>
    </row>
    <row r="742" spans="15:18" ht="15.75" customHeight="1" x14ac:dyDescent="0.25">
      <c r="O742" s="13"/>
      <c r="P742" s="13"/>
      <c r="Q742" s="13"/>
      <c r="R742" s="13"/>
    </row>
    <row r="743" spans="15:18" ht="15.75" customHeight="1" x14ac:dyDescent="0.25">
      <c r="O743" s="13"/>
      <c r="P743" s="13"/>
      <c r="Q743" s="13"/>
      <c r="R743" s="13"/>
    </row>
    <row r="744" spans="15:18" ht="15.75" customHeight="1" x14ac:dyDescent="0.25">
      <c r="O744" s="13"/>
      <c r="P744" s="13"/>
      <c r="Q744" s="13"/>
      <c r="R744" s="13"/>
    </row>
    <row r="745" spans="15:18" ht="15.75" customHeight="1" x14ac:dyDescent="0.25">
      <c r="O745" s="13"/>
      <c r="P745" s="13"/>
      <c r="Q745" s="13"/>
      <c r="R745" s="13"/>
    </row>
    <row r="746" spans="15:18" ht="15.75" customHeight="1" x14ac:dyDescent="0.25">
      <c r="O746" s="13"/>
      <c r="P746" s="13"/>
      <c r="Q746" s="13"/>
      <c r="R746" s="13"/>
    </row>
    <row r="747" spans="15:18" ht="15.75" customHeight="1" x14ac:dyDescent="0.25">
      <c r="O747" s="13"/>
      <c r="P747" s="13"/>
      <c r="Q747" s="13"/>
      <c r="R747" s="13"/>
    </row>
    <row r="748" spans="15:18" ht="15.75" customHeight="1" x14ac:dyDescent="0.25">
      <c r="O748" s="13"/>
      <c r="P748" s="13"/>
      <c r="Q748" s="13"/>
      <c r="R748" s="13"/>
    </row>
    <row r="749" spans="15:18" ht="15.75" customHeight="1" x14ac:dyDescent="0.25">
      <c r="O749" s="13"/>
      <c r="P749" s="13"/>
      <c r="Q749" s="13"/>
      <c r="R749" s="13"/>
    </row>
    <row r="750" spans="15:18" ht="15.75" customHeight="1" x14ac:dyDescent="0.25">
      <c r="O750" s="13"/>
      <c r="P750" s="13"/>
      <c r="Q750" s="13"/>
      <c r="R750" s="13"/>
    </row>
    <row r="751" spans="15:18" ht="15.75" customHeight="1" x14ac:dyDescent="0.25">
      <c r="O751" s="13"/>
      <c r="P751" s="13"/>
      <c r="Q751" s="13"/>
      <c r="R751" s="13"/>
    </row>
    <row r="752" spans="15:18" ht="15.75" customHeight="1" x14ac:dyDescent="0.25">
      <c r="O752" s="13"/>
      <c r="P752" s="13"/>
      <c r="Q752" s="13"/>
      <c r="R752" s="13"/>
    </row>
    <row r="753" spans="15:18" ht="15.75" customHeight="1" x14ac:dyDescent="0.25">
      <c r="O753" s="13"/>
      <c r="P753" s="13"/>
      <c r="Q753" s="13"/>
      <c r="R753" s="13"/>
    </row>
    <row r="754" spans="15:18" ht="15.75" customHeight="1" x14ac:dyDescent="0.25">
      <c r="O754" s="13"/>
      <c r="P754" s="13"/>
      <c r="Q754" s="13"/>
      <c r="R754" s="13"/>
    </row>
    <row r="755" spans="15:18" ht="15.75" customHeight="1" x14ac:dyDescent="0.25">
      <c r="O755" s="13"/>
      <c r="P755" s="13"/>
      <c r="Q755" s="13"/>
      <c r="R755" s="13"/>
    </row>
    <row r="756" spans="15:18" ht="15.75" customHeight="1" x14ac:dyDescent="0.25">
      <c r="O756" s="13"/>
      <c r="P756" s="13"/>
      <c r="Q756" s="13"/>
      <c r="R756" s="13"/>
    </row>
    <row r="757" spans="15:18" ht="15.75" customHeight="1" x14ac:dyDescent="0.25">
      <c r="O757" s="13"/>
      <c r="P757" s="13"/>
      <c r="Q757" s="13"/>
      <c r="R757" s="13"/>
    </row>
    <row r="758" spans="15:18" ht="15.75" customHeight="1" x14ac:dyDescent="0.25">
      <c r="O758" s="13"/>
      <c r="P758" s="13"/>
      <c r="Q758" s="13"/>
      <c r="R758" s="13"/>
    </row>
    <row r="759" spans="15:18" ht="15.75" customHeight="1" x14ac:dyDescent="0.25">
      <c r="O759" s="13"/>
      <c r="P759" s="13"/>
      <c r="Q759" s="13"/>
      <c r="R759" s="13"/>
    </row>
    <row r="760" spans="15:18" ht="15.75" customHeight="1" x14ac:dyDescent="0.25">
      <c r="O760" s="13"/>
      <c r="P760" s="13"/>
      <c r="Q760" s="13"/>
      <c r="R760" s="13"/>
    </row>
    <row r="761" spans="15:18" ht="15.75" customHeight="1" x14ac:dyDescent="0.25">
      <c r="O761" s="13"/>
      <c r="P761" s="13"/>
      <c r="Q761" s="13"/>
      <c r="R761" s="13"/>
    </row>
    <row r="762" spans="15:18" ht="15.75" customHeight="1" x14ac:dyDescent="0.25">
      <c r="O762" s="13"/>
      <c r="P762" s="13"/>
      <c r="Q762" s="13"/>
      <c r="R762" s="13"/>
    </row>
    <row r="763" spans="15:18" ht="15.75" customHeight="1" x14ac:dyDescent="0.25">
      <c r="O763" s="13"/>
      <c r="P763" s="13"/>
      <c r="Q763" s="13"/>
      <c r="R763" s="13"/>
    </row>
    <row r="764" spans="15:18" ht="15.75" customHeight="1" x14ac:dyDescent="0.25">
      <c r="O764" s="13"/>
      <c r="P764" s="13"/>
      <c r="Q764" s="13"/>
      <c r="R764" s="13"/>
    </row>
    <row r="765" spans="15:18" ht="15.75" customHeight="1" x14ac:dyDescent="0.25">
      <c r="O765" s="13"/>
      <c r="P765" s="13"/>
      <c r="Q765" s="13"/>
      <c r="R765" s="13"/>
    </row>
    <row r="766" spans="15:18" ht="15.75" customHeight="1" x14ac:dyDescent="0.25">
      <c r="O766" s="13"/>
      <c r="P766" s="13"/>
      <c r="Q766" s="13"/>
      <c r="R766" s="13"/>
    </row>
    <row r="767" spans="15:18" ht="15.75" customHeight="1" x14ac:dyDescent="0.25">
      <c r="O767" s="13"/>
      <c r="P767" s="13"/>
      <c r="Q767" s="13"/>
      <c r="R767" s="13"/>
    </row>
    <row r="768" spans="15:18" ht="15.75" customHeight="1" x14ac:dyDescent="0.25">
      <c r="O768" s="13"/>
      <c r="P768" s="13"/>
      <c r="Q768" s="13"/>
      <c r="R768" s="13"/>
    </row>
    <row r="769" spans="15:18" ht="15.75" customHeight="1" x14ac:dyDescent="0.25">
      <c r="O769" s="13"/>
      <c r="P769" s="13"/>
      <c r="Q769" s="13"/>
      <c r="R769" s="13"/>
    </row>
    <row r="770" spans="15:18" ht="15.75" customHeight="1" x14ac:dyDescent="0.25">
      <c r="O770" s="13"/>
      <c r="P770" s="13"/>
      <c r="Q770" s="13"/>
      <c r="R770" s="13"/>
    </row>
    <row r="771" spans="15:18" ht="15.75" customHeight="1" x14ac:dyDescent="0.25">
      <c r="O771" s="13"/>
      <c r="P771" s="13"/>
      <c r="Q771" s="13"/>
      <c r="R771" s="13"/>
    </row>
    <row r="772" spans="15:18" ht="15.75" customHeight="1" x14ac:dyDescent="0.25">
      <c r="O772" s="13"/>
      <c r="P772" s="13"/>
      <c r="Q772" s="13"/>
      <c r="R772" s="13"/>
    </row>
    <row r="773" spans="15:18" ht="15.75" customHeight="1" x14ac:dyDescent="0.25">
      <c r="O773" s="13"/>
      <c r="P773" s="13"/>
      <c r="Q773" s="13"/>
      <c r="R773" s="13"/>
    </row>
    <row r="774" spans="15:18" ht="15.75" customHeight="1" x14ac:dyDescent="0.25">
      <c r="O774" s="13"/>
      <c r="P774" s="13"/>
      <c r="Q774" s="13"/>
      <c r="R774" s="13"/>
    </row>
    <row r="775" spans="15:18" ht="15.75" customHeight="1" x14ac:dyDescent="0.25">
      <c r="O775" s="13"/>
      <c r="P775" s="13"/>
      <c r="Q775" s="13"/>
      <c r="R775" s="13"/>
    </row>
    <row r="776" spans="15:18" ht="15.75" customHeight="1" x14ac:dyDescent="0.25">
      <c r="O776" s="13"/>
      <c r="P776" s="13"/>
      <c r="Q776" s="13"/>
      <c r="R776" s="13"/>
    </row>
    <row r="777" spans="15:18" ht="15.75" customHeight="1" x14ac:dyDescent="0.25">
      <c r="O777" s="13"/>
      <c r="P777" s="13"/>
      <c r="Q777" s="13"/>
      <c r="R777" s="13"/>
    </row>
    <row r="778" spans="15:18" ht="15.75" customHeight="1" x14ac:dyDescent="0.25">
      <c r="O778" s="13"/>
      <c r="P778" s="13"/>
      <c r="Q778" s="13"/>
      <c r="R778" s="13"/>
    </row>
    <row r="779" spans="15:18" ht="15.75" customHeight="1" x14ac:dyDescent="0.25">
      <c r="O779" s="13"/>
      <c r="P779" s="13"/>
      <c r="Q779" s="13"/>
      <c r="R779" s="13"/>
    </row>
    <row r="780" spans="15:18" ht="15.75" customHeight="1" x14ac:dyDescent="0.25">
      <c r="O780" s="13"/>
      <c r="P780" s="13"/>
      <c r="Q780" s="13"/>
      <c r="R780" s="13"/>
    </row>
    <row r="781" spans="15:18" ht="15.75" customHeight="1" x14ac:dyDescent="0.25">
      <c r="O781" s="13"/>
      <c r="P781" s="13"/>
      <c r="Q781" s="13"/>
      <c r="R781" s="13"/>
    </row>
    <row r="782" spans="15:18" ht="15.75" customHeight="1" x14ac:dyDescent="0.25">
      <c r="O782" s="13"/>
      <c r="P782" s="13"/>
      <c r="Q782" s="13"/>
      <c r="R782" s="13"/>
    </row>
    <row r="783" spans="15:18" ht="15.75" customHeight="1" x14ac:dyDescent="0.25">
      <c r="O783" s="13"/>
      <c r="P783" s="13"/>
      <c r="Q783" s="13"/>
      <c r="R783" s="13"/>
    </row>
    <row r="784" spans="15:18" ht="15.75" customHeight="1" x14ac:dyDescent="0.25">
      <c r="O784" s="13"/>
      <c r="P784" s="13"/>
      <c r="Q784" s="13"/>
      <c r="R784" s="13"/>
    </row>
    <row r="785" spans="15:18" ht="15.75" customHeight="1" x14ac:dyDescent="0.25">
      <c r="O785" s="13"/>
      <c r="P785" s="13"/>
      <c r="Q785" s="13"/>
      <c r="R785" s="13"/>
    </row>
    <row r="786" spans="15:18" ht="15.75" customHeight="1" x14ac:dyDescent="0.25">
      <c r="O786" s="13"/>
      <c r="P786" s="13"/>
      <c r="Q786" s="13"/>
      <c r="R786" s="13"/>
    </row>
    <row r="787" spans="15:18" ht="15.75" customHeight="1" x14ac:dyDescent="0.25">
      <c r="O787" s="13"/>
      <c r="P787" s="13"/>
      <c r="Q787" s="13"/>
      <c r="R787" s="13"/>
    </row>
    <row r="788" spans="15:18" ht="15.75" customHeight="1" x14ac:dyDescent="0.25">
      <c r="O788" s="13"/>
      <c r="P788" s="13"/>
      <c r="Q788" s="13"/>
      <c r="R788" s="13"/>
    </row>
    <row r="789" spans="15:18" ht="15.75" customHeight="1" x14ac:dyDescent="0.25">
      <c r="O789" s="13"/>
      <c r="P789" s="13"/>
      <c r="Q789" s="13"/>
      <c r="R789" s="13"/>
    </row>
    <row r="790" spans="15:18" ht="15.75" customHeight="1" x14ac:dyDescent="0.25">
      <c r="O790" s="13"/>
      <c r="P790" s="13"/>
      <c r="Q790" s="13"/>
      <c r="R790" s="13"/>
    </row>
    <row r="791" spans="15:18" ht="15.75" customHeight="1" x14ac:dyDescent="0.25">
      <c r="O791" s="13"/>
      <c r="P791" s="13"/>
      <c r="Q791" s="13"/>
      <c r="R791" s="13"/>
    </row>
    <row r="792" spans="15:18" ht="15.75" customHeight="1" x14ac:dyDescent="0.25">
      <c r="O792" s="13"/>
      <c r="P792" s="13"/>
      <c r="Q792" s="13"/>
      <c r="R792" s="13"/>
    </row>
    <row r="793" spans="15:18" ht="15.75" customHeight="1" x14ac:dyDescent="0.25">
      <c r="O793" s="13"/>
      <c r="P793" s="13"/>
      <c r="Q793" s="13"/>
      <c r="R793" s="13"/>
    </row>
    <row r="794" spans="15:18" ht="15.75" customHeight="1" x14ac:dyDescent="0.25">
      <c r="O794" s="13"/>
      <c r="P794" s="13"/>
      <c r="Q794" s="13"/>
      <c r="R794" s="13"/>
    </row>
    <row r="795" spans="15:18" ht="15.75" customHeight="1" x14ac:dyDescent="0.25">
      <c r="O795" s="13"/>
      <c r="P795" s="13"/>
      <c r="Q795" s="13"/>
      <c r="R795" s="13"/>
    </row>
    <row r="796" spans="15:18" ht="15.75" customHeight="1" x14ac:dyDescent="0.25">
      <c r="O796" s="13"/>
      <c r="P796" s="13"/>
      <c r="Q796" s="13"/>
      <c r="R796" s="13"/>
    </row>
    <row r="797" spans="15:18" ht="15.75" customHeight="1" x14ac:dyDescent="0.25">
      <c r="O797" s="13"/>
      <c r="P797" s="13"/>
      <c r="Q797" s="13"/>
      <c r="R797" s="13"/>
    </row>
    <row r="798" spans="15:18" ht="15.75" customHeight="1" x14ac:dyDescent="0.25">
      <c r="O798" s="13"/>
      <c r="P798" s="13"/>
      <c r="Q798" s="13"/>
      <c r="R798" s="13"/>
    </row>
    <row r="799" spans="15:18" ht="15.75" customHeight="1" x14ac:dyDescent="0.25">
      <c r="O799" s="13"/>
      <c r="P799" s="13"/>
      <c r="Q799" s="13"/>
      <c r="R799" s="13"/>
    </row>
    <row r="800" spans="15:18" ht="15.75" customHeight="1" x14ac:dyDescent="0.25">
      <c r="O800" s="13"/>
      <c r="P800" s="13"/>
      <c r="Q800" s="13"/>
      <c r="R800" s="13"/>
    </row>
    <row r="801" spans="15:18" ht="15.75" customHeight="1" x14ac:dyDescent="0.25">
      <c r="O801" s="13"/>
      <c r="P801" s="13"/>
      <c r="Q801" s="13"/>
      <c r="R801" s="13"/>
    </row>
    <row r="802" spans="15:18" ht="15.75" customHeight="1" x14ac:dyDescent="0.25">
      <c r="O802" s="13"/>
      <c r="P802" s="13"/>
      <c r="Q802" s="13"/>
      <c r="R802" s="13"/>
    </row>
    <row r="803" spans="15:18" ht="15.75" customHeight="1" x14ac:dyDescent="0.25">
      <c r="O803" s="13"/>
      <c r="P803" s="13"/>
      <c r="Q803" s="13"/>
      <c r="R803" s="13"/>
    </row>
    <row r="804" spans="15:18" ht="15.75" customHeight="1" x14ac:dyDescent="0.25">
      <c r="O804" s="13"/>
      <c r="P804" s="13"/>
      <c r="Q804" s="13"/>
      <c r="R804" s="13"/>
    </row>
    <row r="805" spans="15:18" ht="15.75" customHeight="1" x14ac:dyDescent="0.25">
      <c r="O805" s="13"/>
      <c r="P805" s="13"/>
      <c r="Q805" s="13"/>
      <c r="R805" s="13"/>
    </row>
    <row r="806" spans="15:18" ht="15.75" customHeight="1" x14ac:dyDescent="0.25">
      <c r="O806" s="13"/>
      <c r="P806" s="13"/>
      <c r="Q806" s="13"/>
      <c r="R806" s="13"/>
    </row>
    <row r="807" spans="15:18" ht="15.75" customHeight="1" x14ac:dyDescent="0.25">
      <c r="O807" s="13"/>
      <c r="P807" s="13"/>
      <c r="Q807" s="13"/>
      <c r="R807" s="13"/>
    </row>
    <row r="808" spans="15:18" ht="15.75" customHeight="1" x14ac:dyDescent="0.25">
      <c r="O808" s="13"/>
      <c r="P808" s="13"/>
      <c r="Q808" s="13"/>
      <c r="R808" s="13"/>
    </row>
    <row r="809" spans="15:18" ht="15.75" customHeight="1" x14ac:dyDescent="0.25">
      <c r="O809" s="13"/>
      <c r="P809" s="13"/>
      <c r="Q809" s="13"/>
      <c r="R809" s="13"/>
    </row>
    <row r="810" spans="15:18" ht="15.75" customHeight="1" x14ac:dyDescent="0.25">
      <c r="O810" s="13"/>
      <c r="P810" s="13"/>
      <c r="Q810" s="13"/>
      <c r="R810" s="13"/>
    </row>
    <row r="811" spans="15:18" ht="15.75" customHeight="1" x14ac:dyDescent="0.25">
      <c r="O811" s="13"/>
      <c r="P811" s="13"/>
      <c r="Q811" s="13"/>
      <c r="R811" s="13"/>
    </row>
    <row r="812" spans="15:18" ht="15.75" customHeight="1" x14ac:dyDescent="0.25">
      <c r="O812" s="13"/>
      <c r="P812" s="13"/>
      <c r="Q812" s="13"/>
      <c r="R812" s="13"/>
    </row>
    <row r="813" spans="15:18" ht="15.75" customHeight="1" x14ac:dyDescent="0.25">
      <c r="O813" s="13"/>
      <c r="P813" s="13"/>
      <c r="Q813" s="13"/>
      <c r="R813" s="13"/>
    </row>
    <row r="814" spans="15:18" ht="15.75" customHeight="1" x14ac:dyDescent="0.25">
      <c r="O814" s="13"/>
      <c r="P814" s="13"/>
      <c r="Q814" s="13"/>
      <c r="R814" s="13"/>
    </row>
    <row r="815" spans="15:18" ht="15.75" customHeight="1" x14ac:dyDescent="0.25">
      <c r="O815" s="13"/>
      <c r="P815" s="13"/>
      <c r="Q815" s="13"/>
      <c r="R815" s="13"/>
    </row>
    <row r="816" spans="15:18" ht="15.75" customHeight="1" x14ac:dyDescent="0.25">
      <c r="O816" s="13"/>
      <c r="P816" s="13"/>
      <c r="Q816" s="13"/>
      <c r="R816" s="13"/>
    </row>
    <row r="817" spans="15:18" ht="15.75" customHeight="1" x14ac:dyDescent="0.25">
      <c r="O817" s="13"/>
      <c r="P817" s="13"/>
      <c r="Q817" s="13"/>
      <c r="R817" s="13"/>
    </row>
    <row r="818" spans="15:18" ht="15.75" customHeight="1" x14ac:dyDescent="0.25">
      <c r="O818" s="13"/>
      <c r="P818" s="13"/>
      <c r="Q818" s="13"/>
      <c r="R818" s="13"/>
    </row>
    <row r="819" spans="15:18" ht="15.75" customHeight="1" x14ac:dyDescent="0.25">
      <c r="O819" s="13"/>
      <c r="P819" s="13"/>
      <c r="Q819" s="13"/>
      <c r="R819" s="13"/>
    </row>
    <row r="820" spans="15:18" ht="15.75" customHeight="1" x14ac:dyDescent="0.25">
      <c r="O820" s="13"/>
      <c r="P820" s="13"/>
      <c r="Q820" s="13"/>
      <c r="R820" s="13"/>
    </row>
    <row r="821" spans="15:18" ht="15.75" customHeight="1" x14ac:dyDescent="0.25">
      <c r="O821" s="13"/>
      <c r="P821" s="13"/>
      <c r="Q821" s="13"/>
      <c r="R821" s="13"/>
    </row>
    <row r="822" spans="15:18" ht="15.75" customHeight="1" x14ac:dyDescent="0.25">
      <c r="O822" s="13"/>
      <c r="P822" s="13"/>
      <c r="Q822" s="13"/>
      <c r="R822" s="13"/>
    </row>
    <row r="823" spans="15:18" ht="15.75" customHeight="1" x14ac:dyDescent="0.25">
      <c r="O823" s="13"/>
      <c r="P823" s="13"/>
      <c r="Q823" s="13"/>
      <c r="R823" s="13"/>
    </row>
    <row r="824" spans="15:18" ht="15.75" customHeight="1" x14ac:dyDescent="0.25">
      <c r="O824" s="13"/>
      <c r="P824" s="13"/>
      <c r="Q824" s="13"/>
      <c r="R824" s="13"/>
    </row>
    <row r="825" spans="15:18" ht="15.75" customHeight="1" x14ac:dyDescent="0.25">
      <c r="O825" s="13"/>
      <c r="P825" s="13"/>
      <c r="Q825" s="13"/>
      <c r="R825" s="13"/>
    </row>
    <row r="826" spans="15:18" ht="15.75" customHeight="1" x14ac:dyDescent="0.25">
      <c r="O826" s="13"/>
      <c r="P826" s="13"/>
      <c r="Q826" s="13"/>
      <c r="R826" s="13"/>
    </row>
    <row r="827" spans="15:18" ht="15.75" customHeight="1" x14ac:dyDescent="0.25">
      <c r="O827" s="13"/>
      <c r="P827" s="13"/>
      <c r="Q827" s="13"/>
      <c r="R827" s="13"/>
    </row>
    <row r="828" spans="15:18" ht="15.75" customHeight="1" x14ac:dyDescent="0.25">
      <c r="O828" s="13"/>
      <c r="P828" s="13"/>
      <c r="Q828" s="13"/>
      <c r="R828" s="13"/>
    </row>
    <row r="829" spans="15:18" ht="15.75" customHeight="1" x14ac:dyDescent="0.25">
      <c r="O829" s="13"/>
      <c r="P829" s="13"/>
      <c r="Q829" s="13"/>
      <c r="R829" s="13"/>
    </row>
    <row r="830" spans="15:18" ht="15.75" customHeight="1" x14ac:dyDescent="0.25">
      <c r="O830" s="13"/>
      <c r="P830" s="13"/>
      <c r="Q830" s="13"/>
      <c r="R830" s="13"/>
    </row>
    <row r="831" spans="15:18" ht="15.75" customHeight="1" x14ac:dyDescent="0.25">
      <c r="O831" s="13"/>
      <c r="P831" s="13"/>
      <c r="Q831" s="13"/>
      <c r="R831" s="13"/>
    </row>
    <row r="832" spans="15:18" ht="15.75" customHeight="1" x14ac:dyDescent="0.25">
      <c r="O832" s="13"/>
      <c r="P832" s="13"/>
      <c r="Q832" s="13"/>
      <c r="R832" s="13"/>
    </row>
    <row r="833" spans="15:18" ht="15.75" customHeight="1" x14ac:dyDescent="0.25">
      <c r="O833" s="13"/>
      <c r="P833" s="13"/>
      <c r="Q833" s="13"/>
      <c r="R833" s="13"/>
    </row>
    <row r="834" spans="15:18" ht="15.75" customHeight="1" x14ac:dyDescent="0.25">
      <c r="O834" s="13"/>
      <c r="P834" s="13"/>
      <c r="Q834" s="13"/>
      <c r="R834" s="13"/>
    </row>
    <row r="835" spans="15:18" ht="15.75" customHeight="1" x14ac:dyDescent="0.25">
      <c r="O835" s="13"/>
      <c r="P835" s="13"/>
      <c r="Q835" s="13"/>
      <c r="R835" s="13"/>
    </row>
    <row r="836" spans="15:18" ht="15.75" customHeight="1" x14ac:dyDescent="0.25">
      <c r="O836" s="13"/>
      <c r="P836" s="13"/>
      <c r="Q836" s="13"/>
      <c r="R836" s="13"/>
    </row>
    <row r="837" spans="15:18" ht="15.75" customHeight="1" x14ac:dyDescent="0.25">
      <c r="O837" s="13"/>
      <c r="P837" s="13"/>
      <c r="Q837" s="13"/>
      <c r="R837" s="13"/>
    </row>
    <row r="838" spans="15:18" ht="15.75" customHeight="1" x14ac:dyDescent="0.25">
      <c r="O838" s="13"/>
      <c r="P838" s="13"/>
      <c r="Q838" s="13"/>
      <c r="R838" s="13"/>
    </row>
    <row r="839" spans="15:18" ht="15.75" customHeight="1" x14ac:dyDescent="0.25">
      <c r="O839" s="13"/>
      <c r="P839" s="13"/>
      <c r="Q839" s="13"/>
      <c r="R839" s="13"/>
    </row>
    <row r="840" spans="15:18" ht="15.75" customHeight="1" x14ac:dyDescent="0.25">
      <c r="O840" s="13"/>
      <c r="P840" s="13"/>
      <c r="Q840" s="13"/>
      <c r="R840" s="13"/>
    </row>
    <row r="841" spans="15:18" ht="15.75" customHeight="1" x14ac:dyDescent="0.25">
      <c r="O841" s="13"/>
      <c r="P841" s="13"/>
      <c r="Q841" s="13"/>
      <c r="R841" s="13"/>
    </row>
    <row r="842" spans="15:18" ht="15.75" customHeight="1" x14ac:dyDescent="0.25">
      <c r="O842" s="13"/>
      <c r="P842" s="13"/>
      <c r="Q842" s="13"/>
      <c r="R842" s="13"/>
    </row>
    <row r="843" spans="15:18" ht="15.75" customHeight="1" x14ac:dyDescent="0.25">
      <c r="O843" s="13"/>
      <c r="P843" s="13"/>
      <c r="Q843" s="13"/>
      <c r="R843" s="13"/>
    </row>
    <row r="844" spans="15:18" ht="15.75" customHeight="1" x14ac:dyDescent="0.25">
      <c r="O844" s="13"/>
      <c r="P844" s="13"/>
      <c r="Q844" s="13"/>
      <c r="R844" s="13"/>
    </row>
    <row r="845" spans="15:18" ht="15.75" customHeight="1" x14ac:dyDescent="0.25">
      <c r="O845" s="13"/>
      <c r="P845" s="13"/>
      <c r="Q845" s="13"/>
      <c r="R845" s="13"/>
    </row>
    <row r="846" spans="15:18" ht="15.75" customHeight="1" x14ac:dyDescent="0.25">
      <c r="O846" s="13"/>
      <c r="P846" s="13"/>
      <c r="Q846" s="13"/>
      <c r="R846" s="13"/>
    </row>
    <row r="847" spans="15:18" ht="15.75" customHeight="1" x14ac:dyDescent="0.25">
      <c r="O847" s="13"/>
      <c r="P847" s="13"/>
      <c r="Q847" s="13"/>
      <c r="R847" s="13"/>
    </row>
    <row r="848" spans="15:18" ht="15.75" customHeight="1" x14ac:dyDescent="0.25">
      <c r="O848" s="13"/>
      <c r="P848" s="13"/>
      <c r="Q848" s="13"/>
      <c r="R848" s="13"/>
    </row>
    <row r="849" spans="15:18" ht="15.75" customHeight="1" x14ac:dyDescent="0.25">
      <c r="O849" s="13"/>
      <c r="P849" s="13"/>
      <c r="Q849" s="13"/>
      <c r="R849" s="13"/>
    </row>
    <row r="850" spans="15:18" ht="15.75" customHeight="1" x14ac:dyDescent="0.25">
      <c r="O850" s="13"/>
      <c r="P850" s="13"/>
      <c r="Q850" s="13"/>
      <c r="R850" s="13"/>
    </row>
    <row r="851" spans="15:18" ht="15.75" customHeight="1" x14ac:dyDescent="0.25">
      <c r="O851" s="13"/>
      <c r="P851" s="13"/>
      <c r="Q851" s="13"/>
      <c r="R851" s="13"/>
    </row>
    <row r="852" spans="15:18" ht="15.75" customHeight="1" x14ac:dyDescent="0.25">
      <c r="O852" s="13"/>
      <c r="P852" s="13"/>
      <c r="Q852" s="13"/>
      <c r="R852" s="13"/>
    </row>
    <row r="853" spans="15:18" ht="15.75" customHeight="1" x14ac:dyDescent="0.25">
      <c r="O853" s="13"/>
      <c r="P853" s="13"/>
      <c r="Q853" s="13"/>
      <c r="R853" s="13"/>
    </row>
    <row r="854" spans="15:18" ht="15.75" customHeight="1" x14ac:dyDescent="0.25">
      <c r="O854" s="13"/>
      <c r="P854" s="13"/>
      <c r="Q854" s="13"/>
      <c r="R854" s="13"/>
    </row>
    <row r="855" spans="15:18" ht="15.75" customHeight="1" x14ac:dyDescent="0.25">
      <c r="O855" s="13"/>
      <c r="P855" s="13"/>
      <c r="Q855" s="13"/>
      <c r="R855" s="13"/>
    </row>
    <row r="856" spans="15:18" ht="15.75" customHeight="1" x14ac:dyDescent="0.25">
      <c r="O856" s="13"/>
      <c r="P856" s="13"/>
      <c r="Q856" s="13"/>
      <c r="R856" s="13"/>
    </row>
    <row r="857" spans="15:18" ht="15.75" customHeight="1" x14ac:dyDescent="0.25">
      <c r="O857" s="13"/>
      <c r="P857" s="13"/>
      <c r="Q857" s="13"/>
      <c r="R857" s="13"/>
    </row>
    <row r="858" spans="15:18" ht="15.75" customHeight="1" x14ac:dyDescent="0.25">
      <c r="O858" s="13"/>
      <c r="P858" s="13"/>
      <c r="Q858" s="13"/>
      <c r="R858" s="13"/>
    </row>
    <row r="859" spans="15:18" ht="15.75" customHeight="1" x14ac:dyDescent="0.25">
      <c r="O859" s="13"/>
      <c r="P859" s="13"/>
      <c r="Q859" s="13"/>
      <c r="R859" s="13"/>
    </row>
    <row r="860" spans="15:18" ht="15.75" customHeight="1" x14ac:dyDescent="0.25">
      <c r="O860" s="13"/>
      <c r="P860" s="13"/>
      <c r="Q860" s="13"/>
      <c r="R860" s="13"/>
    </row>
    <row r="861" spans="15:18" ht="15.75" customHeight="1" x14ac:dyDescent="0.25">
      <c r="O861" s="13"/>
      <c r="P861" s="13"/>
      <c r="Q861" s="13"/>
      <c r="R861" s="13"/>
    </row>
    <row r="862" spans="15:18" ht="15.75" customHeight="1" x14ac:dyDescent="0.25">
      <c r="O862" s="13"/>
      <c r="P862" s="13"/>
      <c r="Q862" s="13"/>
      <c r="R862" s="13"/>
    </row>
    <row r="863" spans="15:18" ht="15.75" customHeight="1" x14ac:dyDescent="0.25">
      <c r="O863" s="13"/>
      <c r="P863" s="13"/>
      <c r="Q863" s="13"/>
      <c r="R863" s="13"/>
    </row>
    <row r="864" spans="15:18" ht="15.75" customHeight="1" x14ac:dyDescent="0.25">
      <c r="O864" s="13"/>
      <c r="P864" s="13"/>
      <c r="Q864" s="13"/>
      <c r="R864" s="13"/>
    </row>
    <row r="865" spans="15:18" ht="15.75" customHeight="1" x14ac:dyDescent="0.25">
      <c r="O865" s="13"/>
      <c r="P865" s="13"/>
      <c r="Q865" s="13"/>
      <c r="R865" s="13"/>
    </row>
    <row r="866" spans="15:18" ht="15.75" customHeight="1" x14ac:dyDescent="0.25">
      <c r="O866" s="13"/>
      <c r="P866" s="13"/>
      <c r="Q866" s="13"/>
      <c r="R866" s="13"/>
    </row>
    <row r="867" spans="15:18" ht="15.75" customHeight="1" x14ac:dyDescent="0.25">
      <c r="O867" s="13"/>
      <c r="P867" s="13"/>
      <c r="Q867" s="13"/>
      <c r="R867" s="13"/>
    </row>
    <row r="868" spans="15:18" ht="15.75" customHeight="1" x14ac:dyDescent="0.25">
      <c r="O868" s="13"/>
      <c r="P868" s="13"/>
      <c r="Q868" s="13"/>
      <c r="R868" s="13"/>
    </row>
    <row r="869" spans="15:18" ht="15.75" customHeight="1" x14ac:dyDescent="0.25">
      <c r="O869" s="13"/>
      <c r="P869" s="13"/>
      <c r="Q869" s="13"/>
      <c r="R869" s="13"/>
    </row>
    <row r="870" spans="15:18" ht="15.75" customHeight="1" x14ac:dyDescent="0.25">
      <c r="O870" s="13"/>
      <c r="P870" s="13"/>
      <c r="Q870" s="13"/>
      <c r="R870" s="13"/>
    </row>
    <row r="871" spans="15:18" ht="15.75" customHeight="1" x14ac:dyDescent="0.25">
      <c r="O871" s="13"/>
      <c r="P871" s="13"/>
      <c r="Q871" s="13"/>
      <c r="R871" s="13"/>
    </row>
    <row r="872" spans="15:18" ht="15.75" customHeight="1" x14ac:dyDescent="0.25">
      <c r="O872" s="13"/>
      <c r="P872" s="13"/>
      <c r="Q872" s="13"/>
      <c r="R872" s="13"/>
    </row>
    <row r="873" spans="15:18" ht="15.75" customHeight="1" x14ac:dyDescent="0.25">
      <c r="O873" s="13"/>
      <c r="P873" s="13"/>
      <c r="Q873" s="13"/>
      <c r="R873" s="13"/>
    </row>
    <row r="874" spans="15:18" ht="15.75" customHeight="1" x14ac:dyDescent="0.25">
      <c r="O874" s="13"/>
      <c r="P874" s="13"/>
      <c r="Q874" s="13"/>
      <c r="R874" s="13"/>
    </row>
    <row r="875" spans="15:18" ht="15.75" customHeight="1" x14ac:dyDescent="0.25">
      <c r="O875" s="13"/>
      <c r="P875" s="13"/>
      <c r="Q875" s="13"/>
      <c r="R875" s="13"/>
    </row>
    <row r="876" spans="15:18" ht="15.75" customHeight="1" x14ac:dyDescent="0.25">
      <c r="O876" s="13"/>
      <c r="P876" s="13"/>
      <c r="Q876" s="13"/>
      <c r="R876" s="13"/>
    </row>
    <row r="877" spans="15:18" ht="15.75" customHeight="1" x14ac:dyDescent="0.25">
      <c r="O877" s="13"/>
      <c r="P877" s="13"/>
      <c r="Q877" s="13"/>
      <c r="R877" s="13"/>
    </row>
    <row r="878" spans="15:18" ht="15.75" customHeight="1" x14ac:dyDescent="0.25">
      <c r="O878" s="13"/>
      <c r="P878" s="13"/>
      <c r="Q878" s="13"/>
      <c r="R878" s="13"/>
    </row>
    <row r="879" spans="15:18" ht="15.75" customHeight="1" x14ac:dyDescent="0.25">
      <c r="O879" s="13"/>
      <c r="P879" s="13"/>
      <c r="Q879" s="13"/>
      <c r="R879" s="13"/>
    </row>
    <row r="880" spans="15:18" ht="15.75" customHeight="1" x14ac:dyDescent="0.25">
      <c r="O880" s="13"/>
      <c r="P880" s="13"/>
      <c r="Q880" s="13"/>
      <c r="R880" s="13"/>
    </row>
    <row r="881" spans="15:18" ht="15.75" customHeight="1" x14ac:dyDescent="0.25">
      <c r="O881" s="13"/>
      <c r="P881" s="13"/>
      <c r="Q881" s="13"/>
      <c r="R881" s="13"/>
    </row>
    <row r="882" spans="15:18" ht="15.75" customHeight="1" x14ac:dyDescent="0.25">
      <c r="O882" s="13"/>
      <c r="P882" s="13"/>
      <c r="Q882" s="13"/>
      <c r="R882" s="13"/>
    </row>
    <row r="883" spans="15:18" ht="15.75" customHeight="1" x14ac:dyDescent="0.25">
      <c r="O883" s="13"/>
      <c r="P883" s="13"/>
      <c r="Q883" s="13"/>
      <c r="R883" s="13"/>
    </row>
    <row r="884" spans="15:18" ht="15.75" customHeight="1" x14ac:dyDescent="0.25">
      <c r="O884" s="13"/>
      <c r="P884" s="13"/>
      <c r="Q884" s="13"/>
      <c r="R884" s="13"/>
    </row>
    <row r="885" spans="15:18" ht="15.75" customHeight="1" x14ac:dyDescent="0.25">
      <c r="O885" s="13"/>
      <c r="P885" s="13"/>
      <c r="Q885" s="13"/>
      <c r="R885" s="13"/>
    </row>
    <row r="886" spans="15:18" ht="15.75" customHeight="1" x14ac:dyDescent="0.25">
      <c r="O886" s="13"/>
      <c r="P886" s="13"/>
      <c r="Q886" s="13"/>
      <c r="R886" s="13"/>
    </row>
    <row r="887" spans="15:18" ht="15.75" customHeight="1" x14ac:dyDescent="0.25">
      <c r="O887" s="13"/>
      <c r="P887" s="13"/>
      <c r="Q887" s="13"/>
      <c r="R887" s="13"/>
    </row>
    <row r="888" spans="15:18" ht="15.75" customHeight="1" x14ac:dyDescent="0.25">
      <c r="O888" s="13"/>
      <c r="P888" s="13"/>
      <c r="Q888" s="13"/>
      <c r="R888" s="13"/>
    </row>
    <row r="889" spans="15:18" ht="15.75" customHeight="1" x14ac:dyDescent="0.25">
      <c r="O889" s="13"/>
      <c r="P889" s="13"/>
      <c r="Q889" s="13"/>
      <c r="R889" s="13"/>
    </row>
    <row r="890" spans="15:18" ht="15.75" customHeight="1" x14ac:dyDescent="0.25">
      <c r="O890" s="13"/>
      <c r="P890" s="13"/>
      <c r="Q890" s="13"/>
      <c r="R890" s="13"/>
    </row>
    <row r="891" spans="15:18" ht="15.75" customHeight="1" x14ac:dyDescent="0.25">
      <c r="O891" s="13"/>
      <c r="P891" s="13"/>
      <c r="Q891" s="13"/>
      <c r="R891" s="13"/>
    </row>
    <row r="892" spans="15:18" ht="15.75" customHeight="1" x14ac:dyDescent="0.25">
      <c r="O892" s="13"/>
      <c r="P892" s="13"/>
      <c r="Q892" s="13"/>
      <c r="R892" s="13"/>
    </row>
    <row r="893" spans="15:18" ht="15.75" customHeight="1" x14ac:dyDescent="0.25">
      <c r="O893" s="13"/>
      <c r="P893" s="13"/>
      <c r="Q893" s="13"/>
      <c r="R893" s="13"/>
    </row>
    <row r="894" spans="15:18" ht="15.75" customHeight="1" x14ac:dyDescent="0.25">
      <c r="O894" s="13"/>
      <c r="P894" s="13"/>
      <c r="Q894" s="13"/>
      <c r="R894" s="13"/>
    </row>
    <row r="895" spans="15:18" ht="15.75" customHeight="1" x14ac:dyDescent="0.25">
      <c r="O895" s="13"/>
      <c r="P895" s="13"/>
      <c r="Q895" s="13"/>
      <c r="R895" s="13"/>
    </row>
    <row r="896" spans="15:18" ht="15.75" customHeight="1" x14ac:dyDescent="0.25">
      <c r="O896" s="13"/>
      <c r="P896" s="13"/>
      <c r="Q896" s="13"/>
      <c r="R896" s="13"/>
    </row>
    <row r="897" spans="15:18" ht="15.75" customHeight="1" x14ac:dyDescent="0.25">
      <c r="O897" s="13"/>
      <c r="P897" s="13"/>
      <c r="Q897" s="13"/>
      <c r="R897" s="13"/>
    </row>
    <row r="898" spans="15:18" ht="15.75" customHeight="1" x14ac:dyDescent="0.25">
      <c r="O898" s="13"/>
      <c r="P898" s="13"/>
      <c r="Q898" s="13"/>
      <c r="R898" s="13"/>
    </row>
    <row r="899" spans="15:18" ht="15.75" customHeight="1" x14ac:dyDescent="0.25">
      <c r="O899" s="13"/>
      <c r="P899" s="13"/>
      <c r="Q899" s="13"/>
      <c r="R899" s="13"/>
    </row>
    <row r="900" spans="15:18" ht="15.75" customHeight="1" x14ac:dyDescent="0.25">
      <c r="O900" s="13"/>
      <c r="P900" s="13"/>
      <c r="Q900" s="13"/>
      <c r="R900" s="13"/>
    </row>
    <row r="901" spans="15:18" ht="15.75" customHeight="1" x14ac:dyDescent="0.25">
      <c r="O901" s="13"/>
      <c r="P901" s="13"/>
      <c r="Q901" s="13"/>
      <c r="R901" s="13"/>
    </row>
    <row r="902" spans="15:18" ht="15.75" customHeight="1" x14ac:dyDescent="0.25">
      <c r="O902" s="13"/>
      <c r="P902" s="13"/>
      <c r="Q902" s="13"/>
      <c r="R902" s="13"/>
    </row>
    <row r="903" spans="15:18" ht="15.75" customHeight="1" x14ac:dyDescent="0.25">
      <c r="O903" s="13"/>
      <c r="P903" s="13"/>
      <c r="Q903" s="13"/>
      <c r="R903" s="13"/>
    </row>
    <row r="904" spans="15:18" ht="15.75" customHeight="1" x14ac:dyDescent="0.25">
      <c r="O904" s="13"/>
      <c r="P904" s="13"/>
      <c r="Q904" s="13"/>
      <c r="R904" s="13"/>
    </row>
    <row r="905" spans="15:18" ht="15.75" customHeight="1" x14ac:dyDescent="0.25">
      <c r="O905" s="13"/>
      <c r="P905" s="13"/>
      <c r="Q905" s="13"/>
      <c r="R905" s="13"/>
    </row>
    <row r="906" spans="15:18" ht="15.75" customHeight="1" x14ac:dyDescent="0.25">
      <c r="O906" s="13"/>
      <c r="P906" s="13"/>
      <c r="Q906" s="13"/>
      <c r="R906" s="13"/>
    </row>
    <row r="907" spans="15:18" ht="15.75" customHeight="1" x14ac:dyDescent="0.25">
      <c r="O907" s="13"/>
      <c r="P907" s="13"/>
      <c r="Q907" s="13"/>
      <c r="R907" s="13"/>
    </row>
    <row r="908" spans="15:18" ht="15.75" customHeight="1" x14ac:dyDescent="0.25">
      <c r="O908" s="13"/>
      <c r="P908" s="13"/>
      <c r="Q908" s="13"/>
      <c r="R908" s="13"/>
    </row>
    <row r="909" spans="15:18" ht="15.75" customHeight="1" x14ac:dyDescent="0.25">
      <c r="O909" s="13"/>
      <c r="P909" s="13"/>
      <c r="Q909" s="13"/>
      <c r="R909" s="13"/>
    </row>
    <row r="910" spans="15:18" ht="15.75" customHeight="1" x14ac:dyDescent="0.25">
      <c r="O910" s="13"/>
      <c r="P910" s="13"/>
      <c r="Q910" s="13"/>
      <c r="R910" s="13"/>
    </row>
    <row r="911" spans="15:18" ht="15.75" customHeight="1" x14ac:dyDescent="0.25">
      <c r="O911" s="13"/>
      <c r="P911" s="13"/>
      <c r="Q911" s="13"/>
      <c r="R911" s="13"/>
    </row>
    <row r="912" spans="15:18" ht="15.75" customHeight="1" x14ac:dyDescent="0.25">
      <c r="O912" s="13"/>
      <c r="P912" s="13"/>
      <c r="Q912" s="13"/>
      <c r="R912" s="13"/>
    </row>
    <row r="913" spans="15:18" ht="15.75" customHeight="1" x14ac:dyDescent="0.25">
      <c r="O913" s="13"/>
      <c r="P913" s="13"/>
      <c r="Q913" s="13"/>
      <c r="R913" s="13"/>
    </row>
    <row r="914" spans="15:18" ht="15.75" customHeight="1" x14ac:dyDescent="0.25">
      <c r="O914" s="13"/>
      <c r="P914" s="13"/>
      <c r="Q914" s="13"/>
      <c r="R914" s="13"/>
    </row>
    <row r="915" spans="15:18" ht="15.75" customHeight="1" x14ac:dyDescent="0.25">
      <c r="O915" s="13"/>
      <c r="P915" s="13"/>
      <c r="Q915" s="13"/>
      <c r="R915" s="13"/>
    </row>
    <row r="916" spans="15:18" ht="15.75" customHeight="1" x14ac:dyDescent="0.25">
      <c r="O916" s="13"/>
      <c r="P916" s="13"/>
      <c r="Q916" s="13"/>
      <c r="R916" s="13"/>
    </row>
    <row r="917" spans="15:18" ht="15.75" customHeight="1" x14ac:dyDescent="0.25">
      <c r="O917" s="13"/>
      <c r="P917" s="13"/>
      <c r="Q917" s="13"/>
      <c r="R917" s="13"/>
    </row>
    <row r="918" spans="15:18" ht="15.75" customHeight="1" x14ac:dyDescent="0.25">
      <c r="O918" s="13"/>
      <c r="P918" s="13"/>
      <c r="Q918" s="13"/>
      <c r="R918" s="13"/>
    </row>
    <row r="919" spans="15:18" ht="15.75" customHeight="1" x14ac:dyDescent="0.25">
      <c r="O919" s="13"/>
      <c r="P919" s="13"/>
      <c r="Q919" s="13"/>
      <c r="R919" s="13"/>
    </row>
    <row r="920" spans="15:18" ht="15.75" customHeight="1" x14ac:dyDescent="0.25">
      <c r="O920" s="13"/>
      <c r="P920" s="13"/>
      <c r="Q920" s="13"/>
      <c r="R920" s="13"/>
    </row>
    <row r="921" spans="15:18" ht="15.75" customHeight="1" x14ac:dyDescent="0.25">
      <c r="O921" s="13"/>
      <c r="P921" s="13"/>
      <c r="Q921" s="13"/>
      <c r="R921" s="13"/>
    </row>
    <row r="922" spans="15:18" ht="15.75" customHeight="1" x14ac:dyDescent="0.25">
      <c r="O922" s="13"/>
      <c r="P922" s="13"/>
      <c r="Q922" s="13"/>
      <c r="R922" s="13"/>
    </row>
    <row r="923" spans="15:18" ht="15.75" customHeight="1" x14ac:dyDescent="0.25">
      <c r="O923" s="13"/>
      <c r="P923" s="13"/>
      <c r="Q923" s="13"/>
      <c r="R923" s="13"/>
    </row>
    <row r="924" spans="15:18" ht="15.75" customHeight="1" x14ac:dyDescent="0.25">
      <c r="O924" s="13"/>
      <c r="P924" s="13"/>
      <c r="Q924" s="13"/>
      <c r="R924" s="13"/>
    </row>
    <row r="925" spans="15:18" ht="15.75" customHeight="1" x14ac:dyDescent="0.25">
      <c r="O925" s="13"/>
      <c r="P925" s="13"/>
      <c r="Q925" s="13"/>
      <c r="R925" s="13"/>
    </row>
    <row r="926" spans="15:18" ht="15.75" customHeight="1" x14ac:dyDescent="0.25">
      <c r="O926" s="13"/>
      <c r="P926" s="13"/>
      <c r="Q926" s="13"/>
      <c r="R926" s="13"/>
    </row>
    <row r="927" spans="15:18" ht="15.75" customHeight="1" x14ac:dyDescent="0.25">
      <c r="O927" s="13"/>
      <c r="P927" s="13"/>
      <c r="Q927" s="13"/>
      <c r="R927" s="13"/>
    </row>
    <row r="928" spans="15:18" ht="15.75" customHeight="1" x14ac:dyDescent="0.25">
      <c r="O928" s="13"/>
      <c r="P928" s="13"/>
      <c r="Q928" s="13"/>
      <c r="R928" s="13"/>
    </row>
    <row r="929" spans="15:18" ht="15.75" customHeight="1" x14ac:dyDescent="0.25">
      <c r="O929" s="13"/>
      <c r="P929" s="13"/>
      <c r="Q929" s="13"/>
      <c r="R929" s="13"/>
    </row>
    <row r="930" spans="15:18" ht="15.75" customHeight="1" x14ac:dyDescent="0.25">
      <c r="O930" s="13"/>
      <c r="P930" s="13"/>
      <c r="Q930" s="13"/>
      <c r="R930" s="13"/>
    </row>
    <row r="931" spans="15:18" ht="15.75" customHeight="1" x14ac:dyDescent="0.25">
      <c r="O931" s="13"/>
      <c r="P931" s="13"/>
      <c r="Q931" s="13"/>
      <c r="R931" s="13"/>
    </row>
    <row r="932" spans="15:18" ht="15.75" customHeight="1" x14ac:dyDescent="0.25">
      <c r="O932" s="13"/>
      <c r="P932" s="13"/>
      <c r="Q932" s="13"/>
      <c r="R932" s="13"/>
    </row>
    <row r="933" spans="15:18" ht="15.75" customHeight="1" x14ac:dyDescent="0.25">
      <c r="O933" s="13"/>
      <c r="P933" s="13"/>
      <c r="Q933" s="13"/>
      <c r="R933" s="13"/>
    </row>
    <row r="934" spans="15:18" ht="15.75" customHeight="1" x14ac:dyDescent="0.25">
      <c r="O934" s="13"/>
      <c r="P934" s="13"/>
      <c r="Q934" s="13"/>
      <c r="R934" s="13"/>
    </row>
    <row r="935" spans="15:18" ht="15.75" customHeight="1" x14ac:dyDescent="0.25">
      <c r="O935" s="13"/>
      <c r="P935" s="13"/>
      <c r="Q935" s="13"/>
      <c r="R935" s="13"/>
    </row>
    <row r="936" spans="15:18" ht="15.75" customHeight="1" x14ac:dyDescent="0.25">
      <c r="O936" s="13"/>
      <c r="P936" s="13"/>
      <c r="Q936" s="13"/>
      <c r="R936" s="13"/>
    </row>
    <row r="937" spans="15:18" ht="15.75" customHeight="1" x14ac:dyDescent="0.25">
      <c r="O937" s="13"/>
      <c r="P937" s="13"/>
      <c r="Q937" s="13"/>
      <c r="R937" s="13"/>
    </row>
    <row r="938" spans="15:18" ht="15.75" customHeight="1" x14ac:dyDescent="0.25">
      <c r="O938" s="13"/>
      <c r="P938" s="13"/>
      <c r="Q938" s="13"/>
      <c r="R938" s="13"/>
    </row>
    <row r="939" spans="15:18" ht="15.75" customHeight="1" x14ac:dyDescent="0.25">
      <c r="O939" s="13"/>
      <c r="P939" s="13"/>
      <c r="Q939" s="13"/>
      <c r="R939" s="13"/>
    </row>
    <row r="940" spans="15:18" ht="15.75" customHeight="1" x14ac:dyDescent="0.25">
      <c r="O940" s="13"/>
      <c r="P940" s="13"/>
      <c r="Q940" s="13"/>
      <c r="R940" s="13"/>
    </row>
    <row r="941" spans="15:18" ht="15.75" customHeight="1" x14ac:dyDescent="0.25">
      <c r="O941" s="13"/>
      <c r="P941" s="13"/>
      <c r="Q941" s="13"/>
      <c r="R941" s="13"/>
    </row>
    <row r="942" spans="15:18" ht="15.75" customHeight="1" x14ac:dyDescent="0.25">
      <c r="O942" s="13"/>
      <c r="P942" s="13"/>
      <c r="Q942" s="13"/>
      <c r="R942" s="13"/>
    </row>
    <row r="943" spans="15:18" ht="15.75" customHeight="1" x14ac:dyDescent="0.25">
      <c r="O943" s="13"/>
      <c r="P943" s="13"/>
      <c r="Q943" s="13"/>
      <c r="R943" s="13"/>
    </row>
    <row r="944" spans="15:18" ht="15.75" customHeight="1" x14ac:dyDescent="0.25">
      <c r="O944" s="13"/>
      <c r="P944" s="13"/>
      <c r="Q944" s="13"/>
      <c r="R944" s="13"/>
    </row>
    <row r="945" spans="15:18" ht="15.75" customHeight="1" x14ac:dyDescent="0.25">
      <c r="O945" s="13"/>
      <c r="P945" s="13"/>
      <c r="Q945" s="13"/>
      <c r="R945" s="13"/>
    </row>
    <row r="946" spans="15:18" ht="15.75" customHeight="1" x14ac:dyDescent="0.25">
      <c r="O946" s="13"/>
      <c r="P946" s="13"/>
      <c r="Q946" s="13"/>
      <c r="R946" s="13"/>
    </row>
    <row r="947" spans="15:18" ht="15.75" customHeight="1" x14ac:dyDescent="0.25">
      <c r="O947" s="13"/>
      <c r="P947" s="13"/>
      <c r="Q947" s="13"/>
      <c r="R947" s="13"/>
    </row>
    <row r="948" spans="15:18" ht="15.75" customHeight="1" x14ac:dyDescent="0.25">
      <c r="O948" s="13"/>
      <c r="P948" s="13"/>
      <c r="Q948" s="13"/>
      <c r="R948" s="13"/>
    </row>
    <row r="949" spans="15:18" ht="15.75" customHeight="1" x14ac:dyDescent="0.25">
      <c r="O949" s="13"/>
      <c r="P949" s="13"/>
      <c r="Q949" s="13"/>
      <c r="R949" s="13"/>
    </row>
    <row r="950" spans="15:18" ht="15.75" customHeight="1" x14ac:dyDescent="0.25">
      <c r="O950" s="13"/>
      <c r="P950" s="13"/>
      <c r="Q950" s="13"/>
      <c r="R950" s="13"/>
    </row>
    <row r="951" spans="15:18" ht="15.75" customHeight="1" x14ac:dyDescent="0.25">
      <c r="O951" s="13"/>
      <c r="P951" s="13"/>
      <c r="Q951" s="13"/>
      <c r="R951" s="13"/>
    </row>
    <row r="952" spans="15:18" ht="15.75" customHeight="1" x14ac:dyDescent="0.25">
      <c r="O952" s="13"/>
      <c r="P952" s="13"/>
      <c r="Q952" s="13"/>
      <c r="R952" s="13"/>
    </row>
    <row r="953" spans="15:18" ht="15.75" customHeight="1" x14ac:dyDescent="0.25">
      <c r="O953" s="13"/>
      <c r="P953" s="13"/>
      <c r="Q953" s="13"/>
      <c r="R953" s="13"/>
    </row>
    <row r="954" spans="15:18" ht="15.75" customHeight="1" x14ac:dyDescent="0.25">
      <c r="O954" s="13"/>
      <c r="P954" s="13"/>
      <c r="Q954" s="13"/>
      <c r="R954" s="13"/>
    </row>
    <row r="955" spans="15:18" ht="15.75" customHeight="1" x14ac:dyDescent="0.25">
      <c r="O955" s="13"/>
      <c r="P955" s="13"/>
      <c r="Q955" s="13"/>
      <c r="R955" s="13"/>
    </row>
    <row r="956" spans="15:18" ht="15.75" customHeight="1" x14ac:dyDescent="0.25">
      <c r="O956" s="13"/>
      <c r="P956" s="13"/>
      <c r="Q956" s="13"/>
      <c r="R956" s="13"/>
    </row>
    <row r="957" spans="15:18" ht="15.75" customHeight="1" x14ac:dyDescent="0.25">
      <c r="O957" s="13"/>
      <c r="P957" s="13"/>
      <c r="Q957" s="13"/>
      <c r="R957" s="13"/>
    </row>
    <row r="958" spans="15:18" ht="15.75" customHeight="1" x14ac:dyDescent="0.25">
      <c r="O958" s="13"/>
      <c r="P958" s="13"/>
      <c r="Q958" s="13"/>
      <c r="R958" s="13"/>
    </row>
    <row r="959" spans="15:18" ht="15.75" customHeight="1" x14ac:dyDescent="0.25">
      <c r="O959" s="13"/>
      <c r="P959" s="13"/>
      <c r="Q959" s="13"/>
      <c r="R959" s="13"/>
    </row>
    <row r="960" spans="15:18" ht="15.75" customHeight="1" x14ac:dyDescent="0.25">
      <c r="O960" s="13"/>
      <c r="P960" s="13"/>
      <c r="Q960" s="13"/>
      <c r="R960" s="13"/>
    </row>
    <row r="961" spans="15:18" ht="15.75" customHeight="1" x14ac:dyDescent="0.25">
      <c r="O961" s="13"/>
      <c r="P961" s="13"/>
      <c r="Q961" s="13"/>
      <c r="R961" s="13"/>
    </row>
    <row r="962" spans="15:18" ht="15.75" customHeight="1" x14ac:dyDescent="0.25">
      <c r="O962" s="13"/>
      <c r="P962" s="13"/>
      <c r="Q962" s="13"/>
      <c r="R962" s="13"/>
    </row>
    <row r="963" spans="15:18" ht="15.75" customHeight="1" x14ac:dyDescent="0.25">
      <c r="O963" s="13"/>
      <c r="P963" s="13"/>
      <c r="Q963" s="13"/>
      <c r="R963" s="13"/>
    </row>
    <row r="964" spans="15:18" ht="15.75" customHeight="1" x14ac:dyDescent="0.25">
      <c r="O964" s="13"/>
      <c r="P964" s="13"/>
      <c r="Q964" s="13"/>
      <c r="R964" s="13"/>
    </row>
    <row r="965" spans="15:18" ht="15.75" customHeight="1" x14ac:dyDescent="0.25">
      <c r="O965" s="13"/>
      <c r="P965" s="13"/>
      <c r="Q965" s="13"/>
      <c r="R965" s="13"/>
    </row>
    <row r="966" spans="15:18" ht="15.75" customHeight="1" x14ac:dyDescent="0.25">
      <c r="O966" s="13"/>
      <c r="P966" s="13"/>
      <c r="Q966" s="13"/>
      <c r="R966" s="13"/>
    </row>
    <row r="967" spans="15:18" ht="15.75" customHeight="1" x14ac:dyDescent="0.25">
      <c r="O967" s="13"/>
      <c r="P967" s="13"/>
      <c r="Q967" s="13"/>
      <c r="R967" s="13"/>
    </row>
    <row r="968" spans="15:18" ht="15.75" customHeight="1" x14ac:dyDescent="0.25">
      <c r="O968" s="13"/>
      <c r="P968" s="13"/>
      <c r="Q968" s="13"/>
      <c r="R968" s="13"/>
    </row>
    <row r="969" spans="15:18" ht="15.75" customHeight="1" x14ac:dyDescent="0.25">
      <c r="O969" s="13"/>
      <c r="P969" s="13"/>
      <c r="Q969" s="13"/>
      <c r="R969" s="13"/>
    </row>
    <row r="970" spans="15:18" ht="15.75" customHeight="1" x14ac:dyDescent="0.25">
      <c r="O970" s="13"/>
      <c r="P970" s="13"/>
      <c r="Q970" s="13"/>
      <c r="R970" s="13"/>
    </row>
    <row r="971" spans="15:18" ht="15.75" customHeight="1" x14ac:dyDescent="0.25">
      <c r="O971" s="13"/>
      <c r="P971" s="13"/>
      <c r="Q971" s="13"/>
      <c r="R971" s="13"/>
    </row>
    <row r="972" spans="15:18" ht="15.75" customHeight="1" x14ac:dyDescent="0.25">
      <c r="O972" s="13"/>
      <c r="P972" s="13"/>
      <c r="Q972" s="13"/>
      <c r="R972" s="13"/>
    </row>
    <row r="973" spans="15:18" ht="15.75" customHeight="1" x14ac:dyDescent="0.25">
      <c r="O973" s="13"/>
      <c r="P973" s="13"/>
      <c r="Q973" s="13"/>
      <c r="R973" s="13"/>
    </row>
    <row r="974" spans="15:18" ht="15.75" customHeight="1" x14ac:dyDescent="0.25">
      <c r="O974" s="13"/>
      <c r="P974" s="13"/>
      <c r="Q974" s="13"/>
      <c r="R974" s="13"/>
    </row>
    <row r="975" spans="15:18" ht="15.75" customHeight="1" x14ac:dyDescent="0.25">
      <c r="O975" s="13"/>
      <c r="P975" s="13"/>
      <c r="Q975" s="13"/>
      <c r="R975" s="13"/>
    </row>
    <row r="976" spans="15:18" ht="15.75" customHeight="1" x14ac:dyDescent="0.25">
      <c r="O976" s="13"/>
      <c r="P976" s="13"/>
      <c r="Q976" s="13"/>
      <c r="R976" s="13"/>
    </row>
    <row r="977" spans="15:18" ht="15.75" customHeight="1" x14ac:dyDescent="0.25">
      <c r="O977" s="13"/>
      <c r="P977" s="13"/>
      <c r="Q977" s="13"/>
      <c r="R977" s="13"/>
    </row>
    <row r="978" spans="15:18" ht="15.75" customHeight="1" x14ac:dyDescent="0.25">
      <c r="O978" s="13"/>
      <c r="P978" s="13"/>
      <c r="Q978" s="13"/>
      <c r="R978" s="13"/>
    </row>
    <row r="979" spans="15:18" ht="15.75" customHeight="1" x14ac:dyDescent="0.25">
      <c r="O979" s="13"/>
      <c r="P979" s="13"/>
      <c r="Q979" s="13"/>
      <c r="R979" s="13"/>
    </row>
    <row r="980" spans="15:18" ht="15.75" customHeight="1" x14ac:dyDescent="0.25">
      <c r="O980" s="13"/>
      <c r="P980" s="13"/>
      <c r="Q980" s="13"/>
      <c r="R980" s="13"/>
    </row>
    <row r="981" spans="15:18" ht="15.75" customHeight="1" x14ac:dyDescent="0.25">
      <c r="O981" s="13"/>
      <c r="P981" s="13"/>
      <c r="Q981" s="13"/>
      <c r="R981" s="13"/>
    </row>
    <row r="982" spans="15:18" ht="15.75" customHeight="1" x14ac:dyDescent="0.25">
      <c r="O982" s="13"/>
      <c r="P982" s="13"/>
      <c r="Q982" s="13"/>
      <c r="R982" s="13"/>
    </row>
    <row r="983" spans="15:18" ht="15.75" customHeight="1" x14ac:dyDescent="0.25">
      <c r="O983" s="13"/>
      <c r="P983" s="13"/>
      <c r="Q983" s="13"/>
      <c r="R983" s="13"/>
    </row>
    <row r="984" spans="15:18" ht="15.75" customHeight="1" x14ac:dyDescent="0.25">
      <c r="O984" s="13"/>
      <c r="P984" s="13"/>
      <c r="Q984" s="13"/>
      <c r="R984" s="13"/>
    </row>
    <row r="985" spans="15:18" ht="15.75" customHeight="1" x14ac:dyDescent="0.25">
      <c r="O985" s="13"/>
      <c r="P985" s="13"/>
      <c r="Q985" s="13"/>
      <c r="R985" s="13"/>
    </row>
    <row r="986" spans="15:18" ht="15.75" customHeight="1" x14ac:dyDescent="0.25">
      <c r="O986" s="13"/>
      <c r="P986" s="13"/>
      <c r="Q986" s="13"/>
      <c r="R986" s="13"/>
    </row>
    <row r="987" spans="15:18" ht="15.75" customHeight="1" x14ac:dyDescent="0.25">
      <c r="O987" s="13"/>
      <c r="P987" s="13"/>
      <c r="Q987" s="13"/>
      <c r="R987" s="13"/>
    </row>
    <row r="988" spans="15:18" ht="15.75" customHeight="1" x14ac:dyDescent="0.25">
      <c r="O988" s="13"/>
      <c r="P988" s="13"/>
      <c r="Q988" s="13"/>
      <c r="R988" s="13"/>
    </row>
    <row r="989" spans="15:18" ht="15.75" customHeight="1" x14ac:dyDescent="0.25">
      <c r="O989" s="13"/>
      <c r="P989" s="13"/>
      <c r="Q989" s="13"/>
      <c r="R989" s="13"/>
    </row>
    <row r="990" spans="15:18" ht="15.75" customHeight="1" x14ac:dyDescent="0.25">
      <c r="O990" s="13"/>
      <c r="P990" s="13"/>
      <c r="Q990" s="13"/>
      <c r="R990" s="13"/>
    </row>
    <row r="991" spans="15:18" ht="15.75" customHeight="1" x14ac:dyDescent="0.25">
      <c r="O991" s="13"/>
      <c r="P991" s="13"/>
      <c r="Q991" s="13"/>
      <c r="R991" s="13"/>
    </row>
    <row r="992" spans="15:18" ht="15.75" customHeight="1" x14ac:dyDescent="0.25">
      <c r="O992" s="13"/>
      <c r="P992" s="13"/>
      <c r="Q992" s="13"/>
      <c r="R992" s="13"/>
    </row>
    <row r="993" spans="15:18" ht="15.75" customHeight="1" x14ac:dyDescent="0.25">
      <c r="O993" s="13"/>
      <c r="P993" s="13"/>
      <c r="Q993" s="13"/>
      <c r="R993" s="13"/>
    </row>
    <row r="994" spans="15:18" ht="15.75" customHeight="1" x14ac:dyDescent="0.25">
      <c r="O994" s="13"/>
      <c r="P994" s="13"/>
      <c r="Q994" s="13"/>
      <c r="R994" s="13"/>
    </row>
    <row r="995" spans="15:18" ht="15.75" customHeight="1" x14ac:dyDescent="0.25">
      <c r="O995" s="13"/>
      <c r="P995" s="13"/>
      <c r="Q995" s="13"/>
      <c r="R995" s="13"/>
    </row>
    <row r="996" spans="15:18" ht="15.75" customHeight="1" x14ac:dyDescent="0.25">
      <c r="O996" s="13"/>
      <c r="P996" s="13"/>
      <c r="Q996" s="13"/>
      <c r="R996" s="13"/>
    </row>
    <row r="997" spans="15:18" ht="15.75" customHeight="1" x14ac:dyDescent="0.25">
      <c r="O997" s="13"/>
      <c r="P997" s="13"/>
      <c r="Q997" s="13"/>
      <c r="R997" s="13"/>
    </row>
    <row r="998" spans="15:18" ht="15.75" customHeight="1" x14ac:dyDescent="0.25">
      <c r="O998" s="13"/>
      <c r="P998" s="13"/>
      <c r="Q998" s="13"/>
      <c r="R998" s="13"/>
    </row>
    <row r="999" spans="15:18" ht="15.75" customHeight="1" x14ac:dyDescent="0.25">
      <c r="O999" s="13"/>
      <c r="P999" s="13"/>
      <c r="Q999" s="13"/>
      <c r="R999" s="13"/>
    </row>
    <row r="1000" spans="15:18" ht="15.75" customHeight="1" x14ac:dyDescent="0.25">
      <c r="O1000" s="13"/>
      <c r="P1000" s="13"/>
      <c r="Q1000" s="13"/>
      <c r="R1000" s="13"/>
    </row>
  </sheetData>
  <mergeCells count="22">
    <mergeCell ref="J9:M9"/>
    <mergeCell ref="P9:Q9"/>
    <mergeCell ref="P11:Q11"/>
    <mergeCell ref="P16:R16"/>
    <mergeCell ref="P20:Q20"/>
    <mergeCell ref="R20:T20"/>
    <mergeCell ref="Y20:Z20"/>
    <mergeCell ref="AD20:AE20"/>
    <mergeCell ref="AF20:AG20"/>
    <mergeCell ref="P24:R24"/>
    <mergeCell ref="P28:Q28"/>
    <mergeCell ref="R28:T28"/>
    <mergeCell ref="V20:W20"/>
    <mergeCell ref="AD5:AG5"/>
    <mergeCell ref="AI5:AL5"/>
    <mergeCell ref="D3:H3"/>
    <mergeCell ref="J3:AC3"/>
    <mergeCell ref="D5:H5"/>
    <mergeCell ref="J5:M5"/>
    <mergeCell ref="O5:R5"/>
    <mergeCell ref="T5:W5"/>
    <mergeCell ref="Y5:AB5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F1000"/>
  <sheetViews>
    <sheetView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10" defaultColWidth="14.42578125" defaultRowHeight="15" customHeight="1" x14ac:dyDescent="0.25"/>
  <cols>
    <col min="1" max="1" width="2.140625" customWidth="1"/>
    <col min="2" max="2" width="24.85546875" customWidth="1"/>
    <col min="3" max="3" width="1.28515625" customWidth="1"/>
    <col min="4" max="4" width="24.7109375" customWidth="1"/>
    <col min="5" max="5" width="1.28515625" customWidth="1"/>
    <col min="6" max="6" width="33.28515625" customWidth="1"/>
    <col min="7" max="7" width="3.140625" customWidth="1"/>
    <col min="8" max="9" width="43" customWidth="1"/>
    <col min="10" max="10" width="2.28515625" customWidth="1"/>
    <col min="11" max="12" width="43" customWidth="1"/>
    <col min="13" max="13" width="2.28515625" customWidth="1"/>
    <col min="14" max="15" width="60.7109375" customWidth="1"/>
    <col min="16" max="16" width="2" customWidth="1"/>
    <col min="17" max="18" width="60.7109375" customWidth="1"/>
    <col min="19" max="19" width="2" customWidth="1"/>
    <col min="20" max="21" width="60.7109375" customWidth="1"/>
    <col min="22" max="22" width="2" customWidth="1"/>
    <col min="23" max="24" width="60.7109375" customWidth="1"/>
    <col min="25" max="25" width="2" customWidth="1"/>
    <col min="26" max="27" width="60.7109375" customWidth="1"/>
    <col min="28" max="28" width="2" customWidth="1"/>
    <col min="29" max="30" width="60.7109375" customWidth="1"/>
    <col min="31" max="31" width="2" customWidth="1"/>
    <col min="32" max="33" width="60.7109375" customWidth="1"/>
    <col min="34" max="34" width="2" customWidth="1"/>
    <col min="35" max="36" width="60.7109375" customWidth="1"/>
    <col min="37" max="37" width="2" customWidth="1"/>
    <col min="38" max="39" width="60.7109375" customWidth="1"/>
    <col min="40" max="40" width="2" customWidth="1"/>
    <col min="41" max="42" width="60.7109375" customWidth="1"/>
    <col min="43" max="43" width="2" customWidth="1"/>
    <col min="44" max="45" width="60.7109375" customWidth="1"/>
    <col min="46" max="46" width="2" customWidth="1"/>
    <col min="47" max="48" width="60.7109375" customWidth="1"/>
    <col min="49" max="49" width="2" customWidth="1"/>
    <col min="50" max="51" width="60.7109375" customWidth="1"/>
    <col min="52" max="52" width="2" customWidth="1"/>
    <col min="53" max="54" width="60.7109375" customWidth="1"/>
    <col min="55" max="55" width="2" customWidth="1"/>
    <col min="56" max="57" width="60.7109375" customWidth="1"/>
    <col min="58" max="58" width="2" customWidth="1"/>
    <col min="59" max="60" width="60.7109375" customWidth="1"/>
    <col min="61" max="61" width="2" customWidth="1"/>
    <col min="62" max="63" width="60.7109375" customWidth="1"/>
    <col min="64" max="64" width="2" customWidth="1"/>
    <col min="65" max="66" width="60.7109375" customWidth="1"/>
    <col min="67" max="67" width="2" customWidth="1"/>
    <col min="68" max="69" width="60.7109375" customWidth="1"/>
    <col min="70" max="70" width="2" customWidth="1"/>
    <col min="71" max="72" width="60.7109375" customWidth="1"/>
    <col min="73" max="73" width="2" customWidth="1"/>
    <col min="74" max="75" width="60.7109375" customWidth="1"/>
    <col min="76" max="76" width="2" customWidth="1"/>
    <col min="77" max="78" width="60.7109375" customWidth="1"/>
    <col min="79" max="79" width="2" customWidth="1"/>
    <col min="80" max="81" width="60.7109375" customWidth="1"/>
    <col min="82" max="82" width="2" customWidth="1"/>
    <col min="83" max="84" width="60.7109375" customWidth="1"/>
  </cols>
  <sheetData>
    <row r="1" spans="2:84" ht="14.25" customHeight="1" x14ac:dyDescent="0.25">
      <c r="H1" s="49"/>
      <c r="I1" s="49"/>
      <c r="K1" s="49"/>
      <c r="L1" s="49"/>
    </row>
    <row r="2" spans="2:84" ht="14.25" customHeight="1" x14ac:dyDescent="0.25">
      <c r="H2" s="49"/>
      <c r="I2" s="49"/>
      <c r="K2" s="49"/>
      <c r="L2" s="49"/>
    </row>
    <row r="3" spans="2:84" ht="49.5" customHeight="1" x14ac:dyDescent="0.25">
      <c r="H3" s="619">
        <v>2024</v>
      </c>
      <c r="I3" s="568"/>
      <c r="J3" s="568"/>
      <c r="K3" s="568"/>
      <c r="L3" s="569"/>
      <c r="N3" s="668">
        <v>2025</v>
      </c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  <c r="AM3" s="568"/>
      <c r="AN3" s="568"/>
      <c r="AO3" s="568"/>
      <c r="AP3" s="568"/>
      <c r="AQ3" s="568"/>
      <c r="AR3" s="568"/>
      <c r="AS3" s="568"/>
      <c r="AT3" s="568"/>
      <c r="AU3" s="568"/>
      <c r="AV3" s="570"/>
      <c r="AX3" s="668">
        <v>2026</v>
      </c>
      <c r="AY3" s="568"/>
      <c r="AZ3" s="568"/>
      <c r="BA3" s="568"/>
      <c r="BB3" s="568"/>
      <c r="BC3" s="568"/>
      <c r="BD3" s="568"/>
      <c r="BE3" s="568"/>
      <c r="BF3" s="568"/>
      <c r="BG3" s="568"/>
      <c r="BH3" s="568"/>
      <c r="BI3" s="568"/>
      <c r="BJ3" s="568"/>
      <c r="BK3" s="568"/>
      <c r="BL3" s="568"/>
      <c r="BM3" s="568"/>
      <c r="BN3" s="568"/>
      <c r="BO3" s="568"/>
      <c r="BP3" s="568"/>
      <c r="BQ3" s="568"/>
      <c r="BR3" s="568"/>
      <c r="BS3" s="568"/>
      <c r="BT3" s="568"/>
      <c r="BU3" s="568"/>
      <c r="BV3" s="568"/>
      <c r="BW3" s="568"/>
      <c r="BX3" s="568"/>
      <c r="BY3" s="568"/>
      <c r="BZ3" s="568"/>
      <c r="CA3" s="568"/>
      <c r="CB3" s="568"/>
      <c r="CC3" s="568"/>
      <c r="CD3" s="568"/>
      <c r="CE3" s="568"/>
      <c r="CF3" s="570"/>
    </row>
    <row r="4" spans="2:84" ht="6" customHeight="1" x14ac:dyDescent="0.25">
      <c r="H4" s="49"/>
      <c r="I4" s="49"/>
      <c r="K4" s="49"/>
      <c r="L4" s="49"/>
    </row>
    <row r="5" spans="2:84" ht="57.75" customHeight="1" x14ac:dyDescent="0.25">
      <c r="B5" s="11" t="s">
        <v>28</v>
      </c>
      <c r="C5" s="52"/>
      <c r="D5" s="11" t="s">
        <v>532</v>
      </c>
      <c r="E5" s="52"/>
      <c r="F5" s="11" t="s">
        <v>533</v>
      </c>
      <c r="G5" s="52"/>
      <c r="H5" s="622" t="s">
        <v>93</v>
      </c>
      <c r="I5" s="582"/>
      <c r="J5" s="582"/>
      <c r="K5" s="582"/>
      <c r="L5" s="572"/>
      <c r="N5" s="575" t="s">
        <v>56</v>
      </c>
      <c r="O5" s="569"/>
      <c r="Q5" s="575" t="s">
        <v>57</v>
      </c>
      <c r="R5" s="569"/>
      <c r="T5" s="575" t="s">
        <v>58</v>
      </c>
      <c r="U5" s="569"/>
      <c r="W5" s="575" t="s">
        <v>59</v>
      </c>
      <c r="X5" s="569"/>
      <c r="Z5" s="575" t="s">
        <v>1</v>
      </c>
      <c r="AA5" s="569"/>
      <c r="AC5" s="575" t="s">
        <v>19</v>
      </c>
      <c r="AD5" s="569"/>
      <c r="AF5" s="575" t="s">
        <v>25</v>
      </c>
      <c r="AG5" s="569"/>
      <c r="AI5" s="575" t="s">
        <v>26</v>
      </c>
      <c r="AJ5" s="569"/>
      <c r="AL5" s="575" t="s">
        <v>27</v>
      </c>
      <c r="AM5" s="569"/>
      <c r="AO5" s="575" t="s">
        <v>54</v>
      </c>
      <c r="AP5" s="569"/>
      <c r="AR5" s="575" t="s">
        <v>60</v>
      </c>
      <c r="AS5" s="569"/>
      <c r="AU5" s="575" t="s">
        <v>55</v>
      </c>
      <c r="AV5" s="569"/>
      <c r="AX5" s="575" t="s">
        <v>534</v>
      </c>
      <c r="AY5" s="569"/>
      <c r="BA5" s="575" t="s">
        <v>535</v>
      </c>
      <c r="BB5" s="569"/>
      <c r="BD5" s="575" t="s">
        <v>58</v>
      </c>
      <c r="BE5" s="569"/>
      <c r="BG5" s="575" t="s">
        <v>59</v>
      </c>
      <c r="BH5" s="569"/>
      <c r="BJ5" s="575" t="s">
        <v>1</v>
      </c>
      <c r="BK5" s="569"/>
      <c r="BM5" s="575" t="s">
        <v>19</v>
      </c>
      <c r="BN5" s="569"/>
      <c r="BP5" s="575" t="s">
        <v>25</v>
      </c>
      <c r="BQ5" s="569"/>
      <c r="BS5" s="575" t="s">
        <v>26</v>
      </c>
      <c r="BT5" s="569"/>
      <c r="BV5" s="575" t="s">
        <v>27</v>
      </c>
      <c r="BW5" s="569"/>
      <c r="BY5" s="575" t="s">
        <v>54</v>
      </c>
      <c r="BZ5" s="569"/>
      <c r="CB5" s="575" t="s">
        <v>60</v>
      </c>
      <c r="CC5" s="569"/>
      <c r="CE5" s="575" t="s">
        <v>55</v>
      </c>
      <c r="CF5" s="569"/>
    </row>
    <row r="6" spans="2:84" ht="6.75" customHeight="1" x14ac:dyDescent="0.25">
      <c r="B6" s="5"/>
      <c r="F6" s="5"/>
      <c r="H6" s="49"/>
      <c r="I6" s="49"/>
      <c r="K6" s="49"/>
      <c r="L6" s="49"/>
    </row>
    <row r="7" spans="2:84" ht="23.25" customHeight="1" x14ac:dyDescent="0.25">
      <c r="B7" s="5"/>
      <c r="F7" s="5"/>
      <c r="H7" s="167" t="s">
        <v>198</v>
      </c>
      <c r="I7" s="167" t="s">
        <v>199</v>
      </c>
      <c r="K7" s="167" t="s">
        <v>200</v>
      </c>
      <c r="L7" s="167" t="s">
        <v>201</v>
      </c>
      <c r="N7" s="12" t="s">
        <v>61</v>
      </c>
      <c r="O7" s="12" t="s">
        <v>62</v>
      </c>
      <c r="Q7" s="12" t="s">
        <v>61</v>
      </c>
      <c r="R7" s="12" t="s">
        <v>62</v>
      </c>
      <c r="T7" s="12" t="s">
        <v>61</v>
      </c>
      <c r="U7" s="12" t="s">
        <v>62</v>
      </c>
      <c r="W7" s="12" t="s">
        <v>61</v>
      </c>
      <c r="X7" s="12" t="s">
        <v>62</v>
      </c>
      <c r="Z7" s="12" t="s">
        <v>61</v>
      </c>
      <c r="AA7" s="12" t="s">
        <v>62</v>
      </c>
      <c r="AC7" s="12" t="s">
        <v>61</v>
      </c>
      <c r="AD7" s="12" t="s">
        <v>62</v>
      </c>
      <c r="AF7" s="12" t="s">
        <v>61</v>
      </c>
      <c r="AG7" s="12" t="s">
        <v>62</v>
      </c>
      <c r="AI7" s="12" t="s">
        <v>61</v>
      </c>
      <c r="AJ7" s="12" t="s">
        <v>62</v>
      </c>
      <c r="AL7" s="12" t="s">
        <v>61</v>
      </c>
      <c r="AM7" s="12" t="s">
        <v>62</v>
      </c>
      <c r="AO7" s="12" t="s">
        <v>61</v>
      </c>
      <c r="AP7" s="12" t="s">
        <v>62</v>
      </c>
      <c r="AR7" s="12" t="s">
        <v>61</v>
      </c>
      <c r="AS7" s="12" t="s">
        <v>62</v>
      </c>
      <c r="AU7" s="12" t="s">
        <v>61</v>
      </c>
      <c r="AV7" s="12" t="s">
        <v>62</v>
      </c>
      <c r="AX7" s="12" t="s">
        <v>61</v>
      </c>
      <c r="AY7" s="12" t="s">
        <v>62</v>
      </c>
      <c r="BA7" s="12" t="s">
        <v>61</v>
      </c>
      <c r="BB7" s="12" t="s">
        <v>62</v>
      </c>
      <c r="BD7" s="12" t="s">
        <v>61</v>
      </c>
      <c r="BE7" s="12" t="s">
        <v>62</v>
      </c>
      <c r="BG7" s="12" t="s">
        <v>61</v>
      </c>
      <c r="BH7" s="12" t="s">
        <v>62</v>
      </c>
    </row>
    <row r="8" spans="2:84" ht="27" customHeight="1" x14ac:dyDescent="0.25">
      <c r="B8" s="5"/>
      <c r="F8" s="5"/>
      <c r="H8" s="49"/>
      <c r="I8" s="49"/>
      <c r="K8" s="49"/>
      <c r="L8" s="49"/>
    </row>
    <row r="9" spans="2:84" ht="18" customHeight="1" x14ac:dyDescent="0.25">
      <c r="B9" s="5"/>
      <c r="F9" s="5"/>
      <c r="H9" s="847" t="s">
        <v>630</v>
      </c>
      <c r="I9" s="568"/>
      <c r="J9" s="568"/>
      <c r="K9" s="568"/>
      <c r="L9" s="569"/>
      <c r="N9" s="848" t="s">
        <v>630</v>
      </c>
      <c r="O9" s="569"/>
      <c r="Q9" s="848" t="s">
        <v>630</v>
      </c>
      <c r="R9" s="569"/>
      <c r="T9" s="848" t="s">
        <v>630</v>
      </c>
      <c r="U9" s="569"/>
      <c r="W9" s="848" t="s">
        <v>630</v>
      </c>
      <c r="X9" s="569"/>
      <c r="Z9" s="848" t="s">
        <v>630</v>
      </c>
      <c r="AA9" s="569"/>
      <c r="AC9" s="848" t="s">
        <v>630</v>
      </c>
      <c r="AD9" s="569"/>
      <c r="AF9" s="848" t="s">
        <v>630</v>
      </c>
      <c r="AG9" s="569"/>
      <c r="AI9" s="848" t="s">
        <v>630</v>
      </c>
      <c r="AJ9" s="569"/>
      <c r="AL9" s="848" t="s">
        <v>630</v>
      </c>
      <c r="AM9" s="569"/>
      <c r="AO9" s="848" t="s">
        <v>630</v>
      </c>
      <c r="AP9" s="569"/>
      <c r="AR9" s="849" t="s">
        <v>630</v>
      </c>
      <c r="AS9" s="775"/>
      <c r="AU9" s="849" t="s">
        <v>630</v>
      </c>
      <c r="AV9" s="775"/>
      <c r="AX9" s="849" t="s">
        <v>630</v>
      </c>
      <c r="AY9" s="775"/>
      <c r="BA9" s="849" t="s">
        <v>630</v>
      </c>
      <c r="BB9" s="775"/>
      <c r="BD9" s="849" t="s">
        <v>630</v>
      </c>
      <c r="BE9" s="775"/>
      <c r="BG9" s="849" t="s">
        <v>630</v>
      </c>
      <c r="BH9" s="775"/>
      <c r="BJ9" s="848" t="s">
        <v>630</v>
      </c>
      <c r="BK9" s="569"/>
      <c r="BM9" s="848" t="s">
        <v>630</v>
      </c>
      <c r="BN9" s="569"/>
      <c r="BP9" s="848" t="s">
        <v>630</v>
      </c>
      <c r="BQ9" s="569"/>
      <c r="BS9" s="848" t="s">
        <v>630</v>
      </c>
      <c r="BT9" s="569"/>
      <c r="BV9" s="848" t="s">
        <v>630</v>
      </c>
      <c r="BW9" s="569"/>
      <c r="BY9" s="848" t="s">
        <v>630</v>
      </c>
      <c r="BZ9" s="569"/>
    </row>
    <row r="10" spans="2:84" ht="24" customHeight="1" x14ac:dyDescent="0.25">
      <c r="B10" s="5"/>
      <c r="D10" s="5"/>
      <c r="F10" s="5"/>
      <c r="G10" s="5"/>
      <c r="H10" s="854" t="s">
        <v>631</v>
      </c>
      <c r="I10" s="718"/>
      <c r="J10" s="5"/>
      <c r="K10" s="358" t="s">
        <v>632</v>
      </c>
      <c r="L10" s="358" t="s">
        <v>633</v>
      </c>
      <c r="M10" s="5"/>
      <c r="N10" s="392" t="s">
        <v>634</v>
      </c>
      <c r="O10" s="392" t="s">
        <v>634</v>
      </c>
      <c r="P10" s="5"/>
      <c r="Q10" s="358" t="s">
        <v>635</v>
      </c>
      <c r="R10" s="358" t="s">
        <v>635</v>
      </c>
      <c r="S10" s="5"/>
      <c r="T10" s="358" t="s">
        <v>635</v>
      </c>
      <c r="U10" s="358" t="s">
        <v>635</v>
      </c>
      <c r="V10" s="5"/>
      <c r="W10" s="358" t="s">
        <v>635</v>
      </c>
      <c r="X10" s="358" t="s">
        <v>635</v>
      </c>
      <c r="Y10" s="5"/>
      <c r="Z10" s="358" t="s">
        <v>635</v>
      </c>
      <c r="AA10" s="358" t="s">
        <v>635</v>
      </c>
      <c r="AB10" s="5"/>
      <c r="AC10" s="358" t="s">
        <v>635</v>
      </c>
      <c r="AD10" s="358" t="s">
        <v>635</v>
      </c>
      <c r="AE10" s="5"/>
      <c r="AF10" s="358" t="s">
        <v>635</v>
      </c>
      <c r="AG10" s="358" t="s">
        <v>635</v>
      </c>
      <c r="AH10" s="5"/>
      <c r="AI10" s="358" t="s">
        <v>635</v>
      </c>
      <c r="AJ10" s="358" t="s">
        <v>635</v>
      </c>
      <c r="AK10" s="5"/>
      <c r="AL10" s="358" t="s">
        <v>635</v>
      </c>
      <c r="AM10" s="358" t="s">
        <v>635</v>
      </c>
      <c r="AN10" s="5"/>
      <c r="AO10" s="358" t="s">
        <v>635</v>
      </c>
      <c r="AP10" s="358" t="s">
        <v>635</v>
      </c>
      <c r="AQ10" s="5"/>
      <c r="AR10" s="850" t="s">
        <v>635</v>
      </c>
      <c r="AS10" s="572"/>
      <c r="AT10" s="5"/>
      <c r="AU10" s="850" t="s">
        <v>635</v>
      </c>
      <c r="AV10" s="572"/>
      <c r="AW10" s="5"/>
      <c r="AX10" s="850" t="s">
        <v>635</v>
      </c>
      <c r="AY10" s="572"/>
      <c r="AZ10" s="5"/>
      <c r="BA10" s="850" t="s">
        <v>635</v>
      </c>
      <c r="BB10" s="572"/>
      <c r="BC10" s="5"/>
      <c r="BD10" s="850" t="s">
        <v>635</v>
      </c>
      <c r="BE10" s="572"/>
      <c r="BF10" s="5"/>
      <c r="BG10" s="850" t="s">
        <v>635</v>
      </c>
      <c r="BH10" s="572"/>
      <c r="BI10" s="5"/>
      <c r="BJ10" s="358" t="s">
        <v>635</v>
      </c>
      <c r="BK10" s="358" t="s">
        <v>635</v>
      </c>
      <c r="BL10" s="5"/>
      <c r="BM10" s="358" t="s">
        <v>635</v>
      </c>
      <c r="BN10" s="358" t="s">
        <v>635</v>
      </c>
      <c r="BO10" s="5"/>
      <c r="BP10" s="358" t="s">
        <v>635</v>
      </c>
      <c r="BQ10" s="358" t="s">
        <v>635</v>
      </c>
      <c r="BR10" s="5"/>
      <c r="BS10" s="358" t="s">
        <v>635</v>
      </c>
      <c r="BT10" s="358" t="s">
        <v>635</v>
      </c>
      <c r="BU10" s="5"/>
      <c r="BV10" s="358" t="s">
        <v>635</v>
      </c>
      <c r="BW10" s="358" t="s">
        <v>635</v>
      </c>
      <c r="BX10" s="5"/>
      <c r="BY10" s="358" t="s">
        <v>635</v>
      </c>
      <c r="BZ10" s="358" t="s">
        <v>635</v>
      </c>
      <c r="CA10" s="5"/>
      <c r="CD10" s="5"/>
    </row>
    <row r="11" spans="2:84" ht="6.75" customHeight="1" x14ac:dyDescent="0.25">
      <c r="B11" s="5"/>
      <c r="F11" s="5"/>
      <c r="H11" s="49"/>
      <c r="I11" s="49"/>
      <c r="K11" s="49"/>
      <c r="L11" s="5"/>
    </row>
    <row r="12" spans="2:84" ht="48" customHeight="1" x14ac:dyDescent="0.25">
      <c r="B12" s="852" t="s">
        <v>636</v>
      </c>
      <c r="H12" s="843" t="s">
        <v>637</v>
      </c>
      <c r="I12" s="572"/>
      <c r="K12" s="843" t="s">
        <v>638</v>
      </c>
      <c r="L12" s="582"/>
      <c r="M12" s="582"/>
      <c r="N12" s="572"/>
      <c r="O12" s="167" t="s">
        <v>639</v>
      </c>
      <c r="Q12" s="712" t="s">
        <v>640</v>
      </c>
      <c r="R12" s="572"/>
      <c r="T12" s="851" t="s">
        <v>641</v>
      </c>
      <c r="U12" s="568"/>
      <c r="V12" s="568"/>
      <c r="W12" s="568"/>
      <c r="X12" s="568"/>
      <c r="Y12" s="568"/>
      <c r="Z12" s="568"/>
      <c r="AA12" s="568"/>
      <c r="AB12" s="568"/>
      <c r="AC12" s="568"/>
      <c r="AD12" s="568"/>
      <c r="AE12" s="568"/>
      <c r="AF12" s="568"/>
      <c r="AG12" s="568"/>
      <c r="AH12" s="568"/>
      <c r="AI12" s="568"/>
      <c r="AJ12" s="569"/>
      <c r="AL12" s="853" t="s">
        <v>642</v>
      </c>
      <c r="AM12" s="572"/>
      <c r="AO12" s="853" t="s">
        <v>642</v>
      </c>
      <c r="AP12" s="572"/>
      <c r="AR12" s="843" t="s">
        <v>643</v>
      </c>
      <c r="AS12" s="572"/>
      <c r="AU12" s="843" t="s">
        <v>644</v>
      </c>
      <c r="AV12" s="572"/>
      <c r="AX12" s="843" t="s">
        <v>643</v>
      </c>
      <c r="AY12" s="572"/>
      <c r="BA12" s="843" t="s">
        <v>643</v>
      </c>
      <c r="BB12" s="572"/>
      <c r="BD12" s="843" t="s">
        <v>643</v>
      </c>
      <c r="BE12" s="572"/>
      <c r="BG12" s="843" t="s">
        <v>643</v>
      </c>
      <c r="BH12" s="572"/>
      <c r="BJ12" s="851" t="s">
        <v>645</v>
      </c>
      <c r="BK12" s="568"/>
      <c r="BL12" s="568"/>
      <c r="BM12" s="568"/>
      <c r="BN12" s="568"/>
      <c r="BO12" s="568"/>
      <c r="BP12" s="568"/>
      <c r="BQ12" s="568"/>
      <c r="BR12" s="568"/>
      <c r="BS12" s="568"/>
      <c r="BT12" s="568"/>
      <c r="BU12" s="568"/>
      <c r="BV12" s="568"/>
      <c r="BW12" s="568"/>
      <c r="BX12" s="568"/>
      <c r="BY12" s="568"/>
      <c r="BZ12" s="569"/>
    </row>
    <row r="13" spans="2:84" ht="6" customHeight="1" x14ac:dyDescent="0.25">
      <c r="B13" s="624"/>
      <c r="H13" s="5"/>
      <c r="I13" s="5"/>
      <c r="K13" s="5"/>
      <c r="L13" s="5"/>
    </row>
    <row r="14" spans="2:84" ht="18" customHeight="1" x14ac:dyDescent="0.25">
      <c r="B14" s="624"/>
      <c r="H14" s="853" t="s">
        <v>646</v>
      </c>
      <c r="I14" s="582"/>
      <c r="J14" s="582"/>
      <c r="K14" s="572"/>
      <c r="L14" s="5"/>
    </row>
    <row r="15" spans="2:84" ht="6" customHeight="1" x14ac:dyDescent="0.25">
      <c r="B15" s="624"/>
      <c r="H15" s="5"/>
      <c r="I15" s="5"/>
      <c r="K15" s="5"/>
      <c r="L15" s="5"/>
    </row>
    <row r="16" spans="2:84" ht="41.25" customHeight="1" x14ac:dyDescent="0.25">
      <c r="B16" s="593"/>
      <c r="H16" s="5"/>
      <c r="I16" s="5"/>
      <c r="K16" s="5"/>
      <c r="O16" s="3" t="s">
        <v>647</v>
      </c>
    </row>
    <row r="17" spans="1:82" ht="41.25" customHeight="1" x14ac:dyDescent="0.25">
      <c r="B17" s="393"/>
      <c r="H17" s="5"/>
      <c r="I17" s="5"/>
      <c r="K17" s="5"/>
      <c r="L17" s="5"/>
    </row>
    <row r="18" spans="1:82" ht="20.25" customHeight="1" x14ac:dyDescent="0.25">
      <c r="B18" s="394"/>
      <c r="H18" s="5"/>
      <c r="I18" s="5"/>
      <c r="K18" s="395" t="s">
        <v>96</v>
      </c>
      <c r="L18" s="395" t="s">
        <v>648</v>
      </c>
      <c r="N18" s="395"/>
      <c r="O18" s="395" t="s">
        <v>96</v>
      </c>
      <c r="R18" s="395" t="s">
        <v>96</v>
      </c>
      <c r="T18" s="395" t="s">
        <v>96</v>
      </c>
      <c r="U18" s="395" t="s">
        <v>96</v>
      </c>
    </row>
    <row r="19" spans="1:82" ht="6" customHeight="1" x14ac:dyDescent="0.25">
      <c r="B19" s="19"/>
      <c r="H19" s="5"/>
      <c r="I19" s="5"/>
      <c r="K19" s="5"/>
      <c r="L19" s="5"/>
    </row>
    <row r="20" spans="1:82" ht="41.25" customHeight="1" x14ac:dyDescent="0.25">
      <c r="A20" s="5"/>
      <c r="B20" s="5"/>
      <c r="C20" s="5"/>
      <c r="G20" s="5"/>
      <c r="H20" s="5"/>
      <c r="I20" s="5"/>
      <c r="K20" s="3" t="s">
        <v>649</v>
      </c>
      <c r="L20" s="3" t="s">
        <v>650</v>
      </c>
      <c r="N20" s="17"/>
      <c r="O20" s="168" t="s">
        <v>651</v>
      </c>
      <c r="R20" s="3" t="s">
        <v>652</v>
      </c>
      <c r="T20" s="3" t="s">
        <v>653</v>
      </c>
      <c r="U20" s="3" t="s">
        <v>653</v>
      </c>
    </row>
    <row r="21" spans="1:82" ht="13.5" customHeight="1" x14ac:dyDescent="0.25">
      <c r="H21" s="49"/>
      <c r="I21" s="49"/>
      <c r="K21" s="49"/>
      <c r="L21" s="5"/>
      <c r="O21" s="19" t="s">
        <v>94</v>
      </c>
    </row>
    <row r="22" spans="1:82" ht="21" customHeight="1" x14ac:dyDescent="0.25">
      <c r="H22" s="49"/>
      <c r="I22" s="49"/>
      <c r="K22" s="49"/>
      <c r="L22" s="5"/>
      <c r="N22" s="630" t="s">
        <v>95</v>
      </c>
      <c r="O22" s="572"/>
    </row>
    <row r="23" spans="1:82" ht="6" customHeight="1" x14ac:dyDescent="0.25">
      <c r="H23" s="5"/>
      <c r="I23" s="5"/>
      <c r="J23" s="5"/>
      <c r="K23" s="5"/>
      <c r="L23" s="5"/>
      <c r="M23" s="5"/>
      <c r="N23" s="5"/>
      <c r="O23" s="5"/>
      <c r="P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L23" s="5"/>
      <c r="BO23" s="5"/>
      <c r="BR23" s="5"/>
      <c r="BU23" s="5"/>
      <c r="BX23" s="5"/>
      <c r="CA23" s="5"/>
      <c r="CD23" s="5"/>
    </row>
    <row r="24" spans="1:82" ht="42" customHeight="1" x14ac:dyDescent="0.25">
      <c r="B24" s="773" t="s">
        <v>654</v>
      </c>
      <c r="H24" s="5"/>
      <c r="I24" s="5"/>
      <c r="J24" s="5"/>
      <c r="K24" s="5"/>
      <c r="L24" s="5"/>
      <c r="M24" s="5"/>
      <c r="N24" s="167" t="s">
        <v>98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L24" s="5"/>
      <c r="BO24" s="5"/>
      <c r="BR24" s="5"/>
      <c r="BU24" s="5"/>
      <c r="BX24" s="5"/>
      <c r="CA24" s="5"/>
      <c r="CD24" s="5"/>
    </row>
    <row r="25" spans="1:82" ht="6" customHeight="1" x14ac:dyDescent="0.25">
      <c r="B25" s="71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L25" s="5"/>
      <c r="BO25" s="5"/>
      <c r="BR25" s="5"/>
      <c r="BU25" s="5"/>
      <c r="BX25" s="5"/>
      <c r="CA25" s="5"/>
      <c r="CD25" s="5"/>
    </row>
    <row r="26" spans="1:82" ht="39.75" customHeight="1" x14ac:dyDescent="0.25">
      <c r="B26" s="678"/>
      <c r="H26" s="5"/>
      <c r="I26" s="5"/>
      <c r="J26" s="5"/>
      <c r="K26" s="5"/>
      <c r="L26" s="5"/>
      <c r="M26" s="5"/>
      <c r="N26" s="5"/>
      <c r="O26" s="3" t="s">
        <v>598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L26" s="5"/>
      <c r="BO26" s="5"/>
      <c r="BR26" s="5"/>
      <c r="BU26" s="5"/>
      <c r="BX26" s="5"/>
      <c r="CA26" s="5"/>
      <c r="CD26" s="5"/>
    </row>
    <row r="27" spans="1:82" ht="6" customHeight="1" x14ac:dyDescent="0.25">
      <c r="B27" s="19"/>
      <c r="H27" s="5"/>
      <c r="I27" s="5"/>
      <c r="K27" s="5"/>
      <c r="L27" s="5"/>
      <c r="Q27" s="5"/>
      <c r="AI27" s="5"/>
      <c r="AJ27" s="5"/>
    </row>
    <row r="28" spans="1:82" ht="29.25" customHeight="1" x14ac:dyDescent="0.25">
      <c r="H28" s="5"/>
      <c r="I28" s="5"/>
      <c r="J28" s="5"/>
      <c r="K28" s="5"/>
      <c r="L28" s="5"/>
      <c r="M28" s="5"/>
      <c r="N28" s="354" t="s">
        <v>218</v>
      </c>
      <c r="O28" s="355" t="s">
        <v>219</v>
      </c>
      <c r="P28" s="5"/>
      <c r="Q28" s="848" t="s">
        <v>219</v>
      </c>
      <c r="R28" s="569"/>
      <c r="S28" s="5"/>
      <c r="T28" s="849" t="s">
        <v>219</v>
      </c>
      <c r="U28" s="775"/>
      <c r="V28" s="5"/>
      <c r="W28" s="849" t="s">
        <v>219</v>
      </c>
      <c r="X28" s="775"/>
      <c r="Y28" s="5"/>
      <c r="Z28" s="849" t="s">
        <v>219</v>
      </c>
      <c r="AA28" s="775"/>
      <c r="AB28" s="5"/>
      <c r="AC28" s="849" t="s">
        <v>219</v>
      </c>
      <c r="AD28" s="775"/>
      <c r="AE28" s="5"/>
      <c r="AF28" s="849" t="s">
        <v>219</v>
      </c>
      <c r="AG28" s="775"/>
      <c r="AH28" s="5"/>
      <c r="AI28" s="849" t="s">
        <v>219</v>
      </c>
      <c r="AJ28" s="775"/>
      <c r="AK28" s="5"/>
      <c r="AL28" s="849" t="s">
        <v>219</v>
      </c>
      <c r="AM28" s="77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L28" s="5"/>
      <c r="BO28" s="5"/>
      <c r="BR28" s="5"/>
      <c r="BU28" s="5"/>
      <c r="BX28" s="5"/>
      <c r="CA28" s="5"/>
      <c r="CD28" s="5"/>
    </row>
    <row r="29" spans="1:82" ht="21" customHeight="1" x14ac:dyDescent="0.25">
      <c r="H29" s="5"/>
      <c r="I29" s="5"/>
      <c r="J29" s="5"/>
      <c r="K29" s="5"/>
      <c r="L29" s="5"/>
      <c r="M29" s="5"/>
      <c r="N29" s="3"/>
      <c r="O29" s="358" t="s">
        <v>230</v>
      </c>
      <c r="P29" s="5"/>
      <c r="Q29" s="396" t="s">
        <v>655</v>
      </c>
      <c r="R29" s="396" t="s">
        <v>655</v>
      </c>
      <c r="S29" s="5"/>
      <c r="T29" s="856" t="s">
        <v>656</v>
      </c>
      <c r="U29" s="857"/>
      <c r="V29" s="857"/>
      <c r="W29" s="857"/>
      <c r="X29" s="857"/>
      <c r="Y29" s="857"/>
      <c r="Z29" s="857"/>
      <c r="AA29" s="857"/>
      <c r="AB29" s="857"/>
      <c r="AC29" s="857"/>
      <c r="AD29" s="857"/>
      <c r="AE29" s="857"/>
      <c r="AF29" s="857"/>
      <c r="AG29" s="857"/>
      <c r="AH29" s="857"/>
      <c r="AI29" s="857"/>
      <c r="AJ29" s="857"/>
      <c r="AK29" s="857"/>
      <c r="AL29" s="857"/>
      <c r="AM29" s="858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L29" s="5"/>
      <c r="BO29" s="5"/>
      <c r="BR29" s="5"/>
      <c r="BU29" s="5"/>
      <c r="BX29" s="5"/>
      <c r="CA29" s="5"/>
      <c r="CD29" s="5"/>
    </row>
    <row r="30" spans="1:82" ht="6" customHeight="1" x14ac:dyDescent="0.25">
      <c r="B30" s="19"/>
      <c r="H30" s="5"/>
      <c r="I30" s="5"/>
      <c r="K30" s="5"/>
      <c r="L30" s="5"/>
      <c r="Q30" s="5"/>
      <c r="T30" s="796"/>
      <c r="U30" s="760"/>
      <c r="V30" s="760"/>
      <c r="W30" s="760"/>
      <c r="X30" s="760"/>
      <c r="Y30" s="760"/>
      <c r="Z30" s="760"/>
      <c r="AA30" s="760"/>
      <c r="AB30" s="760"/>
      <c r="AC30" s="760"/>
      <c r="AD30" s="760"/>
      <c r="AE30" s="760"/>
      <c r="AF30" s="760"/>
      <c r="AG30" s="760"/>
      <c r="AH30" s="760"/>
      <c r="AI30" s="760"/>
      <c r="AJ30" s="760"/>
      <c r="AK30" s="760"/>
      <c r="AL30" s="760"/>
      <c r="AM30" s="859"/>
    </row>
    <row r="31" spans="1:82" ht="47.25" customHeight="1" x14ac:dyDescent="0.25">
      <c r="H31" s="49"/>
      <c r="I31" s="49"/>
      <c r="K31" s="49"/>
      <c r="L31" s="5"/>
      <c r="N31" s="3"/>
      <c r="O31" s="3" t="s">
        <v>474</v>
      </c>
      <c r="Q31" s="843" t="s">
        <v>657</v>
      </c>
      <c r="R31" s="572"/>
      <c r="T31" s="860" t="s">
        <v>658</v>
      </c>
      <c r="U31" s="754"/>
      <c r="V31" s="754"/>
      <c r="W31" s="754"/>
      <c r="X31" s="754"/>
      <c r="Y31" s="754"/>
      <c r="Z31" s="754"/>
      <c r="AA31" s="754"/>
      <c r="AB31" s="754"/>
      <c r="AC31" s="754"/>
      <c r="AD31" s="754"/>
      <c r="AE31" s="754"/>
      <c r="AF31" s="754"/>
      <c r="AG31" s="718"/>
      <c r="AI31" s="862" t="s">
        <v>659</v>
      </c>
      <c r="AJ31" s="571"/>
      <c r="AL31" s="862" t="s">
        <v>659</v>
      </c>
      <c r="AM31" s="571"/>
    </row>
    <row r="32" spans="1:82" ht="13.5" customHeight="1" x14ac:dyDescent="0.25">
      <c r="H32" s="49"/>
      <c r="I32" s="49"/>
      <c r="K32" s="49"/>
      <c r="L32" s="5"/>
      <c r="Q32" s="5"/>
    </row>
    <row r="33" spans="2:82" ht="32.25" customHeight="1" x14ac:dyDescent="0.25">
      <c r="H33" s="49"/>
      <c r="I33" s="49"/>
      <c r="K33" s="49"/>
      <c r="L33" s="5"/>
      <c r="Q33" s="5"/>
    </row>
    <row r="34" spans="2:82" ht="14.25" customHeight="1" x14ac:dyDescent="0.25">
      <c r="H34" s="49"/>
      <c r="I34" s="49"/>
      <c r="K34" s="49"/>
      <c r="L34" s="5"/>
      <c r="Q34" s="5"/>
    </row>
    <row r="35" spans="2:82" ht="24" customHeight="1" x14ac:dyDescent="0.25">
      <c r="H35" s="49"/>
      <c r="I35" s="49"/>
      <c r="K35" s="49"/>
      <c r="L35" s="5"/>
      <c r="Q35" s="5"/>
    </row>
    <row r="36" spans="2:82" ht="14.25" customHeight="1" x14ac:dyDescent="0.25">
      <c r="H36" s="49"/>
      <c r="I36" s="49"/>
      <c r="K36" s="49"/>
      <c r="L36" s="49"/>
    </row>
    <row r="37" spans="2:82" ht="21" customHeight="1" x14ac:dyDescent="0.25">
      <c r="D37" s="5"/>
      <c r="E37" s="5"/>
      <c r="F37" s="5"/>
      <c r="H37" s="5"/>
      <c r="I37" s="5"/>
      <c r="J37" s="5"/>
      <c r="K37" s="5"/>
      <c r="L37" s="5"/>
      <c r="M37" s="5"/>
      <c r="P37" s="5"/>
      <c r="Y37" s="5"/>
      <c r="Z37" s="849" t="s">
        <v>219</v>
      </c>
      <c r="AA37" s="775"/>
      <c r="AB37" s="5"/>
      <c r="AC37" s="849" t="s">
        <v>219</v>
      </c>
      <c r="AD37" s="775"/>
      <c r="AE37" s="5"/>
      <c r="AF37" s="849" t="s">
        <v>219</v>
      </c>
      <c r="AG37" s="775"/>
      <c r="AH37" s="5"/>
      <c r="AI37" s="849" t="s">
        <v>219</v>
      </c>
      <c r="AJ37" s="775"/>
      <c r="AK37" s="5"/>
      <c r="AL37" s="849" t="s">
        <v>219</v>
      </c>
      <c r="AM37" s="775"/>
      <c r="AN37" s="5"/>
      <c r="AO37" s="849" t="s">
        <v>219</v>
      </c>
      <c r="AP37" s="775"/>
      <c r="AQ37" s="5"/>
      <c r="AR37" s="849" t="s">
        <v>219</v>
      </c>
      <c r="AS37" s="775"/>
      <c r="AT37" s="5"/>
      <c r="AU37" s="848" t="s">
        <v>219</v>
      </c>
      <c r="AV37" s="569"/>
      <c r="AW37" s="5"/>
      <c r="AX37" s="848" t="s">
        <v>219</v>
      </c>
      <c r="AY37" s="569"/>
      <c r="AZ37" s="5"/>
      <c r="BA37" s="848" t="s">
        <v>219</v>
      </c>
      <c r="BB37" s="569"/>
      <c r="BC37" s="5"/>
      <c r="BD37" s="848" t="s">
        <v>219</v>
      </c>
      <c r="BE37" s="569"/>
      <c r="BF37" s="5"/>
      <c r="BG37" s="848" t="s">
        <v>219</v>
      </c>
      <c r="BH37" s="569"/>
      <c r="BI37" s="5"/>
      <c r="BJ37" s="848" t="s">
        <v>219</v>
      </c>
      <c r="BK37" s="569"/>
      <c r="BL37" s="5"/>
      <c r="BO37" s="5"/>
      <c r="BR37" s="5"/>
      <c r="BU37" s="5"/>
      <c r="BX37" s="5"/>
      <c r="CA37" s="5"/>
      <c r="CD37" s="5"/>
    </row>
    <row r="38" spans="2:82" ht="21" customHeight="1" x14ac:dyDescent="0.25">
      <c r="D38" s="5"/>
      <c r="E38" s="5"/>
      <c r="F38" s="5"/>
      <c r="H38" s="5"/>
      <c r="I38" s="5"/>
      <c r="J38" s="5"/>
      <c r="K38" s="5"/>
      <c r="L38" s="5"/>
      <c r="M38" s="5"/>
      <c r="P38" s="5"/>
      <c r="Y38" s="5"/>
      <c r="Z38" s="861" t="s">
        <v>660</v>
      </c>
      <c r="AA38" s="568"/>
      <c r="AB38" s="568"/>
      <c r="AC38" s="568"/>
      <c r="AD38" s="568"/>
      <c r="AE38" s="568"/>
      <c r="AF38" s="568"/>
      <c r="AG38" s="568"/>
      <c r="AH38" s="568"/>
      <c r="AI38" s="568"/>
      <c r="AJ38" s="568"/>
      <c r="AK38" s="568"/>
      <c r="AL38" s="568"/>
      <c r="AM38" s="568"/>
      <c r="AN38" s="568"/>
      <c r="AO38" s="568"/>
      <c r="AP38" s="568"/>
      <c r="AQ38" s="568"/>
      <c r="AR38" s="568"/>
      <c r="AS38" s="569"/>
      <c r="AT38" s="5"/>
      <c r="AU38" s="855" t="s">
        <v>661</v>
      </c>
      <c r="AV38" s="569"/>
      <c r="AW38" s="5"/>
      <c r="AX38" s="855" t="s">
        <v>661</v>
      </c>
      <c r="AY38" s="569"/>
      <c r="AZ38" s="5"/>
      <c r="BA38" s="855" t="s">
        <v>661</v>
      </c>
      <c r="BB38" s="569"/>
      <c r="BC38" s="5"/>
      <c r="BD38" s="855" t="s">
        <v>661</v>
      </c>
      <c r="BE38" s="569"/>
      <c r="BF38" s="5"/>
      <c r="BG38" s="855" t="s">
        <v>661</v>
      </c>
      <c r="BH38" s="569"/>
      <c r="BI38" s="5"/>
      <c r="BJ38" s="855" t="s">
        <v>662</v>
      </c>
      <c r="BK38" s="569"/>
      <c r="BL38" s="5"/>
      <c r="BO38" s="5"/>
      <c r="BR38" s="5"/>
      <c r="BU38" s="5"/>
      <c r="BX38" s="5"/>
      <c r="CA38" s="5"/>
      <c r="CD38" s="5"/>
    </row>
    <row r="39" spans="2:82" ht="6" customHeight="1" x14ac:dyDescent="0.25">
      <c r="B39" s="19"/>
      <c r="H39" s="5"/>
      <c r="I39" s="5"/>
      <c r="K39" s="5"/>
      <c r="L39" s="49"/>
    </row>
    <row r="40" spans="2:82" ht="47.25" customHeight="1" x14ac:dyDescent="0.25">
      <c r="H40" s="49"/>
      <c r="I40" s="49"/>
      <c r="K40" s="49"/>
      <c r="L40" s="49"/>
      <c r="Z40" s="863" t="s">
        <v>663</v>
      </c>
      <c r="AA40" s="568"/>
      <c r="AB40" s="568"/>
      <c r="AC40" s="568"/>
      <c r="AD40" s="568"/>
      <c r="AE40" s="568"/>
      <c r="AF40" s="568"/>
      <c r="AG40" s="568"/>
      <c r="AH40" s="568"/>
      <c r="AI40" s="568"/>
      <c r="AJ40" s="568"/>
      <c r="AK40" s="568"/>
      <c r="AL40" s="568"/>
      <c r="AM40" s="569"/>
      <c r="AO40" s="853" t="s">
        <v>664</v>
      </c>
      <c r="AP40" s="572"/>
      <c r="AR40" s="853" t="s">
        <v>664</v>
      </c>
      <c r="AS40" s="572"/>
      <c r="AU40" s="865" t="s">
        <v>665</v>
      </c>
      <c r="AV40" s="568"/>
      <c r="AW40" s="568"/>
      <c r="AX40" s="568"/>
      <c r="AY40" s="568"/>
      <c r="AZ40" s="568"/>
      <c r="BA40" s="568"/>
      <c r="BB40" s="568"/>
      <c r="BC40" s="568"/>
      <c r="BD40" s="568"/>
      <c r="BE40" s="568"/>
      <c r="BF40" s="568"/>
      <c r="BG40" s="568"/>
      <c r="BH40" s="569"/>
      <c r="BJ40" s="853" t="s">
        <v>659</v>
      </c>
      <c r="BK40" s="572"/>
    </row>
    <row r="41" spans="2:82" ht="31.5" customHeight="1" x14ac:dyDescent="0.25">
      <c r="H41" s="49"/>
      <c r="I41" s="49"/>
      <c r="K41" s="49"/>
      <c r="L41" s="49"/>
    </row>
    <row r="42" spans="2:82" ht="32.25" customHeight="1" x14ac:dyDescent="0.25">
      <c r="H42" s="49"/>
      <c r="I42" s="49"/>
      <c r="K42" s="49"/>
      <c r="L42" s="49"/>
      <c r="AO42" s="849" t="s">
        <v>219</v>
      </c>
      <c r="AP42" s="775"/>
      <c r="AQ42" s="5"/>
      <c r="AR42" s="849" t="s">
        <v>219</v>
      </c>
      <c r="AS42" s="775"/>
      <c r="AT42" s="5"/>
      <c r="AU42" s="849" t="s">
        <v>219</v>
      </c>
      <c r="AV42" s="775"/>
      <c r="AW42" s="5"/>
      <c r="AX42" s="849" t="s">
        <v>219</v>
      </c>
      <c r="AY42" s="775"/>
      <c r="AZ42" s="5"/>
      <c r="BA42" s="849" t="s">
        <v>219</v>
      </c>
      <c r="BB42" s="775"/>
      <c r="BC42" s="5"/>
      <c r="BD42" s="849" t="s">
        <v>219</v>
      </c>
      <c r="BE42" s="775"/>
      <c r="BF42" s="5"/>
    </row>
    <row r="43" spans="2:82" ht="25.5" customHeight="1" x14ac:dyDescent="0.25">
      <c r="H43" s="49"/>
      <c r="I43" s="49"/>
      <c r="K43" s="49"/>
      <c r="L43" s="49"/>
      <c r="AO43" s="864" t="s">
        <v>656</v>
      </c>
      <c r="AP43" s="568"/>
      <c r="AQ43" s="568"/>
      <c r="AR43" s="568"/>
      <c r="AS43" s="568"/>
      <c r="AT43" s="568"/>
      <c r="AU43" s="568"/>
      <c r="AV43" s="568"/>
      <c r="AW43" s="568"/>
      <c r="AX43" s="568"/>
      <c r="AY43" s="568"/>
      <c r="AZ43" s="568"/>
      <c r="BA43" s="568"/>
      <c r="BB43" s="568"/>
      <c r="BC43" s="568"/>
      <c r="BD43" s="568"/>
      <c r="BE43" s="569"/>
      <c r="BF43" s="5"/>
    </row>
    <row r="44" spans="2:82" ht="18" customHeight="1" x14ac:dyDescent="0.25">
      <c r="H44" s="49"/>
      <c r="I44" s="49"/>
      <c r="K44" s="49"/>
      <c r="L44" s="49"/>
    </row>
    <row r="45" spans="2:82" ht="49.5" customHeight="1" x14ac:dyDescent="0.25">
      <c r="H45" s="49"/>
      <c r="I45" s="49"/>
      <c r="K45" s="49"/>
      <c r="L45" s="49"/>
      <c r="AO45" s="863" t="s">
        <v>666</v>
      </c>
      <c r="AP45" s="568"/>
      <c r="AQ45" s="568"/>
      <c r="AR45" s="568"/>
      <c r="AS45" s="568"/>
      <c r="AT45" s="568"/>
      <c r="AU45" s="568"/>
      <c r="AV45" s="568"/>
      <c r="AW45" s="568"/>
      <c r="AX45" s="568"/>
      <c r="AY45" s="568"/>
      <c r="AZ45" s="568"/>
      <c r="BA45" s="568"/>
      <c r="BB45" s="569"/>
      <c r="BD45" s="853" t="s">
        <v>667</v>
      </c>
      <c r="BE45" s="572"/>
    </row>
    <row r="46" spans="2:82" ht="14.25" customHeight="1" x14ac:dyDescent="0.25">
      <c r="H46" s="49"/>
      <c r="I46" s="49"/>
      <c r="K46" s="49"/>
      <c r="L46" s="49"/>
    </row>
    <row r="47" spans="2:82" ht="40.5" customHeight="1" x14ac:dyDescent="0.25">
      <c r="H47" s="49"/>
      <c r="I47" s="49"/>
      <c r="K47" s="49"/>
      <c r="L47" s="49"/>
      <c r="AO47" s="848" t="s">
        <v>219</v>
      </c>
      <c r="AP47" s="569"/>
      <c r="AQ47" s="5"/>
      <c r="AR47" s="848" t="s">
        <v>219</v>
      </c>
      <c r="AS47" s="569"/>
      <c r="AT47" s="5"/>
      <c r="AU47" s="848" t="s">
        <v>219</v>
      </c>
      <c r="AV47" s="569"/>
      <c r="AW47" s="5"/>
      <c r="AX47" s="848" t="s">
        <v>219</v>
      </c>
      <c r="AY47" s="569"/>
      <c r="AZ47" s="5"/>
      <c r="BA47" s="848" t="s">
        <v>219</v>
      </c>
      <c r="BB47" s="569"/>
      <c r="BC47" s="5"/>
      <c r="BD47" s="848" t="s">
        <v>219</v>
      </c>
      <c r="BE47" s="569"/>
      <c r="BF47" s="5"/>
    </row>
    <row r="48" spans="2:82" ht="30" customHeight="1" x14ac:dyDescent="0.25">
      <c r="H48" s="49"/>
      <c r="I48" s="49"/>
      <c r="K48" s="49"/>
      <c r="L48" s="49"/>
      <c r="AO48" s="855" t="s">
        <v>661</v>
      </c>
      <c r="AP48" s="569"/>
      <c r="AQ48" s="5"/>
      <c r="AR48" s="855" t="s">
        <v>661</v>
      </c>
      <c r="AS48" s="569"/>
      <c r="AT48" s="5"/>
      <c r="AU48" s="855" t="s">
        <v>661</v>
      </c>
      <c r="AV48" s="569"/>
      <c r="AW48" s="5"/>
      <c r="AX48" s="855" t="s">
        <v>661</v>
      </c>
      <c r="AY48" s="569"/>
      <c r="AZ48" s="5"/>
      <c r="BA48" s="855" t="s">
        <v>661</v>
      </c>
      <c r="BB48" s="569"/>
      <c r="BC48" s="5"/>
      <c r="BD48" s="855" t="s">
        <v>662</v>
      </c>
      <c r="BE48" s="569"/>
      <c r="BF48" s="5"/>
    </row>
    <row r="49" spans="8:82" ht="14.25" customHeight="1" x14ac:dyDescent="0.25">
      <c r="H49" s="49"/>
      <c r="I49" s="49"/>
      <c r="K49" s="49"/>
      <c r="L49" s="49"/>
    </row>
    <row r="50" spans="8:82" ht="59.25" customHeight="1" x14ac:dyDescent="0.25">
      <c r="H50" s="49"/>
      <c r="I50" s="49"/>
      <c r="K50" s="49"/>
      <c r="L50" s="49"/>
      <c r="AO50" s="863" t="s">
        <v>666</v>
      </c>
      <c r="AP50" s="568"/>
      <c r="AQ50" s="568"/>
      <c r="AR50" s="568"/>
      <c r="AS50" s="568"/>
      <c r="AT50" s="568"/>
      <c r="AU50" s="568"/>
      <c r="AV50" s="568"/>
      <c r="AW50" s="568"/>
      <c r="AX50" s="568"/>
      <c r="AY50" s="568"/>
      <c r="AZ50" s="568"/>
      <c r="BA50" s="568"/>
      <c r="BB50" s="569"/>
      <c r="BD50" s="853" t="s">
        <v>668</v>
      </c>
      <c r="BE50" s="572"/>
    </row>
    <row r="51" spans="8:82" ht="14.25" customHeight="1" x14ac:dyDescent="0.25">
      <c r="H51" s="49"/>
      <c r="I51" s="49"/>
      <c r="K51" s="49"/>
      <c r="L51" s="49"/>
    </row>
    <row r="52" spans="8:82" ht="43.5" customHeight="1" x14ac:dyDescent="0.25">
      <c r="H52" s="49"/>
      <c r="I52" s="49"/>
      <c r="K52" s="49"/>
      <c r="L52" s="49"/>
      <c r="BG52" s="848" t="s">
        <v>219</v>
      </c>
      <c r="BH52" s="569"/>
      <c r="BI52" s="5"/>
      <c r="BJ52" s="848" t="s">
        <v>219</v>
      </c>
      <c r="BK52" s="569"/>
      <c r="BL52" s="5"/>
      <c r="BM52" s="848" t="s">
        <v>219</v>
      </c>
      <c r="BN52" s="569"/>
      <c r="BO52" s="5"/>
      <c r="BP52" s="848" t="s">
        <v>219</v>
      </c>
      <c r="BQ52" s="569"/>
      <c r="BR52" s="5"/>
      <c r="BS52" s="848" t="s">
        <v>219</v>
      </c>
      <c r="BT52" s="569"/>
      <c r="BU52" s="5"/>
      <c r="BV52" s="848" t="s">
        <v>219</v>
      </c>
      <c r="BW52" s="569"/>
      <c r="CA52" s="5"/>
      <c r="CD52" s="5"/>
    </row>
    <row r="53" spans="8:82" ht="28.5" customHeight="1" x14ac:dyDescent="0.25">
      <c r="H53" s="49"/>
      <c r="I53" s="49"/>
      <c r="K53" s="49"/>
      <c r="L53" s="49"/>
      <c r="BG53" s="397" t="s">
        <v>661</v>
      </c>
      <c r="BH53" s="398"/>
      <c r="BI53" s="5"/>
      <c r="BJ53" s="397" t="s">
        <v>661</v>
      </c>
      <c r="BK53" s="398"/>
      <c r="BL53" s="5"/>
      <c r="BM53" s="397" t="s">
        <v>661</v>
      </c>
      <c r="BN53" s="398"/>
      <c r="BO53" s="5"/>
      <c r="BP53" s="397" t="s">
        <v>661</v>
      </c>
      <c r="BQ53" s="398"/>
      <c r="BR53" s="5"/>
      <c r="BS53" s="397" t="s">
        <v>661</v>
      </c>
      <c r="BT53" s="398"/>
      <c r="BU53" s="5"/>
      <c r="BV53" s="855" t="s">
        <v>662</v>
      </c>
      <c r="BW53" s="569"/>
      <c r="CA53" s="5"/>
      <c r="CD53" s="5"/>
    </row>
    <row r="54" spans="8:82" ht="14.25" customHeight="1" x14ac:dyDescent="0.25">
      <c r="H54" s="49"/>
      <c r="I54" s="49"/>
      <c r="K54" s="49"/>
      <c r="L54" s="49"/>
    </row>
    <row r="55" spans="8:82" ht="51" customHeight="1" x14ac:dyDescent="0.25">
      <c r="H55" s="49"/>
      <c r="I55" s="49"/>
      <c r="K55" s="49"/>
      <c r="L55" s="49"/>
      <c r="BG55" s="863" t="s">
        <v>669</v>
      </c>
      <c r="BH55" s="568"/>
      <c r="BI55" s="568"/>
      <c r="BJ55" s="568"/>
      <c r="BK55" s="568"/>
      <c r="BL55" s="568"/>
      <c r="BM55" s="568"/>
      <c r="BN55" s="568"/>
      <c r="BO55" s="568"/>
      <c r="BP55" s="568"/>
      <c r="BQ55" s="568"/>
      <c r="BR55" s="568"/>
      <c r="BS55" s="568"/>
      <c r="BT55" s="569"/>
      <c r="BV55" s="853" t="s">
        <v>664</v>
      </c>
      <c r="BW55" s="572"/>
    </row>
    <row r="56" spans="8:82" ht="25.5" customHeight="1" x14ac:dyDescent="0.25">
      <c r="H56" s="49"/>
      <c r="I56" s="49"/>
      <c r="K56" s="49"/>
      <c r="L56" s="49"/>
    </row>
    <row r="57" spans="8:82" ht="37.5" customHeight="1" x14ac:dyDescent="0.25">
      <c r="H57" s="49"/>
      <c r="I57" s="49"/>
      <c r="K57" s="49"/>
      <c r="L57" s="49"/>
      <c r="BG57" s="848" t="s">
        <v>219</v>
      </c>
      <c r="BH57" s="569"/>
      <c r="BI57" s="5"/>
      <c r="BJ57" s="848" t="s">
        <v>219</v>
      </c>
      <c r="BK57" s="569"/>
      <c r="BL57" s="5"/>
      <c r="BM57" s="848" t="s">
        <v>219</v>
      </c>
      <c r="BN57" s="569"/>
      <c r="BO57" s="5"/>
      <c r="BP57" s="848" t="s">
        <v>219</v>
      </c>
      <c r="BQ57" s="569"/>
      <c r="BR57" s="5"/>
      <c r="BS57" s="848" t="s">
        <v>219</v>
      </c>
      <c r="BT57" s="569"/>
      <c r="BU57" s="5"/>
      <c r="BV57" s="848" t="s">
        <v>219</v>
      </c>
      <c r="BW57" s="569"/>
      <c r="CA57" s="5"/>
      <c r="CD57" s="5"/>
    </row>
    <row r="58" spans="8:82" ht="35.25" customHeight="1" x14ac:dyDescent="0.25">
      <c r="H58" s="49"/>
      <c r="I58" s="49"/>
      <c r="K58" s="49"/>
      <c r="L58" s="49"/>
      <c r="BG58" s="397" t="s">
        <v>670</v>
      </c>
      <c r="BH58" s="398"/>
      <c r="BI58" s="5"/>
      <c r="BJ58" s="397" t="s">
        <v>670</v>
      </c>
      <c r="BK58" s="398"/>
      <c r="BL58" s="5"/>
      <c r="BM58" s="397" t="s">
        <v>670</v>
      </c>
      <c r="BN58" s="398"/>
      <c r="BO58" s="5"/>
      <c r="BP58" s="397" t="s">
        <v>670</v>
      </c>
      <c r="BQ58" s="398"/>
      <c r="BR58" s="5"/>
      <c r="BS58" s="397" t="s">
        <v>670</v>
      </c>
      <c r="BT58" s="398"/>
      <c r="BU58" s="5"/>
      <c r="BV58" s="855" t="s">
        <v>670</v>
      </c>
      <c r="BW58" s="569"/>
      <c r="CA58" s="5"/>
      <c r="CD58" s="5"/>
    </row>
    <row r="59" spans="8:82" ht="12" customHeight="1" x14ac:dyDescent="0.25">
      <c r="H59" s="49"/>
      <c r="I59" s="49"/>
      <c r="K59" s="49"/>
      <c r="L59" s="49"/>
    </row>
    <row r="60" spans="8:82" ht="66" customHeight="1" x14ac:dyDescent="0.25">
      <c r="H60" s="49"/>
      <c r="I60" s="49"/>
      <c r="K60" s="49"/>
      <c r="L60" s="49"/>
      <c r="BG60" s="863" t="s">
        <v>671</v>
      </c>
      <c r="BH60" s="568"/>
      <c r="BI60" s="568"/>
      <c r="BJ60" s="568"/>
      <c r="BK60" s="568"/>
      <c r="BL60" s="568"/>
      <c r="BM60" s="568"/>
      <c r="BN60" s="568"/>
      <c r="BO60" s="568"/>
      <c r="BP60" s="568"/>
      <c r="BQ60" s="568"/>
      <c r="BR60" s="568"/>
      <c r="BS60" s="568"/>
      <c r="BT60" s="569"/>
      <c r="BV60" s="853" t="s">
        <v>664</v>
      </c>
      <c r="BW60" s="572"/>
    </row>
    <row r="61" spans="8:82" ht="14.25" customHeight="1" x14ac:dyDescent="0.25">
      <c r="H61" s="49"/>
      <c r="I61" s="49"/>
      <c r="K61" s="49"/>
      <c r="L61" s="49"/>
    </row>
    <row r="62" spans="8:82" ht="14.25" customHeight="1" x14ac:dyDescent="0.25">
      <c r="H62" s="49"/>
      <c r="I62" s="49"/>
      <c r="K62" s="49"/>
      <c r="L62" s="49"/>
    </row>
    <row r="63" spans="8:82" ht="14.25" customHeight="1" x14ac:dyDescent="0.25">
      <c r="H63" s="49"/>
      <c r="I63" s="49"/>
      <c r="K63" s="49"/>
      <c r="L63" s="49"/>
    </row>
    <row r="64" spans="8:82" ht="14.25" customHeight="1" x14ac:dyDescent="0.25">
      <c r="H64" s="49"/>
      <c r="I64" s="49"/>
      <c r="K64" s="49"/>
      <c r="L64" s="49"/>
    </row>
    <row r="65" spans="8:12" ht="14.25" customHeight="1" x14ac:dyDescent="0.25">
      <c r="H65" s="49"/>
      <c r="I65" s="49"/>
      <c r="K65" s="49"/>
      <c r="L65" s="49"/>
    </row>
    <row r="66" spans="8:12" ht="14.25" customHeight="1" x14ac:dyDescent="0.25">
      <c r="H66" s="49"/>
      <c r="I66" s="49"/>
      <c r="K66" s="49"/>
      <c r="L66" s="49"/>
    </row>
    <row r="67" spans="8:12" ht="14.25" customHeight="1" x14ac:dyDescent="0.25">
      <c r="H67" s="49"/>
      <c r="I67" s="49"/>
      <c r="K67" s="49"/>
      <c r="L67" s="49"/>
    </row>
    <row r="68" spans="8:12" ht="14.25" customHeight="1" x14ac:dyDescent="0.25">
      <c r="H68" s="49"/>
      <c r="I68" s="49"/>
      <c r="K68" s="49"/>
      <c r="L68" s="49"/>
    </row>
    <row r="69" spans="8:12" ht="14.25" customHeight="1" x14ac:dyDescent="0.25">
      <c r="H69" s="49"/>
      <c r="I69" s="49"/>
      <c r="K69" s="49"/>
      <c r="L69" s="49"/>
    </row>
    <row r="70" spans="8:12" ht="14.25" customHeight="1" x14ac:dyDescent="0.25">
      <c r="H70" s="49"/>
      <c r="I70" s="49"/>
      <c r="K70" s="49"/>
      <c r="L70" s="49"/>
    </row>
    <row r="71" spans="8:12" ht="14.25" customHeight="1" x14ac:dyDescent="0.25">
      <c r="H71" s="49"/>
      <c r="I71" s="49"/>
      <c r="K71" s="49"/>
      <c r="L71" s="49"/>
    </row>
    <row r="72" spans="8:12" ht="14.25" customHeight="1" x14ac:dyDescent="0.25">
      <c r="H72" s="49"/>
      <c r="I72" s="49"/>
      <c r="K72" s="49"/>
      <c r="L72" s="49"/>
    </row>
    <row r="73" spans="8:12" ht="14.25" customHeight="1" x14ac:dyDescent="0.25">
      <c r="H73" s="49"/>
      <c r="I73" s="49"/>
      <c r="K73" s="49"/>
      <c r="L73" s="49"/>
    </row>
    <row r="74" spans="8:12" ht="14.25" customHeight="1" x14ac:dyDescent="0.25">
      <c r="H74" s="49"/>
      <c r="I74" s="49"/>
      <c r="K74" s="49"/>
      <c r="L74" s="49"/>
    </row>
    <row r="75" spans="8:12" ht="14.25" customHeight="1" x14ac:dyDescent="0.25">
      <c r="H75" s="49"/>
      <c r="I75" s="49"/>
      <c r="K75" s="49"/>
      <c r="L75" s="49"/>
    </row>
    <row r="76" spans="8:12" ht="14.25" customHeight="1" x14ac:dyDescent="0.25">
      <c r="H76" s="49"/>
      <c r="I76" s="49"/>
      <c r="K76" s="49"/>
      <c r="L76" s="49"/>
    </row>
    <row r="77" spans="8:12" ht="14.25" customHeight="1" x14ac:dyDescent="0.25">
      <c r="H77" s="49"/>
      <c r="I77" s="49"/>
      <c r="K77" s="49"/>
      <c r="L77" s="49"/>
    </row>
    <row r="78" spans="8:12" ht="14.25" customHeight="1" x14ac:dyDescent="0.25">
      <c r="H78" s="49"/>
      <c r="I78" s="49"/>
      <c r="K78" s="49"/>
      <c r="L78" s="49"/>
    </row>
    <row r="79" spans="8:12" ht="14.25" customHeight="1" x14ac:dyDescent="0.25">
      <c r="H79" s="49"/>
      <c r="I79" s="49"/>
      <c r="K79" s="49"/>
      <c r="L79" s="49"/>
    </row>
    <row r="80" spans="8:12" ht="14.25" customHeight="1" x14ac:dyDescent="0.25">
      <c r="H80" s="49"/>
      <c r="I80" s="49"/>
      <c r="K80" s="49"/>
      <c r="L80" s="49"/>
    </row>
    <row r="81" spans="8:12" ht="14.25" customHeight="1" x14ac:dyDescent="0.25">
      <c r="H81" s="49"/>
      <c r="I81" s="49"/>
      <c r="K81" s="49"/>
      <c r="L81" s="49"/>
    </row>
    <row r="82" spans="8:12" ht="14.25" customHeight="1" x14ac:dyDescent="0.25">
      <c r="H82" s="49"/>
      <c r="I82" s="49"/>
      <c r="K82" s="49"/>
      <c r="L82" s="49"/>
    </row>
    <row r="83" spans="8:12" ht="14.25" customHeight="1" x14ac:dyDescent="0.25">
      <c r="H83" s="49"/>
      <c r="I83" s="49"/>
      <c r="K83" s="49"/>
      <c r="L83" s="49"/>
    </row>
    <row r="84" spans="8:12" ht="14.25" customHeight="1" x14ac:dyDescent="0.25">
      <c r="H84" s="49"/>
      <c r="I84" s="49"/>
      <c r="K84" s="49"/>
      <c r="L84" s="49"/>
    </row>
    <row r="85" spans="8:12" ht="14.25" customHeight="1" x14ac:dyDescent="0.25">
      <c r="H85" s="49"/>
      <c r="I85" s="49"/>
      <c r="K85" s="49"/>
      <c r="L85" s="49"/>
    </row>
    <row r="86" spans="8:12" ht="14.25" customHeight="1" x14ac:dyDescent="0.25">
      <c r="H86" s="49"/>
      <c r="I86" s="49"/>
      <c r="K86" s="49"/>
      <c r="L86" s="49"/>
    </row>
    <row r="87" spans="8:12" ht="14.25" customHeight="1" x14ac:dyDescent="0.25">
      <c r="H87" s="49"/>
      <c r="I87" s="49"/>
      <c r="K87" s="49"/>
      <c r="L87" s="49"/>
    </row>
    <row r="88" spans="8:12" ht="14.25" customHeight="1" x14ac:dyDescent="0.25">
      <c r="H88" s="49"/>
      <c r="I88" s="49"/>
      <c r="K88" s="49"/>
      <c r="L88" s="49"/>
    </row>
    <row r="89" spans="8:12" ht="14.25" customHeight="1" x14ac:dyDescent="0.25">
      <c r="H89" s="49"/>
      <c r="I89" s="49"/>
      <c r="K89" s="49"/>
      <c r="L89" s="49"/>
    </row>
    <row r="90" spans="8:12" ht="14.25" customHeight="1" x14ac:dyDescent="0.25">
      <c r="H90" s="49"/>
      <c r="I90" s="49"/>
      <c r="K90" s="49"/>
      <c r="L90" s="49"/>
    </row>
    <row r="91" spans="8:12" ht="14.25" customHeight="1" x14ac:dyDescent="0.25">
      <c r="H91" s="49"/>
      <c r="I91" s="49"/>
      <c r="K91" s="49"/>
      <c r="L91" s="49"/>
    </row>
    <row r="92" spans="8:12" ht="14.25" customHeight="1" x14ac:dyDescent="0.25">
      <c r="H92" s="49"/>
      <c r="I92" s="49"/>
      <c r="K92" s="49"/>
      <c r="L92" s="49"/>
    </row>
    <row r="93" spans="8:12" ht="14.25" customHeight="1" x14ac:dyDescent="0.25">
      <c r="H93" s="49"/>
      <c r="I93" s="49"/>
      <c r="K93" s="49"/>
      <c r="L93" s="49"/>
    </row>
    <row r="94" spans="8:12" ht="14.25" customHeight="1" x14ac:dyDescent="0.25">
      <c r="H94" s="49"/>
      <c r="I94" s="49"/>
      <c r="K94" s="49"/>
      <c r="L94" s="49"/>
    </row>
    <row r="95" spans="8:12" ht="14.25" customHeight="1" x14ac:dyDescent="0.25">
      <c r="H95" s="49"/>
      <c r="I95" s="49"/>
      <c r="K95" s="49"/>
      <c r="L95" s="49"/>
    </row>
    <row r="96" spans="8:12" ht="14.25" customHeight="1" x14ac:dyDescent="0.25">
      <c r="H96" s="49"/>
      <c r="I96" s="49"/>
      <c r="K96" s="49"/>
      <c r="L96" s="49"/>
    </row>
    <row r="97" spans="8:12" ht="14.25" customHeight="1" x14ac:dyDescent="0.25">
      <c r="H97" s="49"/>
      <c r="I97" s="49"/>
      <c r="K97" s="49"/>
      <c r="L97" s="49"/>
    </row>
    <row r="98" spans="8:12" ht="14.25" customHeight="1" x14ac:dyDescent="0.25">
      <c r="H98" s="49"/>
      <c r="I98" s="49"/>
      <c r="K98" s="49"/>
      <c r="L98" s="49"/>
    </row>
    <row r="99" spans="8:12" ht="14.25" customHeight="1" x14ac:dyDescent="0.25">
      <c r="H99" s="49"/>
      <c r="I99" s="49"/>
      <c r="K99" s="49"/>
      <c r="L99" s="49"/>
    </row>
    <row r="100" spans="8:12" ht="14.25" customHeight="1" x14ac:dyDescent="0.25">
      <c r="H100" s="49"/>
      <c r="I100" s="49"/>
      <c r="K100" s="49"/>
      <c r="L100" s="49"/>
    </row>
    <row r="101" spans="8:12" ht="14.25" customHeight="1" x14ac:dyDescent="0.25">
      <c r="H101" s="49"/>
      <c r="I101" s="49"/>
      <c r="K101" s="49"/>
      <c r="L101" s="49"/>
    </row>
    <row r="102" spans="8:12" ht="14.25" customHeight="1" x14ac:dyDescent="0.25">
      <c r="H102" s="49"/>
      <c r="I102" s="49"/>
      <c r="K102" s="49"/>
      <c r="L102" s="49"/>
    </row>
    <row r="103" spans="8:12" ht="14.25" customHeight="1" x14ac:dyDescent="0.25">
      <c r="H103" s="49"/>
      <c r="I103" s="49"/>
      <c r="K103" s="49"/>
      <c r="L103" s="49"/>
    </row>
    <row r="104" spans="8:12" ht="14.25" customHeight="1" x14ac:dyDescent="0.25">
      <c r="H104" s="49"/>
      <c r="I104" s="49"/>
      <c r="K104" s="49"/>
      <c r="L104" s="49"/>
    </row>
    <row r="105" spans="8:12" ht="14.25" customHeight="1" x14ac:dyDescent="0.25">
      <c r="H105" s="49"/>
      <c r="I105" s="49"/>
      <c r="K105" s="49"/>
      <c r="L105" s="49"/>
    </row>
    <row r="106" spans="8:12" ht="14.25" customHeight="1" x14ac:dyDescent="0.25">
      <c r="H106" s="49"/>
      <c r="I106" s="49"/>
      <c r="K106" s="49"/>
      <c r="L106" s="49"/>
    </row>
    <row r="107" spans="8:12" ht="14.25" customHeight="1" x14ac:dyDescent="0.25">
      <c r="H107" s="49"/>
      <c r="I107" s="49"/>
      <c r="K107" s="49"/>
      <c r="L107" s="49"/>
    </row>
    <row r="108" spans="8:12" ht="14.25" customHeight="1" x14ac:dyDescent="0.25">
      <c r="H108" s="49"/>
      <c r="I108" s="49"/>
      <c r="K108" s="49"/>
      <c r="L108" s="49"/>
    </row>
    <row r="109" spans="8:12" ht="14.25" customHeight="1" x14ac:dyDescent="0.25">
      <c r="H109" s="49"/>
      <c r="I109" s="49"/>
      <c r="K109" s="49"/>
      <c r="L109" s="49"/>
    </row>
    <row r="110" spans="8:12" ht="14.25" customHeight="1" x14ac:dyDescent="0.25">
      <c r="H110" s="49"/>
      <c r="I110" s="49"/>
      <c r="K110" s="49"/>
      <c r="L110" s="49"/>
    </row>
    <row r="111" spans="8:12" ht="14.25" customHeight="1" x14ac:dyDescent="0.25">
      <c r="H111" s="49"/>
      <c r="I111" s="49"/>
      <c r="K111" s="49"/>
      <c r="L111" s="49"/>
    </row>
    <row r="112" spans="8:12" ht="14.25" customHeight="1" x14ac:dyDescent="0.25">
      <c r="H112" s="49"/>
      <c r="I112" s="49"/>
      <c r="K112" s="49"/>
      <c r="L112" s="49"/>
    </row>
    <row r="113" spans="8:12" ht="14.25" customHeight="1" x14ac:dyDescent="0.25">
      <c r="H113" s="49"/>
      <c r="I113" s="49"/>
      <c r="K113" s="49"/>
      <c r="L113" s="49"/>
    </row>
    <row r="114" spans="8:12" ht="14.25" customHeight="1" x14ac:dyDescent="0.25">
      <c r="H114" s="49"/>
      <c r="I114" s="49"/>
      <c r="K114" s="49"/>
      <c r="L114" s="49"/>
    </row>
    <row r="115" spans="8:12" ht="14.25" customHeight="1" x14ac:dyDescent="0.25">
      <c r="H115" s="49"/>
      <c r="I115" s="49"/>
      <c r="K115" s="49"/>
      <c r="L115" s="49"/>
    </row>
    <row r="116" spans="8:12" ht="14.25" customHeight="1" x14ac:dyDescent="0.25">
      <c r="H116" s="49"/>
      <c r="I116" s="49"/>
      <c r="K116" s="49"/>
      <c r="L116" s="49"/>
    </row>
    <row r="117" spans="8:12" ht="14.25" customHeight="1" x14ac:dyDescent="0.25">
      <c r="H117" s="49"/>
      <c r="I117" s="49"/>
      <c r="K117" s="49"/>
      <c r="L117" s="49"/>
    </row>
    <row r="118" spans="8:12" ht="14.25" customHeight="1" x14ac:dyDescent="0.25">
      <c r="H118" s="49"/>
      <c r="I118" s="49"/>
      <c r="K118" s="49"/>
      <c r="L118" s="49"/>
    </row>
    <row r="119" spans="8:12" ht="14.25" customHeight="1" x14ac:dyDescent="0.25">
      <c r="H119" s="49"/>
      <c r="I119" s="49"/>
      <c r="K119" s="49"/>
      <c r="L119" s="49"/>
    </row>
    <row r="120" spans="8:12" ht="14.25" customHeight="1" x14ac:dyDescent="0.25">
      <c r="H120" s="49"/>
      <c r="I120" s="49"/>
      <c r="K120" s="49"/>
      <c r="L120" s="49"/>
    </row>
    <row r="121" spans="8:12" ht="14.25" customHeight="1" x14ac:dyDescent="0.25">
      <c r="H121" s="49"/>
      <c r="I121" s="49"/>
      <c r="K121" s="49"/>
      <c r="L121" s="49"/>
    </row>
    <row r="122" spans="8:12" ht="14.25" customHeight="1" x14ac:dyDescent="0.25">
      <c r="H122" s="49"/>
      <c r="I122" s="49"/>
      <c r="K122" s="49"/>
      <c r="L122" s="49"/>
    </row>
    <row r="123" spans="8:12" ht="14.25" customHeight="1" x14ac:dyDescent="0.25">
      <c r="H123" s="49"/>
      <c r="I123" s="49"/>
      <c r="K123" s="49"/>
      <c r="L123" s="49"/>
    </row>
    <row r="124" spans="8:12" ht="14.25" customHeight="1" x14ac:dyDescent="0.25">
      <c r="H124" s="49"/>
      <c r="I124" s="49"/>
      <c r="K124" s="49"/>
      <c r="L124" s="49"/>
    </row>
    <row r="125" spans="8:12" ht="14.25" customHeight="1" x14ac:dyDescent="0.25">
      <c r="H125" s="49"/>
      <c r="I125" s="49"/>
      <c r="K125" s="49"/>
      <c r="L125" s="49"/>
    </row>
    <row r="126" spans="8:12" ht="14.25" customHeight="1" x14ac:dyDescent="0.25">
      <c r="H126" s="49"/>
      <c r="I126" s="49"/>
      <c r="K126" s="49"/>
      <c r="L126" s="49"/>
    </row>
    <row r="127" spans="8:12" ht="14.25" customHeight="1" x14ac:dyDescent="0.25">
      <c r="H127" s="49"/>
      <c r="I127" s="49"/>
      <c r="K127" s="49"/>
      <c r="L127" s="49"/>
    </row>
    <row r="128" spans="8:12" ht="14.25" customHeight="1" x14ac:dyDescent="0.25">
      <c r="H128" s="49"/>
      <c r="I128" s="49"/>
      <c r="K128" s="49"/>
      <c r="L128" s="49"/>
    </row>
    <row r="129" spans="8:12" ht="14.25" customHeight="1" x14ac:dyDescent="0.25">
      <c r="H129" s="49"/>
      <c r="I129" s="49"/>
      <c r="K129" s="49"/>
      <c r="L129" s="49"/>
    </row>
    <row r="130" spans="8:12" ht="14.25" customHeight="1" x14ac:dyDescent="0.25">
      <c r="H130" s="49"/>
      <c r="I130" s="49"/>
      <c r="K130" s="49"/>
      <c r="L130" s="49"/>
    </row>
    <row r="131" spans="8:12" ht="14.25" customHeight="1" x14ac:dyDescent="0.25">
      <c r="H131" s="49"/>
      <c r="I131" s="49"/>
      <c r="K131" s="49"/>
      <c r="L131" s="49"/>
    </row>
    <row r="132" spans="8:12" ht="14.25" customHeight="1" x14ac:dyDescent="0.25">
      <c r="H132" s="49"/>
      <c r="I132" s="49"/>
      <c r="K132" s="49"/>
      <c r="L132" s="49"/>
    </row>
    <row r="133" spans="8:12" ht="14.25" customHeight="1" x14ac:dyDescent="0.25">
      <c r="H133" s="49"/>
      <c r="I133" s="49"/>
      <c r="K133" s="49"/>
      <c r="L133" s="49"/>
    </row>
    <row r="134" spans="8:12" ht="14.25" customHeight="1" x14ac:dyDescent="0.25">
      <c r="H134" s="49"/>
      <c r="I134" s="49"/>
      <c r="K134" s="49"/>
      <c r="L134" s="49"/>
    </row>
    <row r="135" spans="8:12" ht="14.25" customHeight="1" x14ac:dyDescent="0.25">
      <c r="H135" s="49"/>
      <c r="I135" s="49"/>
      <c r="K135" s="49"/>
      <c r="L135" s="49"/>
    </row>
    <row r="136" spans="8:12" ht="14.25" customHeight="1" x14ac:dyDescent="0.25">
      <c r="H136" s="49"/>
      <c r="I136" s="49"/>
      <c r="K136" s="49"/>
      <c r="L136" s="49"/>
    </row>
    <row r="137" spans="8:12" ht="14.25" customHeight="1" x14ac:dyDescent="0.25">
      <c r="H137" s="49"/>
      <c r="I137" s="49"/>
      <c r="K137" s="49"/>
      <c r="L137" s="49"/>
    </row>
    <row r="138" spans="8:12" ht="14.25" customHeight="1" x14ac:dyDescent="0.25">
      <c r="H138" s="49"/>
      <c r="I138" s="49"/>
      <c r="K138" s="49"/>
      <c r="L138" s="49"/>
    </row>
    <row r="139" spans="8:12" ht="14.25" customHeight="1" x14ac:dyDescent="0.25">
      <c r="H139" s="49"/>
      <c r="I139" s="49"/>
      <c r="K139" s="49"/>
      <c r="L139" s="49"/>
    </row>
    <row r="140" spans="8:12" ht="14.25" customHeight="1" x14ac:dyDescent="0.25">
      <c r="H140" s="49"/>
      <c r="I140" s="49"/>
      <c r="K140" s="49"/>
      <c r="L140" s="49"/>
    </row>
    <row r="141" spans="8:12" ht="14.25" customHeight="1" x14ac:dyDescent="0.25">
      <c r="H141" s="49"/>
      <c r="I141" s="49"/>
      <c r="K141" s="49"/>
      <c r="L141" s="49"/>
    </row>
    <row r="142" spans="8:12" ht="14.25" customHeight="1" x14ac:dyDescent="0.25">
      <c r="H142" s="49"/>
      <c r="I142" s="49"/>
      <c r="K142" s="49"/>
      <c r="L142" s="49"/>
    </row>
    <row r="143" spans="8:12" ht="14.25" customHeight="1" x14ac:dyDescent="0.25">
      <c r="H143" s="49"/>
      <c r="I143" s="49"/>
      <c r="K143" s="49"/>
      <c r="L143" s="49"/>
    </row>
    <row r="144" spans="8:12" ht="14.25" customHeight="1" x14ac:dyDescent="0.25">
      <c r="H144" s="49"/>
      <c r="I144" s="49"/>
      <c r="K144" s="49"/>
      <c r="L144" s="49"/>
    </row>
    <row r="145" spans="8:12" ht="14.25" customHeight="1" x14ac:dyDescent="0.25">
      <c r="H145" s="49"/>
      <c r="I145" s="49"/>
      <c r="K145" s="49"/>
      <c r="L145" s="49"/>
    </row>
    <row r="146" spans="8:12" ht="14.25" customHeight="1" x14ac:dyDescent="0.25">
      <c r="H146" s="49"/>
      <c r="I146" s="49"/>
      <c r="K146" s="49"/>
      <c r="L146" s="49"/>
    </row>
    <row r="147" spans="8:12" ht="14.25" customHeight="1" x14ac:dyDescent="0.25">
      <c r="H147" s="49"/>
      <c r="I147" s="49"/>
      <c r="K147" s="49"/>
      <c r="L147" s="49"/>
    </row>
    <row r="148" spans="8:12" ht="14.25" customHeight="1" x14ac:dyDescent="0.25">
      <c r="H148" s="49"/>
      <c r="I148" s="49"/>
      <c r="K148" s="49"/>
      <c r="L148" s="49"/>
    </row>
    <row r="149" spans="8:12" ht="14.25" customHeight="1" x14ac:dyDescent="0.25">
      <c r="H149" s="49"/>
      <c r="I149" s="49"/>
      <c r="K149" s="49"/>
      <c r="L149" s="49"/>
    </row>
    <row r="150" spans="8:12" ht="14.25" customHeight="1" x14ac:dyDescent="0.25">
      <c r="H150" s="49"/>
      <c r="I150" s="49"/>
      <c r="K150" s="49"/>
      <c r="L150" s="49"/>
    </row>
    <row r="151" spans="8:12" ht="14.25" customHeight="1" x14ac:dyDescent="0.25">
      <c r="H151" s="49"/>
      <c r="I151" s="49"/>
      <c r="K151" s="49"/>
      <c r="L151" s="49"/>
    </row>
    <row r="152" spans="8:12" ht="14.25" customHeight="1" x14ac:dyDescent="0.25">
      <c r="H152" s="49"/>
      <c r="I152" s="49"/>
      <c r="K152" s="49"/>
      <c r="L152" s="49"/>
    </row>
    <row r="153" spans="8:12" ht="14.25" customHeight="1" x14ac:dyDescent="0.25">
      <c r="H153" s="49"/>
      <c r="I153" s="49"/>
      <c r="K153" s="49"/>
      <c r="L153" s="49"/>
    </row>
    <row r="154" spans="8:12" ht="14.25" customHeight="1" x14ac:dyDescent="0.25">
      <c r="H154" s="49"/>
      <c r="I154" s="49"/>
      <c r="K154" s="49"/>
      <c r="L154" s="49"/>
    </row>
    <row r="155" spans="8:12" ht="14.25" customHeight="1" x14ac:dyDescent="0.25">
      <c r="H155" s="49"/>
      <c r="I155" s="49"/>
      <c r="K155" s="49"/>
      <c r="L155" s="49"/>
    </row>
    <row r="156" spans="8:12" ht="14.25" customHeight="1" x14ac:dyDescent="0.25">
      <c r="H156" s="49"/>
      <c r="I156" s="49"/>
      <c r="K156" s="49"/>
      <c r="L156" s="49"/>
    </row>
    <row r="157" spans="8:12" ht="14.25" customHeight="1" x14ac:dyDescent="0.25">
      <c r="H157" s="49"/>
      <c r="I157" s="49"/>
      <c r="K157" s="49"/>
      <c r="L157" s="49"/>
    </row>
    <row r="158" spans="8:12" ht="14.25" customHeight="1" x14ac:dyDescent="0.25">
      <c r="H158" s="49"/>
      <c r="I158" s="49"/>
      <c r="K158" s="49"/>
      <c r="L158" s="49"/>
    </row>
    <row r="159" spans="8:12" ht="14.25" customHeight="1" x14ac:dyDescent="0.25">
      <c r="H159" s="49"/>
      <c r="I159" s="49"/>
      <c r="K159" s="49"/>
      <c r="L159" s="49"/>
    </row>
    <row r="160" spans="8:12" ht="14.25" customHeight="1" x14ac:dyDescent="0.25">
      <c r="H160" s="49"/>
      <c r="I160" s="49"/>
      <c r="K160" s="49"/>
      <c r="L160" s="49"/>
    </row>
    <row r="161" spans="8:12" ht="14.25" customHeight="1" x14ac:dyDescent="0.25">
      <c r="H161" s="49"/>
      <c r="I161" s="49"/>
      <c r="K161" s="49"/>
      <c r="L161" s="49"/>
    </row>
    <row r="162" spans="8:12" ht="14.25" customHeight="1" x14ac:dyDescent="0.25">
      <c r="H162" s="49"/>
      <c r="I162" s="49"/>
      <c r="K162" s="49"/>
      <c r="L162" s="49"/>
    </row>
    <row r="163" spans="8:12" ht="14.25" customHeight="1" x14ac:dyDescent="0.25">
      <c r="H163" s="49"/>
      <c r="I163" s="49"/>
      <c r="K163" s="49"/>
      <c r="L163" s="49"/>
    </row>
    <row r="164" spans="8:12" ht="14.25" customHeight="1" x14ac:dyDescent="0.25">
      <c r="H164" s="49"/>
      <c r="I164" s="49"/>
      <c r="K164" s="49"/>
      <c r="L164" s="49"/>
    </row>
    <row r="165" spans="8:12" ht="14.25" customHeight="1" x14ac:dyDescent="0.25">
      <c r="H165" s="49"/>
      <c r="I165" s="49"/>
      <c r="K165" s="49"/>
      <c r="L165" s="49"/>
    </row>
    <row r="166" spans="8:12" ht="14.25" customHeight="1" x14ac:dyDescent="0.25">
      <c r="H166" s="49"/>
      <c r="I166" s="49"/>
      <c r="K166" s="49"/>
      <c r="L166" s="49"/>
    </row>
    <row r="167" spans="8:12" ht="14.25" customHeight="1" x14ac:dyDescent="0.25">
      <c r="H167" s="49"/>
      <c r="I167" s="49"/>
      <c r="K167" s="49"/>
      <c r="L167" s="49"/>
    </row>
    <row r="168" spans="8:12" ht="14.25" customHeight="1" x14ac:dyDescent="0.25">
      <c r="H168" s="49"/>
      <c r="I168" s="49"/>
      <c r="K168" s="49"/>
      <c r="L168" s="49"/>
    </row>
    <row r="169" spans="8:12" ht="14.25" customHeight="1" x14ac:dyDescent="0.25">
      <c r="H169" s="49"/>
      <c r="I169" s="49"/>
      <c r="K169" s="49"/>
      <c r="L169" s="49"/>
    </row>
    <row r="170" spans="8:12" ht="14.25" customHeight="1" x14ac:dyDescent="0.25">
      <c r="H170" s="49"/>
      <c r="I170" s="49"/>
      <c r="K170" s="49"/>
      <c r="L170" s="49"/>
    </row>
    <row r="171" spans="8:12" ht="14.25" customHeight="1" x14ac:dyDescent="0.25">
      <c r="H171" s="49"/>
      <c r="I171" s="49"/>
      <c r="K171" s="49"/>
      <c r="L171" s="49"/>
    </row>
    <row r="172" spans="8:12" ht="14.25" customHeight="1" x14ac:dyDescent="0.25">
      <c r="H172" s="49"/>
      <c r="I172" s="49"/>
      <c r="K172" s="49"/>
      <c r="L172" s="49"/>
    </row>
    <row r="173" spans="8:12" ht="14.25" customHeight="1" x14ac:dyDescent="0.25">
      <c r="H173" s="49"/>
      <c r="I173" s="49"/>
      <c r="K173" s="49"/>
      <c r="L173" s="49"/>
    </row>
    <row r="174" spans="8:12" ht="14.25" customHeight="1" x14ac:dyDescent="0.25">
      <c r="H174" s="49"/>
      <c r="I174" s="49"/>
      <c r="K174" s="49"/>
      <c r="L174" s="49"/>
    </row>
    <row r="175" spans="8:12" ht="14.25" customHeight="1" x14ac:dyDescent="0.25">
      <c r="H175" s="49"/>
      <c r="I175" s="49"/>
      <c r="K175" s="49"/>
      <c r="L175" s="49"/>
    </row>
    <row r="176" spans="8:12" ht="14.25" customHeight="1" x14ac:dyDescent="0.25">
      <c r="H176" s="49"/>
      <c r="I176" s="49"/>
      <c r="K176" s="49"/>
      <c r="L176" s="49"/>
    </row>
    <row r="177" spans="8:12" ht="14.25" customHeight="1" x14ac:dyDescent="0.25">
      <c r="H177" s="49"/>
      <c r="I177" s="49"/>
      <c r="K177" s="49"/>
      <c r="L177" s="49"/>
    </row>
    <row r="178" spans="8:12" ht="14.25" customHeight="1" x14ac:dyDescent="0.25">
      <c r="H178" s="49"/>
      <c r="I178" s="49"/>
      <c r="K178" s="49"/>
      <c r="L178" s="49"/>
    </row>
    <row r="179" spans="8:12" ht="14.25" customHeight="1" x14ac:dyDescent="0.25">
      <c r="H179" s="49"/>
      <c r="I179" s="49"/>
      <c r="K179" s="49"/>
      <c r="L179" s="49"/>
    </row>
    <row r="180" spans="8:12" ht="14.25" customHeight="1" x14ac:dyDescent="0.25">
      <c r="H180" s="49"/>
      <c r="I180" s="49"/>
      <c r="K180" s="49"/>
      <c r="L180" s="49"/>
    </row>
    <row r="181" spans="8:12" ht="14.25" customHeight="1" x14ac:dyDescent="0.25">
      <c r="H181" s="49"/>
      <c r="I181" s="49"/>
      <c r="K181" s="49"/>
      <c r="L181" s="49"/>
    </row>
    <row r="182" spans="8:12" ht="14.25" customHeight="1" x14ac:dyDescent="0.25">
      <c r="H182" s="49"/>
      <c r="I182" s="49"/>
      <c r="K182" s="49"/>
      <c r="L182" s="49"/>
    </row>
    <row r="183" spans="8:12" ht="14.25" customHeight="1" x14ac:dyDescent="0.25">
      <c r="H183" s="49"/>
      <c r="I183" s="49"/>
      <c r="K183" s="49"/>
      <c r="L183" s="49"/>
    </row>
    <row r="184" spans="8:12" ht="14.25" customHeight="1" x14ac:dyDescent="0.25">
      <c r="H184" s="49"/>
      <c r="I184" s="49"/>
      <c r="K184" s="49"/>
      <c r="L184" s="49"/>
    </row>
    <row r="185" spans="8:12" ht="14.25" customHeight="1" x14ac:dyDescent="0.25">
      <c r="H185" s="49"/>
      <c r="I185" s="49"/>
      <c r="K185" s="49"/>
      <c r="L185" s="49"/>
    </row>
    <row r="186" spans="8:12" ht="14.25" customHeight="1" x14ac:dyDescent="0.25">
      <c r="H186" s="49"/>
      <c r="I186" s="49"/>
      <c r="K186" s="49"/>
      <c r="L186" s="49"/>
    </row>
    <row r="187" spans="8:12" ht="14.25" customHeight="1" x14ac:dyDescent="0.25">
      <c r="H187" s="49"/>
      <c r="I187" s="49"/>
      <c r="K187" s="49"/>
      <c r="L187" s="49"/>
    </row>
    <row r="188" spans="8:12" ht="14.25" customHeight="1" x14ac:dyDescent="0.25">
      <c r="H188" s="49"/>
      <c r="I188" s="49"/>
      <c r="K188" s="49"/>
      <c r="L188" s="49"/>
    </row>
    <row r="189" spans="8:12" ht="14.25" customHeight="1" x14ac:dyDescent="0.25">
      <c r="H189" s="49"/>
      <c r="I189" s="49"/>
      <c r="K189" s="49"/>
      <c r="L189" s="49"/>
    </row>
    <row r="190" spans="8:12" ht="14.25" customHeight="1" x14ac:dyDescent="0.25">
      <c r="H190" s="49"/>
      <c r="I190" s="49"/>
      <c r="K190" s="49"/>
      <c r="L190" s="49"/>
    </row>
    <row r="191" spans="8:12" ht="14.25" customHeight="1" x14ac:dyDescent="0.25">
      <c r="H191" s="49"/>
      <c r="I191" s="49"/>
      <c r="K191" s="49"/>
      <c r="L191" s="49"/>
    </row>
    <row r="192" spans="8:12" ht="14.25" customHeight="1" x14ac:dyDescent="0.25">
      <c r="H192" s="49"/>
      <c r="I192" s="49"/>
      <c r="K192" s="49"/>
      <c r="L192" s="49"/>
    </row>
    <row r="193" spans="8:12" ht="14.25" customHeight="1" x14ac:dyDescent="0.25">
      <c r="H193" s="49"/>
      <c r="I193" s="49"/>
      <c r="K193" s="49"/>
      <c r="L193" s="49"/>
    </row>
    <row r="194" spans="8:12" ht="14.25" customHeight="1" x14ac:dyDescent="0.25">
      <c r="H194" s="49"/>
      <c r="I194" s="49"/>
      <c r="K194" s="49"/>
      <c r="L194" s="49"/>
    </row>
    <row r="195" spans="8:12" ht="14.25" customHeight="1" x14ac:dyDescent="0.25">
      <c r="H195" s="49"/>
      <c r="I195" s="49"/>
      <c r="K195" s="49"/>
      <c r="L195" s="49"/>
    </row>
    <row r="196" spans="8:12" ht="14.25" customHeight="1" x14ac:dyDescent="0.25">
      <c r="H196" s="49"/>
      <c r="I196" s="49"/>
      <c r="K196" s="49"/>
      <c r="L196" s="49"/>
    </row>
    <row r="197" spans="8:12" ht="14.25" customHeight="1" x14ac:dyDescent="0.25">
      <c r="H197" s="49"/>
      <c r="I197" s="49"/>
      <c r="K197" s="49"/>
      <c r="L197" s="49"/>
    </row>
    <row r="198" spans="8:12" ht="14.25" customHeight="1" x14ac:dyDescent="0.25">
      <c r="H198" s="49"/>
      <c r="I198" s="49"/>
      <c r="K198" s="49"/>
      <c r="L198" s="49"/>
    </row>
    <row r="199" spans="8:12" ht="14.25" customHeight="1" x14ac:dyDescent="0.25">
      <c r="H199" s="49"/>
      <c r="I199" s="49"/>
      <c r="K199" s="49"/>
      <c r="L199" s="49"/>
    </row>
    <row r="200" spans="8:12" ht="14.25" customHeight="1" x14ac:dyDescent="0.25">
      <c r="H200" s="49"/>
      <c r="I200" s="49"/>
      <c r="K200" s="49"/>
      <c r="L200" s="49"/>
    </row>
    <row r="201" spans="8:12" ht="14.25" customHeight="1" x14ac:dyDescent="0.25">
      <c r="H201" s="49"/>
      <c r="I201" s="49"/>
      <c r="K201" s="49"/>
      <c r="L201" s="49"/>
    </row>
    <row r="202" spans="8:12" ht="14.25" customHeight="1" x14ac:dyDescent="0.25">
      <c r="H202" s="49"/>
      <c r="I202" s="49"/>
      <c r="K202" s="49"/>
      <c r="L202" s="49"/>
    </row>
    <row r="203" spans="8:12" ht="14.25" customHeight="1" x14ac:dyDescent="0.25">
      <c r="H203" s="49"/>
      <c r="I203" s="49"/>
      <c r="K203" s="49"/>
      <c r="L203" s="49"/>
    </row>
    <row r="204" spans="8:12" ht="14.25" customHeight="1" x14ac:dyDescent="0.25">
      <c r="H204" s="49"/>
      <c r="I204" s="49"/>
      <c r="K204" s="49"/>
      <c r="L204" s="49"/>
    </row>
    <row r="205" spans="8:12" ht="14.25" customHeight="1" x14ac:dyDescent="0.25">
      <c r="H205" s="49"/>
      <c r="I205" s="49"/>
      <c r="K205" s="49"/>
      <c r="L205" s="49"/>
    </row>
    <row r="206" spans="8:12" ht="14.25" customHeight="1" x14ac:dyDescent="0.25">
      <c r="H206" s="49"/>
      <c r="I206" s="49"/>
      <c r="K206" s="49"/>
      <c r="L206" s="49"/>
    </row>
    <row r="207" spans="8:12" ht="14.25" customHeight="1" x14ac:dyDescent="0.25">
      <c r="H207" s="49"/>
      <c r="I207" s="49"/>
      <c r="K207" s="49"/>
      <c r="L207" s="49"/>
    </row>
    <row r="208" spans="8:12" ht="14.25" customHeight="1" x14ac:dyDescent="0.25">
      <c r="H208" s="49"/>
      <c r="I208" s="49"/>
      <c r="K208" s="49"/>
      <c r="L208" s="49"/>
    </row>
    <row r="209" spans="8:12" ht="14.25" customHeight="1" x14ac:dyDescent="0.25">
      <c r="H209" s="49"/>
      <c r="I209" s="49"/>
      <c r="K209" s="49"/>
      <c r="L209" s="49"/>
    </row>
    <row r="210" spans="8:12" ht="14.25" customHeight="1" x14ac:dyDescent="0.25">
      <c r="H210" s="49"/>
      <c r="I210" s="49"/>
      <c r="K210" s="49"/>
      <c r="L210" s="49"/>
    </row>
    <row r="211" spans="8:12" ht="14.25" customHeight="1" x14ac:dyDescent="0.25">
      <c r="H211" s="49"/>
      <c r="I211" s="49"/>
      <c r="K211" s="49"/>
      <c r="L211" s="49"/>
    </row>
    <row r="212" spans="8:12" ht="14.25" customHeight="1" x14ac:dyDescent="0.25">
      <c r="H212" s="49"/>
      <c r="I212" s="49"/>
      <c r="K212" s="49"/>
      <c r="L212" s="49"/>
    </row>
    <row r="213" spans="8:12" ht="14.25" customHeight="1" x14ac:dyDescent="0.25">
      <c r="H213" s="49"/>
      <c r="I213" s="49"/>
      <c r="K213" s="49"/>
      <c r="L213" s="49"/>
    </row>
    <row r="214" spans="8:12" ht="14.25" customHeight="1" x14ac:dyDescent="0.25">
      <c r="H214" s="49"/>
      <c r="I214" s="49"/>
      <c r="K214" s="49"/>
      <c r="L214" s="49"/>
    </row>
    <row r="215" spans="8:12" ht="14.25" customHeight="1" x14ac:dyDescent="0.25">
      <c r="H215" s="49"/>
      <c r="I215" s="49"/>
      <c r="K215" s="49"/>
      <c r="L215" s="49"/>
    </row>
    <row r="216" spans="8:12" ht="14.25" customHeight="1" x14ac:dyDescent="0.25">
      <c r="H216" s="49"/>
      <c r="I216" s="49"/>
      <c r="K216" s="49"/>
      <c r="L216" s="49"/>
    </row>
    <row r="217" spans="8:12" ht="14.25" customHeight="1" x14ac:dyDescent="0.25">
      <c r="H217" s="49"/>
      <c r="I217" s="49"/>
      <c r="K217" s="49"/>
      <c r="L217" s="49"/>
    </row>
    <row r="218" spans="8:12" ht="14.25" customHeight="1" x14ac:dyDescent="0.25">
      <c r="H218" s="49"/>
      <c r="I218" s="49"/>
      <c r="K218" s="49"/>
      <c r="L218" s="49"/>
    </row>
    <row r="219" spans="8:12" ht="14.25" customHeight="1" x14ac:dyDescent="0.25">
      <c r="H219" s="49"/>
      <c r="I219" s="49"/>
      <c r="K219" s="49"/>
      <c r="L219" s="49"/>
    </row>
    <row r="220" spans="8:12" ht="14.25" customHeight="1" x14ac:dyDescent="0.25">
      <c r="H220" s="49"/>
      <c r="I220" s="49"/>
      <c r="K220" s="49"/>
      <c r="L220" s="49"/>
    </row>
    <row r="221" spans="8:12" ht="14.25" customHeight="1" x14ac:dyDescent="0.25">
      <c r="H221" s="49"/>
      <c r="I221" s="49"/>
      <c r="K221" s="49"/>
      <c r="L221" s="49"/>
    </row>
    <row r="222" spans="8:12" ht="14.25" customHeight="1" x14ac:dyDescent="0.25">
      <c r="H222" s="49"/>
      <c r="I222" s="49"/>
      <c r="K222" s="49"/>
      <c r="L222" s="49"/>
    </row>
    <row r="223" spans="8:12" ht="14.25" customHeight="1" x14ac:dyDescent="0.25">
      <c r="H223" s="49"/>
      <c r="I223" s="49"/>
      <c r="K223" s="49"/>
      <c r="L223" s="49"/>
    </row>
    <row r="224" spans="8:12" ht="14.25" customHeight="1" x14ac:dyDescent="0.25">
      <c r="H224" s="49"/>
      <c r="I224" s="49"/>
      <c r="K224" s="49"/>
      <c r="L224" s="49"/>
    </row>
    <row r="225" spans="8:12" ht="14.25" customHeight="1" x14ac:dyDescent="0.25">
      <c r="H225" s="49"/>
      <c r="I225" s="49"/>
      <c r="K225" s="49"/>
      <c r="L225" s="49"/>
    </row>
    <row r="226" spans="8:12" ht="14.25" customHeight="1" x14ac:dyDescent="0.25">
      <c r="H226" s="49"/>
      <c r="I226" s="49"/>
      <c r="K226" s="49"/>
      <c r="L226" s="49"/>
    </row>
    <row r="227" spans="8:12" ht="14.25" customHeight="1" x14ac:dyDescent="0.25">
      <c r="H227" s="49"/>
      <c r="I227" s="49"/>
      <c r="K227" s="49"/>
      <c r="L227" s="49"/>
    </row>
    <row r="228" spans="8:12" ht="14.25" customHeight="1" x14ac:dyDescent="0.25">
      <c r="H228" s="49"/>
      <c r="I228" s="49"/>
      <c r="K228" s="49"/>
      <c r="L228" s="49"/>
    </row>
    <row r="229" spans="8:12" ht="14.25" customHeight="1" x14ac:dyDescent="0.25">
      <c r="H229" s="49"/>
      <c r="I229" s="49"/>
      <c r="K229" s="49"/>
      <c r="L229" s="49"/>
    </row>
    <row r="230" spans="8:12" ht="14.25" customHeight="1" x14ac:dyDescent="0.25">
      <c r="H230" s="49"/>
      <c r="I230" s="49"/>
      <c r="K230" s="49"/>
      <c r="L230" s="49"/>
    </row>
    <row r="231" spans="8:12" ht="14.25" customHeight="1" x14ac:dyDescent="0.25">
      <c r="H231" s="49"/>
      <c r="I231" s="49"/>
      <c r="K231" s="49"/>
      <c r="L231" s="49"/>
    </row>
    <row r="232" spans="8:12" ht="14.25" customHeight="1" x14ac:dyDescent="0.25">
      <c r="H232" s="49"/>
      <c r="I232" s="49"/>
      <c r="K232" s="49"/>
      <c r="L232" s="49"/>
    </row>
    <row r="233" spans="8:12" ht="14.25" customHeight="1" x14ac:dyDescent="0.25">
      <c r="H233" s="49"/>
      <c r="I233" s="49"/>
      <c r="K233" s="49"/>
      <c r="L233" s="49"/>
    </row>
    <row r="234" spans="8:12" ht="14.25" customHeight="1" x14ac:dyDescent="0.25">
      <c r="H234" s="49"/>
      <c r="I234" s="49"/>
      <c r="K234" s="49"/>
      <c r="L234" s="49"/>
    </row>
    <row r="235" spans="8:12" ht="14.25" customHeight="1" x14ac:dyDescent="0.25">
      <c r="H235" s="49"/>
      <c r="I235" s="49"/>
      <c r="K235" s="49"/>
      <c r="L235" s="49"/>
    </row>
    <row r="236" spans="8:12" ht="14.25" customHeight="1" x14ac:dyDescent="0.25">
      <c r="H236" s="49"/>
      <c r="I236" s="49"/>
      <c r="K236" s="49"/>
      <c r="L236" s="49"/>
    </row>
    <row r="237" spans="8:12" ht="14.25" customHeight="1" x14ac:dyDescent="0.25">
      <c r="H237" s="49"/>
      <c r="I237" s="49"/>
      <c r="K237" s="49"/>
      <c r="L237" s="49"/>
    </row>
    <row r="238" spans="8:12" ht="14.25" customHeight="1" x14ac:dyDescent="0.25">
      <c r="H238" s="49"/>
      <c r="I238" s="49"/>
      <c r="K238" s="49"/>
      <c r="L238" s="49"/>
    </row>
    <row r="239" spans="8:12" ht="14.25" customHeight="1" x14ac:dyDescent="0.25">
      <c r="H239" s="49"/>
      <c r="I239" s="49"/>
      <c r="K239" s="49"/>
      <c r="L239" s="49"/>
    </row>
    <row r="240" spans="8:12" ht="14.25" customHeight="1" x14ac:dyDescent="0.25">
      <c r="H240" s="49"/>
      <c r="I240" s="49"/>
      <c r="K240" s="49"/>
      <c r="L240" s="49"/>
    </row>
    <row r="241" spans="8:12" ht="14.25" customHeight="1" x14ac:dyDescent="0.25">
      <c r="H241" s="49"/>
      <c r="I241" s="49"/>
      <c r="K241" s="49"/>
      <c r="L241" s="49"/>
    </row>
    <row r="242" spans="8:12" ht="14.25" customHeight="1" x14ac:dyDescent="0.25">
      <c r="H242" s="49"/>
      <c r="I242" s="49"/>
      <c r="K242" s="49"/>
      <c r="L242" s="49"/>
    </row>
    <row r="243" spans="8:12" ht="14.25" customHeight="1" x14ac:dyDescent="0.25">
      <c r="H243" s="49"/>
      <c r="I243" s="49"/>
      <c r="K243" s="49"/>
      <c r="L243" s="49"/>
    </row>
    <row r="244" spans="8:12" ht="14.25" customHeight="1" x14ac:dyDescent="0.25">
      <c r="H244" s="49"/>
      <c r="I244" s="49"/>
      <c r="K244" s="49"/>
      <c r="L244" s="49"/>
    </row>
    <row r="245" spans="8:12" ht="14.25" customHeight="1" x14ac:dyDescent="0.25">
      <c r="H245" s="49"/>
      <c r="I245" s="49"/>
      <c r="K245" s="49"/>
      <c r="L245" s="49"/>
    </row>
    <row r="246" spans="8:12" ht="14.25" customHeight="1" x14ac:dyDescent="0.25">
      <c r="H246" s="49"/>
      <c r="I246" s="49"/>
      <c r="K246" s="49"/>
      <c r="L246" s="49"/>
    </row>
    <row r="247" spans="8:12" ht="14.25" customHeight="1" x14ac:dyDescent="0.25">
      <c r="H247" s="49"/>
      <c r="I247" s="49"/>
      <c r="K247" s="49"/>
      <c r="L247" s="49"/>
    </row>
    <row r="248" spans="8:12" ht="14.25" customHeight="1" x14ac:dyDescent="0.25">
      <c r="H248" s="49"/>
      <c r="I248" s="49"/>
      <c r="K248" s="49"/>
      <c r="L248" s="49"/>
    </row>
    <row r="249" spans="8:12" ht="14.25" customHeight="1" x14ac:dyDescent="0.25">
      <c r="H249" s="49"/>
      <c r="I249" s="49"/>
      <c r="K249" s="49"/>
      <c r="L249" s="49"/>
    </row>
    <row r="250" spans="8:12" ht="14.25" customHeight="1" x14ac:dyDescent="0.25">
      <c r="H250" s="49"/>
      <c r="I250" s="49"/>
      <c r="K250" s="49"/>
      <c r="L250" s="49"/>
    </row>
    <row r="251" spans="8:12" ht="14.25" customHeight="1" x14ac:dyDescent="0.25">
      <c r="H251" s="49"/>
      <c r="I251" s="49"/>
      <c r="K251" s="49"/>
      <c r="L251" s="49"/>
    </row>
    <row r="252" spans="8:12" ht="14.25" customHeight="1" x14ac:dyDescent="0.25">
      <c r="H252" s="49"/>
      <c r="I252" s="49"/>
      <c r="K252" s="49"/>
      <c r="L252" s="49"/>
    </row>
    <row r="253" spans="8:12" ht="14.25" customHeight="1" x14ac:dyDescent="0.25">
      <c r="H253" s="49"/>
      <c r="I253" s="49"/>
      <c r="K253" s="49"/>
      <c r="L253" s="49"/>
    </row>
    <row r="254" spans="8:12" ht="14.25" customHeight="1" x14ac:dyDescent="0.25">
      <c r="H254" s="49"/>
      <c r="I254" s="49"/>
      <c r="K254" s="49"/>
      <c r="L254" s="49"/>
    </row>
    <row r="255" spans="8:12" ht="14.25" customHeight="1" x14ac:dyDescent="0.25">
      <c r="H255" s="49"/>
      <c r="I255" s="49"/>
      <c r="K255" s="49"/>
      <c r="L255" s="49"/>
    </row>
    <row r="256" spans="8:12" ht="14.25" customHeight="1" x14ac:dyDescent="0.25">
      <c r="H256" s="49"/>
      <c r="I256" s="49"/>
      <c r="K256" s="49"/>
      <c r="L256" s="49"/>
    </row>
    <row r="257" spans="8:12" ht="14.25" customHeight="1" x14ac:dyDescent="0.25">
      <c r="H257" s="49"/>
      <c r="I257" s="49"/>
      <c r="K257" s="49"/>
      <c r="L257" s="49"/>
    </row>
    <row r="258" spans="8:12" ht="14.25" customHeight="1" x14ac:dyDescent="0.25">
      <c r="H258" s="49"/>
      <c r="I258" s="49"/>
      <c r="K258" s="49"/>
      <c r="L258" s="49"/>
    </row>
    <row r="259" spans="8:12" ht="14.25" customHeight="1" x14ac:dyDescent="0.25">
      <c r="H259" s="49"/>
      <c r="I259" s="49"/>
      <c r="K259" s="49"/>
      <c r="L259" s="49"/>
    </row>
    <row r="260" spans="8:12" ht="14.25" customHeight="1" x14ac:dyDescent="0.25">
      <c r="H260" s="49"/>
      <c r="I260" s="49"/>
      <c r="K260" s="49"/>
      <c r="L260" s="49"/>
    </row>
    <row r="261" spans="8:12" ht="15.75" customHeight="1" x14ac:dyDescent="0.25"/>
    <row r="262" spans="8:12" ht="15.75" customHeight="1" x14ac:dyDescent="0.25"/>
    <row r="263" spans="8:12" ht="15.75" customHeight="1" x14ac:dyDescent="0.25"/>
    <row r="264" spans="8:12" ht="15.75" customHeight="1" x14ac:dyDescent="0.25"/>
    <row r="265" spans="8:12" ht="15.75" customHeight="1" x14ac:dyDescent="0.25"/>
    <row r="266" spans="8:12" ht="15.75" customHeight="1" x14ac:dyDescent="0.25"/>
    <row r="267" spans="8:12" ht="15.75" customHeight="1" x14ac:dyDescent="0.25"/>
    <row r="268" spans="8:12" ht="15.75" customHeight="1" x14ac:dyDescent="0.25"/>
    <row r="269" spans="8:12" ht="15.75" customHeight="1" x14ac:dyDescent="0.25"/>
    <row r="270" spans="8:12" ht="15.75" customHeight="1" x14ac:dyDescent="0.25"/>
    <row r="271" spans="8:12" ht="15.75" customHeight="1" x14ac:dyDescent="0.25"/>
    <row r="272" spans="8:1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4">
    <mergeCell ref="AL31:AM31"/>
    <mergeCell ref="Z37:AA37"/>
    <mergeCell ref="AC37:AD37"/>
    <mergeCell ref="AF37:AG37"/>
    <mergeCell ref="AI37:AJ37"/>
    <mergeCell ref="AL37:AM37"/>
    <mergeCell ref="AU42:AV42"/>
    <mergeCell ref="AX42:AY42"/>
    <mergeCell ref="Z40:AM40"/>
    <mergeCell ref="AO40:AP40"/>
    <mergeCell ref="AR40:AS40"/>
    <mergeCell ref="AU40:BH40"/>
    <mergeCell ref="BG38:BH38"/>
    <mergeCell ref="AO37:AP37"/>
    <mergeCell ref="AU37:AV37"/>
    <mergeCell ref="AX37:AY37"/>
    <mergeCell ref="BA37:BB37"/>
    <mergeCell ref="BD37:BE37"/>
    <mergeCell ref="BG37:BH37"/>
    <mergeCell ref="BJ37:BK37"/>
    <mergeCell ref="BV52:BW52"/>
    <mergeCell ref="BV53:BW53"/>
    <mergeCell ref="BV55:BW55"/>
    <mergeCell ref="BV57:BW57"/>
    <mergeCell ref="BV58:BW58"/>
    <mergeCell ref="BV60:BW60"/>
    <mergeCell ref="BG52:BH52"/>
    <mergeCell ref="BG57:BH57"/>
    <mergeCell ref="BJ57:BK57"/>
    <mergeCell ref="BM57:BN57"/>
    <mergeCell ref="BP57:BQ57"/>
    <mergeCell ref="BS57:BT57"/>
    <mergeCell ref="BG60:BT60"/>
    <mergeCell ref="BJ52:BK52"/>
    <mergeCell ref="BM52:BN52"/>
    <mergeCell ref="BP52:BQ52"/>
    <mergeCell ref="BS52:BT52"/>
    <mergeCell ref="BG55:BT55"/>
    <mergeCell ref="BJ40:BK40"/>
    <mergeCell ref="BJ38:BK38"/>
    <mergeCell ref="AO50:BB50"/>
    <mergeCell ref="BD50:BE50"/>
    <mergeCell ref="BA42:BB42"/>
    <mergeCell ref="BD42:BE42"/>
    <mergeCell ref="AO43:BE43"/>
    <mergeCell ref="AO45:BB45"/>
    <mergeCell ref="BD45:BE45"/>
    <mergeCell ref="AO47:AP47"/>
    <mergeCell ref="AO48:AP48"/>
    <mergeCell ref="BA48:BB48"/>
    <mergeCell ref="BD48:BE48"/>
    <mergeCell ref="AO42:AP42"/>
    <mergeCell ref="AR42:AS42"/>
    <mergeCell ref="AU47:AV47"/>
    <mergeCell ref="AX47:AY47"/>
    <mergeCell ref="Q28:R28"/>
    <mergeCell ref="T28:U28"/>
    <mergeCell ref="W28:X28"/>
    <mergeCell ref="Z28:AA28"/>
    <mergeCell ref="BA47:BB47"/>
    <mergeCell ref="BD47:BE47"/>
    <mergeCell ref="AR47:AS47"/>
    <mergeCell ref="AR48:AS48"/>
    <mergeCell ref="AU48:AV48"/>
    <mergeCell ref="AX48:AY48"/>
    <mergeCell ref="AC28:AD28"/>
    <mergeCell ref="AF28:AG28"/>
    <mergeCell ref="AI28:AJ28"/>
    <mergeCell ref="AL28:AM28"/>
    <mergeCell ref="T29:AM30"/>
    <mergeCell ref="Q31:R31"/>
    <mergeCell ref="T31:AG31"/>
    <mergeCell ref="AR37:AS37"/>
    <mergeCell ref="Z38:AS38"/>
    <mergeCell ref="AU38:AV38"/>
    <mergeCell ref="AX38:AY38"/>
    <mergeCell ref="BA38:BB38"/>
    <mergeCell ref="BD38:BE38"/>
    <mergeCell ref="AI31:AJ31"/>
    <mergeCell ref="B12:B16"/>
    <mergeCell ref="H14:K14"/>
    <mergeCell ref="B24:B26"/>
    <mergeCell ref="Z9:AA9"/>
    <mergeCell ref="AC9:AD9"/>
    <mergeCell ref="AF9:AG9"/>
    <mergeCell ref="AI9:AJ9"/>
    <mergeCell ref="AL9:AM9"/>
    <mergeCell ref="AO9:AP9"/>
    <mergeCell ref="AO12:AP12"/>
    <mergeCell ref="K12:N12"/>
    <mergeCell ref="Q12:R12"/>
    <mergeCell ref="N22:O22"/>
    <mergeCell ref="H10:I10"/>
    <mergeCell ref="H12:I12"/>
    <mergeCell ref="T12:AJ12"/>
    <mergeCell ref="AL12:AM12"/>
    <mergeCell ref="BV9:BW9"/>
    <mergeCell ref="BY9:BZ9"/>
    <mergeCell ref="BJ12:BZ12"/>
    <mergeCell ref="AU10:AV10"/>
    <mergeCell ref="AX10:AY10"/>
    <mergeCell ref="BA10:BB10"/>
    <mergeCell ref="BD10:BE10"/>
    <mergeCell ref="BG10:BH10"/>
    <mergeCell ref="BS9:BT9"/>
    <mergeCell ref="AR10:AS10"/>
    <mergeCell ref="AR12:AS12"/>
    <mergeCell ref="BD5:BE5"/>
    <mergeCell ref="BA9:BB9"/>
    <mergeCell ref="BD9:BE9"/>
    <mergeCell ref="BG9:BH9"/>
    <mergeCell ref="BJ9:BK9"/>
    <mergeCell ref="BM9:BN9"/>
    <mergeCell ref="AU12:AV12"/>
    <mergeCell ref="AX12:AY12"/>
    <mergeCell ref="BA12:BB12"/>
    <mergeCell ref="BD12:BE12"/>
    <mergeCell ref="BG12:BH12"/>
    <mergeCell ref="Z5:AA5"/>
    <mergeCell ref="BM5:BN5"/>
    <mergeCell ref="H9:L9"/>
    <mergeCell ref="N9:O9"/>
    <mergeCell ref="Q9:R9"/>
    <mergeCell ref="T9:U9"/>
    <mergeCell ref="W9:X9"/>
    <mergeCell ref="BP9:BQ9"/>
    <mergeCell ref="AU9:AV9"/>
    <mergeCell ref="AX9:AY9"/>
    <mergeCell ref="BP5:BQ5"/>
    <mergeCell ref="AR9:AS9"/>
    <mergeCell ref="BS5:BT5"/>
    <mergeCell ref="BV5:BW5"/>
    <mergeCell ref="BY5:BZ5"/>
    <mergeCell ref="CB5:CC5"/>
    <mergeCell ref="H3:L3"/>
    <mergeCell ref="N3:AV3"/>
    <mergeCell ref="AX3:CF3"/>
    <mergeCell ref="H5:L5"/>
    <mergeCell ref="N5:O5"/>
    <mergeCell ref="Q5:R5"/>
    <mergeCell ref="T5:U5"/>
    <mergeCell ref="CE5:CF5"/>
    <mergeCell ref="AC5:AD5"/>
    <mergeCell ref="AF5:AG5"/>
    <mergeCell ref="AI5:AJ5"/>
    <mergeCell ref="AL5:AM5"/>
    <mergeCell ref="AO5:AP5"/>
    <mergeCell ref="AR5:AS5"/>
    <mergeCell ref="AU5:AV5"/>
    <mergeCell ref="AX5:AY5"/>
    <mergeCell ref="BG5:BH5"/>
    <mergeCell ref="BJ5:BK5"/>
    <mergeCell ref="BA5:BB5"/>
    <mergeCell ref="W5:X5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E1000"/>
  <sheetViews>
    <sheetView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10" defaultColWidth="14.42578125" defaultRowHeight="15" customHeight="1" x14ac:dyDescent="0.25"/>
  <cols>
    <col min="1" max="1" width="2.140625" customWidth="1"/>
    <col min="2" max="2" width="24.85546875" customWidth="1"/>
    <col min="3" max="3" width="1.28515625" customWidth="1"/>
    <col min="4" max="4" width="24.7109375" customWidth="1"/>
    <col min="5" max="5" width="1.28515625" customWidth="1"/>
    <col min="6" max="6" width="33.28515625" customWidth="1"/>
    <col min="7" max="7" width="3.140625" customWidth="1"/>
    <col min="8" max="15" width="43" customWidth="1"/>
    <col min="16" max="31" width="7.28515625" customWidth="1"/>
  </cols>
  <sheetData>
    <row r="1" spans="2:31" ht="14.25" customHeight="1" x14ac:dyDescent="0.25">
      <c r="H1" s="49"/>
      <c r="I1" s="49"/>
      <c r="J1" s="49"/>
      <c r="K1" s="49"/>
      <c r="L1" s="49"/>
      <c r="M1" s="49"/>
      <c r="N1" s="49"/>
      <c r="O1" s="49"/>
    </row>
    <row r="2" spans="2:31" ht="14.25" customHeight="1" x14ac:dyDescent="0.25">
      <c r="H2" s="49"/>
      <c r="I2" s="49"/>
      <c r="J2" s="49"/>
      <c r="K2" s="49"/>
      <c r="L2" s="49"/>
      <c r="M2" s="49"/>
      <c r="N2" s="49"/>
      <c r="O2" s="49"/>
    </row>
    <row r="3" spans="2:31" ht="49.5" customHeight="1" x14ac:dyDescent="0.25">
      <c r="H3" s="871">
        <v>2024</v>
      </c>
      <c r="I3" s="568"/>
      <c r="J3" s="568"/>
      <c r="K3" s="568"/>
      <c r="L3" s="568"/>
      <c r="M3" s="568"/>
      <c r="N3" s="568"/>
      <c r="O3" s="569"/>
    </row>
    <row r="4" spans="2:31" ht="6" customHeight="1" x14ac:dyDescent="0.25">
      <c r="H4" s="49"/>
      <c r="I4" s="49"/>
      <c r="J4" s="49"/>
      <c r="K4" s="49"/>
      <c r="L4" s="49"/>
      <c r="M4" s="49"/>
      <c r="N4" s="49"/>
      <c r="O4" s="49"/>
    </row>
    <row r="5" spans="2:31" ht="57.75" customHeight="1" x14ac:dyDescent="0.25">
      <c r="B5" s="11" t="s">
        <v>28</v>
      </c>
      <c r="C5" s="52"/>
      <c r="D5" s="11" t="s">
        <v>532</v>
      </c>
      <c r="E5" s="52"/>
      <c r="F5" s="11" t="s">
        <v>672</v>
      </c>
      <c r="G5" s="52"/>
      <c r="H5" s="399" t="s">
        <v>673</v>
      </c>
      <c r="I5" s="400"/>
      <c r="J5" s="400"/>
      <c r="K5" s="401"/>
      <c r="L5" s="872" t="s">
        <v>93</v>
      </c>
      <c r="M5" s="582"/>
      <c r="N5" s="582"/>
      <c r="O5" s="572"/>
    </row>
    <row r="6" spans="2:31" ht="6.75" customHeight="1" x14ac:dyDescent="0.25">
      <c r="B6" s="5"/>
      <c r="F6" s="5"/>
      <c r="H6" s="49"/>
      <c r="I6" s="49"/>
      <c r="J6" s="49"/>
      <c r="K6" s="49"/>
      <c r="L6" s="49"/>
      <c r="M6" s="49"/>
      <c r="N6" s="49"/>
      <c r="O6" s="49"/>
    </row>
    <row r="7" spans="2:31" ht="23.25" customHeight="1" x14ac:dyDescent="0.25">
      <c r="B7" s="5"/>
      <c r="F7" s="5"/>
      <c r="H7" s="167" t="s">
        <v>198</v>
      </c>
      <c r="I7" s="167" t="s">
        <v>199</v>
      </c>
      <c r="J7" s="167" t="s">
        <v>200</v>
      </c>
      <c r="K7" s="167" t="s">
        <v>201</v>
      </c>
      <c r="L7" s="167" t="s">
        <v>198</v>
      </c>
      <c r="M7" s="167" t="s">
        <v>199</v>
      </c>
      <c r="N7" s="167" t="s">
        <v>200</v>
      </c>
      <c r="O7" s="167" t="s">
        <v>201</v>
      </c>
    </row>
    <row r="8" spans="2:31" ht="10.5" customHeight="1" x14ac:dyDescent="0.25">
      <c r="B8" s="5"/>
      <c r="F8" s="5"/>
      <c r="H8" s="49"/>
      <c r="I8" s="49"/>
      <c r="J8" s="49"/>
      <c r="K8" s="49"/>
      <c r="L8" s="49"/>
      <c r="M8" s="49"/>
      <c r="N8" s="49"/>
      <c r="O8" s="49"/>
    </row>
    <row r="9" spans="2:31" ht="53.25" customHeight="1" x14ac:dyDescent="0.25">
      <c r="B9" s="5"/>
      <c r="D9" s="5"/>
      <c r="F9" s="5"/>
      <c r="H9" s="873" t="s">
        <v>674</v>
      </c>
      <c r="I9" s="568"/>
      <c r="J9" s="568"/>
      <c r="K9" s="568"/>
      <c r="L9" s="568"/>
      <c r="M9" s="568"/>
      <c r="N9" s="568"/>
      <c r="O9" s="569"/>
    </row>
    <row r="10" spans="2:31" ht="6.75" customHeight="1" x14ac:dyDescent="0.25">
      <c r="B10" s="5"/>
      <c r="F10" s="5"/>
      <c r="H10" s="49"/>
      <c r="I10" s="49"/>
      <c r="J10" s="49"/>
      <c r="K10" s="49"/>
      <c r="L10" s="49"/>
      <c r="M10" s="49"/>
      <c r="N10" s="49"/>
      <c r="O10" s="49"/>
    </row>
    <row r="11" spans="2:31" ht="24" customHeight="1" x14ac:dyDescent="0.25">
      <c r="B11" s="5"/>
      <c r="D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2:31" ht="6.75" customHeight="1" x14ac:dyDescent="0.25">
      <c r="B12" s="5"/>
      <c r="F12" s="5"/>
      <c r="H12" s="49"/>
      <c r="I12" s="49"/>
      <c r="J12" s="49"/>
      <c r="K12" s="49"/>
      <c r="L12" s="49"/>
      <c r="M12" s="49"/>
      <c r="N12" s="49"/>
      <c r="O12" s="5"/>
    </row>
    <row r="13" spans="2:31" ht="48" customHeight="1" x14ac:dyDescent="0.25">
      <c r="B13" s="874" t="s">
        <v>675</v>
      </c>
      <c r="D13" s="402" t="s">
        <v>676</v>
      </c>
      <c r="F13" s="403" t="s">
        <v>677</v>
      </c>
      <c r="H13" s="875" t="s">
        <v>678</v>
      </c>
      <c r="I13" s="610"/>
      <c r="J13" s="610"/>
      <c r="K13" s="610"/>
      <c r="L13" s="5"/>
      <c r="M13" s="5"/>
      <c r="N13" s="5"/>
      <c r="O13" s="5"/>
    </row>
    <row r="14" spans="2:31" ht="6" customHeight="1" x14ac:dyDescent="0.25">
      <c r="B14" s="714"/>
      <c r="D14" s="404"/>
      <c r="F14" s="405"/>
      <c r="H14" s="5"/>
      <c r="I14" s="5"/>
      <c r="J14" s="5"/>
      <c r="K14" s="5"/>
      <c r="L14" s="5"/>
      <c r="M14" s="5"/>
      <c r="N14" s="5"/>
      <c r="O14" s="5"/>
    </row>
    <row r="15" spans="2:31" ht="48" customHeight="1" x14ac:dyDescent="0.25">
      <c r="B15" s="714"/>
      <c r="D15" s="406" t="s">
        <v>679</v>
      </c>
      <c r="F15" s="403" t="s">
        <v>677</v>
      </c>
      <c r="H15" s="876" t="s">
        <v>680</v>
      </c>
      <c r="I15" s="582"/>
      <c r="J15" s="582"/>
      <c r="K15" s="589"/>
      <c r="L15" s="5"/>
      <c r="M15" s="5"/>
      <c r="N15" s="5"/>
      <c r="O15" s="5"/>
    </row>
    <row r="16" spans="2:31" ht="6" customHeight="1" x14ac:dyDescent="0.25">
      <c r="B16" s="714"/>
      <c r="D16" s="404"/>
      <c r="F16" s="405"/>
      <c r="H16" s="5"/>
      <c r="I16" s="5"/>
      <c r="J16" s="5"/>
      <c r="K16" s="5"/>
      <c r="L16" s="5"/>
      <c r="M16" s="5"/>
      <c r="N16" s="5"/>
      <c r="O16" s="5"/>
    </row>
    <row r="17" spans="2:15" ht="41.25" customHeight="1" x14ac:dyDescent="0.25">
      <c r="B17" s="714"/>
      <c r="D17" s="867" t="s">
        <v>681</v>
      </c>
      <c r="F17" s="403" t="s">
        <v>682</v>
      </c>
      <c r="H17" s="883" t="s">
        <v>683</v>
      </c>
      <c r="I17" s="582"/>
      <c r="J17" s="572"/>
      <c r="K17" s="5"/>
      <c r="L17" s="5"/>
      <c r="M17" s="5"/>
      <c r="N17" s="5"/>
      <c r="O17" s="5"/>
    </row>
    <row r="18" spans="2:15" ht="6" customHeight="1" x14ac:dyDescent="0.25">
      <c r="B18" s="714"/>
      <c r="D18" s="714"/>
      <c r="F18" s="403"/>
      <c r="H18" s="5"/>
      <c r="I18" s="5"/>
      <c r="J18" s="5"/>
      <c r="K18" s="5"/>
      <c r="L18" s="5"/>
      <c r="M18" s="5"/>
      <c r="N18" s="5"/>
      <c r="O18" s="5"/>
    </row>
    <row r="19" spans="2:15" ht="36" customHeight="1" x14ac:dyDescent="0.25">
      <c r="B19" s="714"/>
      <c r="D19" s="714"/>
      <c r="F19" s="403" t="s">
        <v>684</v>
      </c>
      <c r="H19" s="866" t="s">
        <v>685</v>
      </c>
      <c r="I19" s="582"/>
      <c r="J19" s="572"/>
      <c r="K19" s="5"/>
      <c r="L19" s="5"/>
      <c r="M19" s="5"/>
      <c r="N19" s="5"/>
      <c r="O19" s="5"/>
    </row>
    <row r="20" spans="2:15" ht="6" customHeight="1" x14ac:dyDescent="0.25">
      <c r="B20" s="714"/>
      <c r="D20" s="714"/>
      <c r="F20" s="403"/>
      <c r="H20" s="5"/>
      <c r="I20" s="5"/>
      <c r="J20" s="5"/>
      <c r="K20" s="5"/>
      <c r="L20" s="5"/>
      <c r="M20" s="5"/>
      <c r="N20" s="5"/>
      <c r="O20" s="5"/>
    </row>
    <row r="21" spans="2:15" ht="36" customHeight="1" x14ac:dyDescent="0.25">
      <c r="B21" s="714"/>
      <c r="D21" s="714"/>
      <c r="F21" s="403" t="s">
        <v>686</v>
      </c>
      <c r="H21" s="877" t="s">
        <v>687</v>
      </c>
      <c r="I21" s="572"/>
      <c r="J21" s="5"/>
      <c r="K21" s="5"/>
      <c r="L21" s="5"/>
      <c r="M21" s="5"/>
      <c r="N21" s="5"/>
      <c r="O21" s="5"/>
    </row>
    <row r="22" spans="2:15" ht="6" customHeight="1" x14ac:dyDescent="0.25">
      <c r="B22" s="714"/>
      <c r="D22" s="714"/>
      <c r="F22" s="403"/>
      <c r="H22" s="5"/>
      <c r="I22" s="5"/>
      <c r="J22" s="5"/>
      <c r="K22" s="5"/>
      <c r="L22" s="5"/>
      <c r="M22" s="5"/>
      <c r="N22" s="5"/>
      <c r="O22" s="5"/>
    </row>
    <row r="23" spans="2:15" ht="37.5" customHeight="1" x14ac:dyDescent="0.25">
      <c r="B23" s="714"/>
      <c r="D23" s="678"/>
      <c r="F23" s="403" t="s">
        <v>688</v>
      </c>
      <c r="H23" s="407" t="s">
        <v>689</v>
      </c>
      <c r="I23" s="5"/>
      <c r="J23" s="5"/>
      <c r="K23" s="5"/>
      <c r="L23" s="5"/>
      <c r="M23" s="5"/>
      <c r="N23" s="5"/>
      <c r="O23" s="5"/>
    </row>
    <row r="24" spans="2:15" ht="6" customHeight="1" x14ac:dyDescent="0.25">
      <c r="B24" s="714"/>
      <c r="D24" s="404"/>
      <c r="H24" s="5"/>
      <c r="I24" s="5"/>
      <c r="J24" s="5"/>
      <c r="K24" s="5"/>
      <c r="L24" s="5"/>
      <c r="M24" s="5"/>
      <c r="N24" s="5"/>
      <c r="O24" s="5"/>
    </row>
    <row r="25" spans="2:15" ht="41.25" customHeight="1" x14ac:dyDescent="0.25">
      <c r="B25" s="714"/>
      <c r="D25" s="868" t="s">
        <v>690</v>
      </c>
      <c r="F25" s="403" t="s">
        <v>682</v>
      </c>
      <c r="H25" s="869" t="s">
        <v>691</v>
      </c>
      <c r="I25" s="572"/>
      <c r="J25" s="5"/>
      <c r="K25" s="5"/>
      <c r="L25" s="5"/>
      <c r="M25" s="5"/>
      <c r="N25" s="5"/>
      <c r="O25" s="5"/>
    </row>
    <row r="26" spans="2:15" ht="6" customHeight="1" x14ac:dyDescent="0.25">
      <c r="B26" s="714"/>
      <c r="D26" s="714"/>
      <c r="F26" s="403"/>
      <c r="H26" s="5"/>
      <c r="I26" s="5"/>
      <c r="J26" s="5"/>
      <c r="K26" s="5"/>
      <c r="L26" s="5"/>
      <c r="M26" s="5"/>
      <c r="N26" s="5"/>
      <c r="O26" s="5"/>
    </row>
    <row r="27" spans="2:15" ht="41.25" customHeight="1" x14ac:dyDescent="0.25">
      <c r="B27" s="714"/>
      <c r="D27" s="714"/>
      <c r="F27" s="403" t="s">
        <v>688</v>
      </c>
      <c r="H27" s="870" t="s">
        <v>692</v>
      </c>
      <c r="I27" s="582"/>
      <c r="J27" s="572"/>
      <c r="K27" s="5"/>
      <c r="L27" s="5"/>
      <c r="M27" s="5"/>
      <c r="N27" s="5"/>
      <c r="O27" s="5"/>
    </row>
    <row r="28" spans="2:15" ht="6" customHeight="1" x14ac:dyDescent="0.25">
      <c r="B28" s="714"/>
      <c r="D28" s="714"/>
      <c r="F28" s="403"/>
      <c r="H28" s="5"/>
      <c r="I28" s="5"/>
      <c r="J28" s="5"/>
      <c r="K28" s="5"/>
      <c r="L28" s="5"/>
      <c r="M28" s="5"/>
      <c r="N28" s="5"/>
      <c r="O28" s="5"/>
    </row>
    <row r="29" spans="2:15" ht="41.25" customHeight="1" x14ac:dyDescent="0.25">
      <c r="B29" s="714"/>
      <c r="D29" s="714"/>
      <c r="F29" s="403" t="s">
        <v>682</v>
      </c>
      <c r="H29" s="5"/>
      <c r="K29" s="878" t="s">
        <v>693</v>
      </c>
      <c r="L29" s="572"/>
      <c r="M29" s="5"/>
      <c r="N29" s="5"/>
      <c r="O29" s="5"/>
    </row>
    <row r="30" spans="2:15" ht="6" customHeight="1" x14ac:dyDescent="0.25">
      <c r="B30" s="714"/>
      <c r="D30" s="714"/>
      <c r="F30" s="403"/>
      <c r="H30" s="5"/>
      <c r="I30" s="5"/>
      <c r="J30" s="5"/>
      <c r="K30" s="5"/>
      <c r="L30" s="5"/>
      <c r="M30" s="5"/>
      <c r="N30" s="5"/>
      <c r="O30" s="5"/>
    </row>
    <row r="31" spans="2:15" ht="41.25" customHeight="1" x14ac:dyDescent="0.25">
      <c r="B31" s="714"/>
      <c r="D31" s="714"/>
      <c r="F31" s="403" t="s">
        <v>694</v>
      </c>
      <c r="H31" s="5"/>
      <c r="I31" s="5"/>
      <c r="J31" s="879" t="s">
        <v>695</v>
      </c>
      <c r="K31" s="572"/>
      <c r="L31" s="880" t="s">
        <v>696</v>
      </c>
      <c r="M31" s="582"/>
      <c r="N31" s="572"/>
      <c r="O31" s="5"/>
    </row>
    <row r="32" spans="2:15" ht="6" customHeight="1" x14ac:dyDescent="0.25">
      <c r="B32" s="714"/>
      <c r="D32" s="714"/>
      <c r="F32" s="403"/>
      <c r="H32" s="5"/>
      <c r="I32" s="5"/>
      <c r="J32" s="5"/>
      <c r="K32" s="5"/>
      <c r="L32" s="5"/>
      <c r="M32" s="5" t="s">
        <v>697</v>
      </c>
      <c r="N32" s="5"/>
      <c r="O32" s="5"/>
    </row>
    <row r="33" spans="2:15" ht="41.25" customHeight="1" x14ac:dyDescent="0.25">
      <c r="B33" s="714"/>
      <c r="D33" s="678"/>
      <c r="F33" s="403" t="s">
        <v>694</v>
      </c>
      <c r="H33" s="5"/>
      <c r="J33" s="408" t="s">
        <v>698</v>
      </c>
      <c r="K33" s="5"/>
      <c r="L33" s="880" t="s">
        <v>699</v>
      </c>
      <c r="M33" s="572"/>
      <c r="N33" s="5"/>
      <c r="O33" s="5"/>
    </row>
    <row r="34" spans="2:15" ht="6" customHeight="1" x14ac:dyDescent="0.25">
      <c r="B34" s="714"/>
      <c r="D34" s="404"/>
      <c r="F34" s="403"/>
      <c r="H34" s="5"/>
      <c r="I34" s="5"/>
      <c r="J34" s="5"/>
      <c r="K34" s="5"/>
      <c r="L34" s="5"/>
      <c r="M34" s="5"/>
      <c r="N34" s="5"/>
      <c r="O34" s="5"/>
    </row>
    <row r="35" spans="2:15" ht="38.25" customHeight="1" x14ac:dyDescent="0.25">
      <c r="B35" s="714"/>
      <c r="D35" s="881" t="s">
        <v>700</v>
      </c>
      <c r="F35" s="403" t="s">
        <v>701</v>
      </c>
      <c r="H35" s="882" t="s">
        <v>702</v>
      </c>
      <c r="I35" s="582"/>
      <c r="J35" s="572"/>
      <c r="K35" s="5"/>
      <c r="L35" s="5"/>
      <c r="M35" s="5"/>
      <c r="N35" s="5"/>
      <c r="O35" s="5"/>
    </row>
    <row r="36" spans="2:15" ht="6" customHeight="1" x14ac:dyDescent="0.25">
      <c r="B36" s="714"/>
      <c r="D36" s="714"/>
      <c r="F36" s="409"/>
      <c r="H36" s="5"/>
      <c r="I36" s="5"/>
      <c r="J36" s="5"/>
      <c r="K36" s="5"/>
      <c r="L36" s="5"/>
      <c r="M36" s="5"/>
      <c r="N36" s="5"/>
      <c r="O36" s="5"/>
    </row>
    <row r="37" spans="2:15" ht="38.25" customHeight="1" x14ac:dyDescent="0.25">
      <c r="B37" s="714"/>
      <c r="D37" s="714"/>
      <c r="F37" s="403" t="s">
        <v>701</v>
      </c>
      <c r="H37" s="882" t="s">
        <v>703</v>
      </c>
      <c r="I37" s="582"/>
      <c r="J37" s="572"/>
      <c r="K37" s="5"/>
      <c r="L37" s="5"/>
      <c r="M37" s="5"/>
      <c r="N37" s="5"/>
      <c r="O37" s="5"/>
    </row>
    <row r="38" spans="2:15" ht="6" customHeight="1" x14ac:dyDescent="0.25">
      <c r="B38" s="714"/>
      <c r="D38" s="714"/>
      <c r="F38" s="409"/>
      <c r="H38" s="5"/>
      <c r="I38" s="5"/>
      <c r="J38" s="5"/>
      <c r="K38" s="5"/>
      <c r="L38" s="5"/>
      <c r="M38" s="5"/>
      <c r="N38" s="5"/>
      <c r="O38" s="5"/>
    </row>
    <row r="39" spans="2:15" ht="38.25" customHeight="1" x14ac:dyDescent="0.25">
      <c r="B39" s="714"/>
      <c r="D39" s="678"/>
      <c r="F39" s="403" t="s">
        <v>701</v>
      </c>
      <c r="H39" s="882" t="s">
        <v>704</v>
      </c>
      <c r="I39" s="582"/>
      <c r="J39" s="572"/>
      <c r="K39" s="5"/>
      <c r="L39" s="5"/>
      <c r="M39" s="5"/>
      <c r="N39" s="5"/>
      <c r="O39" s="5"/>
    </row>
    <row r="40" spans="2:15" ht="6" customHeight="1" x14ac:dyDescent="0.25">
      <c r="B40" s="714"/>
      <c r="D40" s="404"/>
      <c r="F40" s="405"/>
      <c r="H40" s="5"/>
      <c r="I40" s="5"/>
      <c r="J40" s="5"/>
      <c r="K40" s="5"/>
      <c r="L40" s="5"/>
      <c r="M40" s="5"/>
      <c r="N40" s="5"/>
      <c r="O40" s="5"/>
    </row>
    <row r="41" spans="2:15" ht="51" customHeight="1" x14ac:dyDescent="0.25">
      <c r="B41" s="714"/>
      <c r="D41" s="410" t="s">
        <v>705</v>
      </c>
      <c r="F41" s="403"/>
      <c r="H41" s="5"/>
      <c r="I41" s="5"/>
      <c r="J41" s="5"/>
      <c r="K41" s="5"/>
      <c r="L41" s="5"/>
      <c r="M41" s="5"/>
      <c r="N41" s="5"/>
      <c r="O41" s="5"/>
    </row>
    <row r="42" spans="2:15" ht="15" customHeight="1" x14ac:dyDescent="0.25">
      <c r="B42" s="714"/>
      <c r="H42" s="49"/>
      <c r="I42" s="49"/>
      <c r="J42" s="49"/>
      <c r="K42" s="49"/>
      <c r="L42" s="49"/>
      <c r="M42" s="49"/>
      <c r="N42" s="49"/>
      <c r="O42" s="5"/>
    </row>
    <row r="43" spans="2:15" ht="51" customHeight="1" x14ac:dyDescent="0.25">
      <c r="B43" s="678"/>
      <c r="D43" s="411" t="s">
        <v>706</v>
      </c>
      <c r="F43" s="403"/>
      <c r="H43" s="5"/>
      <c r="I43" s="5"/>
      <c r="J43" s="5"/>
      <c r="K43" s="5"/>
      <c r="L43" s="5"/>
      <c r="M43" s="5"/>
      <c r="N43" s="5"/>
      <c r="O43" s="5"/>
    </row>
    <row r="44" spans="2:15" ht="14.25" customHeight="1" x14ac:dyDescent="0.25">
      <c r="H44" s="49"/>
      <c r="I44" s="49"/>
      <c r="J44" s="49"/>
      <c r="K44" s="49"/>
      <c r="L44" s="49"/>
      <c r="M44" s="49"/>
      <c r="N44" s="49"/>
      <c r="O44" s="5"/>
    </row>
    <row r="45" spans="2:15" ht="14.25" customHeight="1" x14ac:dyDescent="0.25">
      <c r="H45" s="49"/>
      <c r="I45" s="49"/>
      <c r="J45" s="49"/>
      <c r="K45" s="49"/>
      <c r="L45" s="49"/>
      <c r="M45" s="49"/>
      <c r="N45" s="49"/>
      <c r="O45" s="5"/>
    </row>
    <row r="46" spans="2:15" ht="14.25" customHeight="1" x14ac:dyDescent="0.25">
      <c r="H46" s="49"/>
      <c r="I46" s="49"/>
      <c r="J46" s="49"/>
      <c r="K46" s="49"/>
      <c r="L46" s="49"/>
      <c r="M46" s="49"/>
      <c r="N46" s="49"/>
      <c r="O46" s="49"/>
    </row>
    <row r="47" spans="2:15" ht="14.25" customHeight="1" x14ac:dyDescent="0.25">
      <c r="H47" s="49"/>
      <c r="I47" s="49"/>
      <c r="J47" s="49"/>
      <c r="K47" s="49"/>
      <c r="L47" s="49"/>
      <c r="M47" s="49"/>
      <c r="N47" s="49"/>
      <c r="O47" s="49"/>
    </row>
    <row r="48" spans="2:15" ht="14.25" customHeight="1" x14ac:dyDescent="0.25">
      <c r="H48" s="49"/>
      <c r="I48" s="49"/>
      <c r="J48" s="49"/>
      <c r="K48" s="49"/>
      <c r="L48" s="49"/>
      <c r="M48" s="49"/>
      <c r="N48" s="49"/>
      <c r="O48" s="49"/>
    </row>
    <row r="49" spans="8:15" ht="14.25" customHeight="1" x14ac:dyDescent="0.25">
      <c r="H49" s="49"/>
      <c r="I49" s="49"/>
      <c r="J49" s="49"/>
      <c r="K49" s="49"/>
      <c r="L49" s="49"/>
      <c r="M49" s="49"/>
      <c r="N49" s="49"/>
      <c r="O49" s="49"/>
    </row>
    <row r="50" spans="8:15" ht="14.25" customHeight="1" x14ac:dyDescent="0.25">
      <c r="H50" s="49"/>
      <c r="I50" s="49"/>
      <c r="J50" s="49"/>
      <c r="K50" s="49"/>
      <c r="L50" s="49"/>
      <c r="M50" s="49"/>
      <c r="N50" s="49"/>
      <c r="O50" s="49"/>
    </row>
    <row r="51" spans="8:15" ht="14.25" customHeight="1" x14ac:dyDescent="0.25">
      <c r="H51" s="49"/>
      <c r="I51" s="49"/>
      <c r="J51" s="49"/>
      <c r="K51" s="49"/>
      <c r="L51" s="49"/>
      <c r="M51" s="49"/>
      <c r="N51" s="49"/>
      <c r="O51" s="49"/>
    </row>
    <row r="52" spans="8:15" ht="14.25" customHeight="1" x14ac:dyDescent="0.25">
      <c r="H52" s="49"/>
      <c r="I52" s="49"/>
      <c r="J52" s="49"/>
      <c r="K52" s="49"/>
      <c r="L52" s="49"/>
      <c r="M52" s="49"/>
      <c r="N52" s="49"/>
      <c r="O52" s="49"/>
    </row>
    <row r="53" spans="8:15" ht="14.25" customHeight="1" x14ac:dyDescent="0.25">
      <c r="H53" s="49"/>
      <c r="I53" s="49"/>
      <c r="J53" s="49"/>
      <c r="K53" s="49"/>
      <c r="L53" s="49"/>
      <c r="M53" s="49"/>
      <c r="N53" s="49"/>
      <c r="O53" s="49"/>
    </row>
    <row r="54" spans="8:15" ht="14.25" customHeight="1" x14ac:dyDescent="0.25">
      <c r="H54" s="49"/>
      <c r="I54" s="49"/>
      <c r="J54" s="49"/>
      <c r="K54" s="49"/>
      <c r="L54" s="49"/>
      <c r="M54" s="49"/>
      <c r="N54" s="49"/>
      <c r="O54" s="49"/>
    </row>
    <row r="55" spans="8:15" ht="14.25" customHeight="1" x14ac:dyDescent="0.25">
      <c r="H55" s="49"/>
      <c r="I55" s="49"/>
      <c r="J55" s="49"/>
      <c r="K55" s="49"/>
      <c r="L55" s="49"/>
      <c r="M55" s="49"/>
      <c r="N55" s="49"/>
      <c r="O55" s="49"/>
    </row>
    <row r="56" spans="8:15" ht="14.25" customHeight="1" x14ac:dyDescent="0.25">
      <c r="H56" s="49"/>
      <c r="I56" s="49"/>
      <c r="J56" s="49"/>
      <c r="K56" s="49"/>
      <c r="L56" s="49"/>
      <c r="M56" s="49"/>
      <c r="N56" s="49"/>
      <c r="O56" s="49"/>
    </row>
    <row r="57" spans="8:15" ht="14.25" customHeight="1" x14ac:dyDescent="0.25">
      <c r="H57" s="49"/>
      <c r="I57" s="49"/>
      <c r="J57" s="49"/>
      <c r="K57" s="49"/>
      <c r="L57" s="49"/>
      <c r="M57" s="49"/>
      <c r="N57" s="49"/>
      <c r="O57" s="49"/>
    </row>
    <row r="58" spans="8:15" ht="14.25" customHeight="1" x14ac:dyDescent="0.25">
      <c r="H58" s="49"/>
      <c r="I58" s="49"/>
      <c r="J58" s="49"/>
      <c r="K58" s="49"/>
      <c r="L58" s="49"/>
      <c r="M58" s="49"/>
      <c r="N58" s="49"/>
      <c r="O58" s="49"/>
    </row>
    <row r="59" spans="8:15" ht="14.25" customHeight="1" x14ac:dyDescent="0.25">
      <c r="H59" s="49"/>
      <c r="I59" s="49"/>
      <c r="J59" s="49"/>
      <c r="K59" s="49"/>
      <c r="L59" s="49"/>
      <c r="M59" s="49"/>
      <c r="N59" s="49"/>
      <c r="O59" s="49"/>
    </row>
    <row r="60" spans="8:15" ht="14.25" customHeight="1" x14ac:dyDescent="0.25">
      <c r="H60" s="49"/>
      <c r="I60" s="49"/>
      <c r="J60" s="49"/>
      <c r="K60" s="49"/>
      <c r="L60" s="49"/>
      <c r="M60" s="49"/>
      <c r="N60" s="49"/>
      <c r="O60" s="49"/>
    </row>
    <row r="61" spans="8:15" ht="14.25" customHeight="1" x14ac:dyDescent="0.25">
      <c r="H61" s="49"/>
      <c r="I61" s="49"/>
      <c r="J61" s="49"/>
      <c r="K61" s="49"/>
      <c r="L61" s="49"/>
      <c r="M61" s="49"/>
      <c r="N61" s="49"/>
      <c r="O61" s="49"/>
    </row>
    <row r="62" spans="8:15" ht="14.25" customHeight="1" x14ac:dyDescent="0.25">
      <c r="H62" s="49"/>
      <c r="I62" s="49"/>
      <c r="J62" s="49"/>
      <c r="K62" s="49"/>
      <c r="L62" s="49"/>
      <c r="M62" s="49"/>
      <c r="N62" s="49"/>
      <c r="O62" s="49"/>
    </row>
    <row r="63" spans="8:15" ht="14.25" customHeight="1" x14ac:dyDescent="0.25">
      <c r="H63" s="49"/>
      <c r="I63" s="49"/>
      <c r="J63" s="49"/>
      <c r="K63" s="49"/>
      <c r="L63" s="49"/>
      <c r="M63" s="49"/>
      <c r="N63" s="49"/>
      <c r="O63" s="49"/>
    </row>
    <row r="64" spans="8:15" ht="14.25" customHeight="1" x14ac:dyDescent="0.25">
      <c r="H64" s="49"/>
      <c r="I64" s="49"/>
      <c r="J64" s="49"/>
      <c r="K64" s="49"/>
      <c r="L64" s="49"/>
      <c r="M64" s="49"/>
      <c r="N64" s="49"/>
      <c r="O64" s="49"/>
    </row>
    <row r="65" spans="8:15" ht="14.25" customHeight="1" x14ac:dyDescent="0.25">
      <c r="H65" s="49"/>
      <c r="I65" s="49"/>
      <c r="J65" s="49"/>
      <c r="K65" s="49"/>
      <c r="L65" s="49"/>
      <c r="M65" s="49"/>
      <c r="N65" s="49"/>
      <c r="O65" s="49"/>
    </row>
    <row r="66" spans="8:15" ht="14.25" customHeight="1" x14ac:dyDescent="0.25">
      <c r="H66" s="49"/>
      <c r="I66" s="49"/>
      <c r="J66" s="49"/>
      <c r="K66" s="49"/>
      <c r="L66" s="49"/>
      <c r="M66" s="49"/>
      <c r="N66" s="49"/>
      <c r="O66" s="49"/>
    </row>
    <row r="67" spans="8:15" ht="14.25" customHeight="1" x14ac:dyDescent="0.25">
      <c r="H67" s="49"/>
      <c r="I67" s="49"/>
      <c r="J67" s="49"/>
      <c r="K67" s="49"/>
      <c r="L67" s="49"/>
      <c r="M67" s="49"/>
      <c r="N67" s="49"/>
      <c r="O67" s="49"/>
    </row>
    <row r="68" spans="8:15" ht="14.25" customHeight="1" x14ac:dyDescent="0.25">
      <c r="H68" s="49"/>
      <c r="I68" s="49"/>
      <c r="J68" s="49"/>
      <c r="K68" s="49"/>
      <c r="L68" s="49"/>
      <c r="M68" s="49"/>
      <c r="N68" s="49"/>
      <c r="O68" s="49"/>
    </row>
    <row r="69" spans="8:15" ht="14.25" customHeight="1" x14ac:dyDescent="0.25">
      <c r="H69" s="49"/>
      <c r="I69" s="49"/>
      <c r="J69" s="49"/>
      <c r="K69" s="49"/>
      <c r="L69" s="49"/>
      <c r="M69" s="49"/>
      <c r="N69" s="49"/>
      <c r="O69" s="49"/>
    </row>
    <row r="70" spans="8:15" ht="14.25" customHeight="1" x14ac:dyDescent="0.25">
      <c r="H70" s="49"/>
      <c r="I70" s="49"/>
      <c r="J70" s="49"/>
      <c r="K70" s="49"/>
      <c r="L70" s="49"/>
      <c r="M70" s="49"/>
      <c r="N70" s="49"/>
      <c r="O70" s="49"/>
    </row>
    <row r="71" spans="8:15" ht="14.25" customHeight="1" x14ac:dyDescent="0.25">
      <c r="H71" s="49"/>
      <c r="I71" s="49"/>
      <c r="J71" s="49"/>
      <c r="K71" s="49"/>
      <c r="L71" s="49"/>
      <c r="M71" s="49"/>
      <c r="N71" s="49"/>
      <c r="O71" s="49"/>
    </row>
    <row r="72" spans="8:15" ht="14.25" customHeight="1" x14ac:dyDescent="0.25">
      <c r="H72" s="49"/>
      <c r="I72" s="49"/>
      <c r="J72" s="49"/>
      <c r="K72" s="49"/>
      <c r="L72" s="49"/>
      <c r="M72" s="49"/>
      <c r="N72" s="49"/>
      <c r="O72" s="49"/>
    </row>
    <row r="73" spans="8:15" ht="14.25" customHeight="1" x14ac:dyDescent="0.25">
      <c r="H73" s="49"/>
      <c r="I73" s="49"/>
      <c r="J73" s="49"/>
      <c r="K73" s="49"/>
      <c r="L73" s="49"/>
      <c r="M73" s="49"/>
      <c r="N73" s="49"/>
      <c r="O73" s="49"/>
    </row>
    <row r="74" spans="8:15" ht="14.25" customHeight="1" x14ac:dyDescent="0.25">
      <c r="H74" s="49"/>
      <c r="I74" s="49"/>
      <c r="J74" s="49"/>
      <c r="K74" s="49"/>
      <c r="L74" s="49"/>
      <c r="M74" s="49"/>
      <c r="N74" s="49"/>
      <c r="O74" s="49"/>
    </row>
    <row r="75" spans="8:15" ht="14.25" customHeight="1" x14ac:dyDescent="0.25">
      <c r="H75" s="49"/>
      <c r="I75" s="49"/>
      <c r="J75" s="49"/>
      <c r="K75" s="49"/>
      <c r="L75" s="49"/>
      <c r="M75" s="49"/>
      <c r="N75" s="49"/>
      <c r="O75" s="49"/>
    </row>
    <row r="76" spans="8:15" ht="14.25" customHeight="1" x14ac:dyDescent="0.25">
      <c r="H76" s="49"/>
      <c r="I76" s="49"/>
      <c r="J76" s="49"/>
      <c r="K76" s="49"/>
      <c r="L76" s="49"/>
      <c r="M76" s="49"/>
      <c r="N76" s="49"/>
      <c r="O76" s="49"/>
    </row>
    <row r="77" spans="8:15" ht="14.25" customHeight="1" x14ac:dyDescent="0.25">
      <c r="H77" s="49"/>
      <c r="I77" s="49"/>
      <c r="J77" s="49"/>
      <c r="K77" s="49"/>
      <c r="L77" s="49"/>
      <c r="M77" s="49"/>
      <c r="N77" s="49"/>
      <c r="O77" s="49"/>
    </row>
    <row r="78" spans="8:15" ht="14.25" customHeight="1" x14ac:dyDescent="0.25">
      <c r="H78" s="49"/>
      <c r="I78" s="49"/>
      <c r="J78" s="49"/>
      <c r="K78" s="49"/>
      <c r="L78" s="49"/>
      <c r="M78" s="49"/>
      <c r="N78" s="49"/>
      <c r="O78" s="49"/>
    </row>
    <row r="79" spans="8:15" ht="14.25" customHeight="1" x14ac:dyDescent="0.25">
      <c r="H79" s="49"/>
      <c r="I79" s="49"/>
      <c r="J79" s="49"/>
      <c r="K79" s="49"/>
      <c r="L79" s="49"/>
      <c r="M79" s="49"/>
      <c r="N79" s="49"/>
      <c r="O79" s="49"/>
    </row>
    <row r="80" spans="8:15" ht="14.25" customHeight="1" x14ac:dyDescent="0.25">
      <c r="H80" s="49"/>
      <c r="I80" s="49"/>
      <c r="J80" s="49"/>
      <c r="K80" s="49"/>
      <c r="L80" s="49"/>
      <c r="M80" s="49"/>
      <c r="N80" s="49"/>
      <c r="O80" s="49"/>
    </row>
    <row r="81" spans="8:15" ht="14.25" customHeight="1" x14ac:dyDescent="0.25">
      <c r="H81" s="49"/>
      <c r="I81" s="49"/>
      <c r="J81" s="49"/>
      <c r="K81" s="49"/>
      <c r="L81" s="49"/>
      <c r="M81" s="49"/>
      <c r="N81" s="49"/>
      <c r="O81" s="49"/>
    </row>
    <row r="82" spans="8:15" ht="14.25" customHeight="1" x14ac:dyDescent="0.25">
      <c r="H82" s="49"/>
      <c r="I82" s="49"/>
      <c r="J82" s="49"/>
      <c r="K82" s="49"/>
      <c r="L82" s="49"/>
      <c r="M82" s="49"/>
      <c r="N82" s="49"/>
      <c r="O82" s="49"/>
    </row>
    <row r="83" spans="8:15" ht="14.25" customHeight="1" x14ac:dyDescent="0.25">
      <c r="H83" s="49"/>
      <c r="I83" s="49"/>
      <c r="J83" s="49"/>
      <c r="K83" s="49"/>
      <c r="L83" s="49"/>
      <c r="M83" s="49"/>
      <c r="N83" s="49"/>
      <c r="O83" s="49"/>
    </row>
    <row r="84" spans="8:15" ht="14.25" customHeight="1" x14ac:dyDescent="0.25">
      <c r="H84" s="49"/>
      <c r="I84" s="49"/>
      <c r="J84" s="49"/>
      <c r="K84" s="49"/>
      <c r="L84" s="49"/>
      <c r="M84" s="49"/>
      <c r="N84" s="49"/>
      <c r="O84" s="49"/>
    </row>
    <row r="85" spans="8:15" ht="14.25" customHeight="1" x14ac:dyDescent="0.25">
      <c r="H85" s="49"/>
      <c r="I85" s="49"/>
      <c r="J85" s="49"/>
      <c r="K85" s="49"/>
      <c r="L85" s="49"/>
      <c r="M85" s="49"/>
      <c r="N85" s="49"/>
      <c r="O85" s="49"/>
    </row>
    <row r="86" spans="8:15" ht="14.25" customHeight="1" x14ac:dyDescent="0.25">
      <c r="H86" s="49"/>
      <c r="I86" s="49"/>
      <c r="J86" s="49"/>
      <c r="K86" s="49"/>
      <c r="L86" s="49"/>
      <c r="M86" s="49"/>
      <c r="N86" s="49"/>
      <c r="O86" s="49"/>
    </row>
    <row r="87" spans="8:15" ht="14.25" customHeight="1" x14ac:dyDescent="0.25">
      <c r="H87" s="49"/>
      <c r="I87" s="49"/>
      <c r="J87" s="49"/>
      <c r="K87" s="49"/>
      <c r="L87" s="49"/>
      <c r="M87" s="49"/>
      <c r="N87" s="49"/>
      <c r="O87" s="49"/>
    </row>
    <row r="88" spans="8:15" ht="14.25" customHeight="1" x14ac:dyDescent="0.25">
      <c r="H88" s="49"/>
      <c r="I88" s="49"/>
      <c r="J88" s="49"/>
      <c r="K88" s="49"/>
      <c r="L88" s="49"/>
      <c r="M88" s="49"/>
      <c r="N88" s="49"/>
      <c r="O88" s="49"/>
    </row>
    <row r="89" spans="8:15" ht="14.25" customHeight="1" x14ac:dyDescent="0.25">
      <c r="H89" s="49"/>
      <c r="I89" s="49"/>
      <c r="J89" s="49"/>
      <c r="K89" s="49"/>
      <c r="L89" s="49"/>
      <c r="M89" s="49"/>
      <c r="N89" s="49"/>
      <c r="O89" s="49"/>
    </row>
    <row r="90" spans="8:15" ht="14.25" customHeight="1" x14ac:dyDescent="0.25">
      <c r="H90" s="49"/>
      <c r="I90" s="49"/>
      <c r="J90" s="49"/>
      <c r="K90" s="49"/>
      <c r="L90" s="49"/>
      <c r="M90" s="49"/>
      <c r="N90" s="49"/>
      <c r="O90" s="49"/>
    </row>
    <row r="91" spans="8:15" ht="14.25" customHeight="1" x14ac:dyDescent="0.25">
      <c r="H91" s="49"/>
      <c r="I91" s="49"/>
      <c r="J91" s="49"/>
      <c r="K91" s="49"/>
      <c r="L91" s="49"/>
      <c r="M91" s="49"/>
      <c r="N91" s="49"/>
      <c r="O91" s="49"/>
    </row>
    <row r="92" spans="8:15" ht="14.25" customHeight="1" x14ac:dyDescent="0.25">
      <c r="H92" s="49"/>
      <c r="I92" s="49"/>
      <c r="J92" s="49"/>
      <c r="K92" s="49"/>
      <c r="L92" s="49"/>
      <c r="M92" s="49"/>
      <c r="N92" s="49"/>
      <c r="O92" s="49"/>
    </row>
    <row r="93" spans="8:15" ht="14.25" customHeight="1" x14ac:dyDescent="0.25">
      <c r="H93" s="49"/>
      <c r="I93" s="49"/>
      <c r="J93" s="49"/>
      <c r="K93" s="49"/>
      <c r="L93" s="49"/>
      <c r="M93" s="49"/>
      <c r="N93" s="49"/>
      <c r="O93" s="49"/>
    </row>
    <row r="94" spans="8:15" ht="14.25" customHeight="1" x14ac:dyDescent="0.25">
      <c r="H94" s="49"/>
      <c r="I94" s="49"/>
      <c r="J94" s="49"/>
      <c r="K94" s="49"/>
      <c r="L94" s="49"/>
      <c r="M94" s="49"/>
      <c r="N94" s="49"/>
      <c r="O94" s="49"/>
    </row>
    <row r="95" spans="8:15" ht="14.25" customHeight="1" x14ac:dyDescent="0.25">
      <c r="H95" s="49"/>
      <c r="I95" s="49"/>
      <c r="J95" s="49"/>
      <c r="K95" s="49"/>
      <c r="L95" s="49"/>
      <c r="M95" s="49"/>
      <c r="N95" s="49"/>
      <c r="O95" s="49"/>
    </row>
    <row r="96" spans="8:15" ht="14.25" customHeight="1" x14ac:dyDescent="0.25">
      <c r="H96" s="49"/>
      <c r="I96" s="49"/>
      <c r="J96" s="49"/>
      <c r="K96" s="49"/>
      <c r="L96" s="49"/>
      <c r="M96" s="49"/>
      <c r="N96" s="49"/>
      <c r="O96" s="49"/>
    </row>
    <row r="97" spans="8:15" ht="14.25" customHeight="1" x14ac:dyDescent="0.25">
      <c r="H97" s="49"/>
      <c r="I97" s="49"/>
      <c r="J97" s="49"/>
      <c r="K97" s="49"/>
      <c r="L97" s="49"/>
      <c r="M97" s="49"/>
      <c r="N97" s="49"/>
      <c r="O97" s="49"/>
    </row>
    <row r="98" spans="8:15" ht="14.25" customHeight="1" x14ac:dyDescent="0.25">
      <c r="H98" s="49"/>
      <c r="I98" s="49"/>
      <c r="J98" s="49"/>
      <c r="K98" s="49"/>
      <c r="L98" s="49"/>
      <c r="M98" s="49"/>
      <c r="N98" s="49"/>
      <c r="O98" s="49"/>
    </row>
    <row r="99" spans="8:15" ht="14.25" customHeight="1" x14ac:dyDescent="0.25">
      <c r="H99" s="49"/>
      <c r="I99" s="49"/>
      <c r="J99" s="49"/>
      <c r="K99" s="49"/>
      <c r="L99" s="49"/>
      <c r="M99" s="49"/>
      <c r="N99" s="49"/>
      <c r="O99" s="49"/>
    </row>
    <row r="100" spans="8:15" ht="14.25" customHeight="1" x14ac:dyDescent="0.25">
      <c r="H100" s="49"/>
      <c r="I100" s="49"/>
      <c r="J100" s="49"/>
      <c r="K100" s="49"/>
      <c r="L100" s="49"/>
      <c r="M100" s="49"/>
      <c r="N100" s="49"/>
      <c r="O100" s="49"/>
    </row>
    <row r="101" spans="8:15" ht="14.25" customHeight="1" x14ac:dyDescent="0.25">
      <c r="H101" s="49"/>
      <c r="I101" s="49"/>
      <c r="J101" s="49"/>
      <c r="K101" s="49"/>
      <c r="L101" s="49"/>
      <c r="M101" s="49"/>
      <c r="N101" s="49"/>
      <c r="O101" s="49"/>
    </row>
    <row r="102" spans="8:15" ht="14.25" customHeight="1" x14ac:dyDescent="0.25">
      <c r="H102" s="49"/>
      <c r="I102" s="49"/>
      <c r="J102" s="49"/>
      <c r="K102" s="49"/>
      <c r="L102" s="49"/>
      <c r="M102" s="49"/>
      <c r="N102" s="49"/>
      <c r="O102" s="49"/>
    </row>
    <row r="103" spans="8:15" ht="14.25" customHeight="1" x14ac:dyDescent="0.25">
      <c r="H103" s="49"/>
      <c r="I103" s="49"/>
      <c r="J103" s="49"/>
      <c r="K103" s="49"/>
      <c r="L103" s="49"/>
      <c r="M103" s="49"/>
      <c r="N103" s="49"/>
      <c r="O103" s="49"/>
    </row>
    <row r="104" spans="8:15" ht="14.25" customHeight="1" x14ac:dyDescent="0.25">
      <c r="H104" s="49"/>
      <c r="I104" s="49"/>
      <c r="J104" s="49"/>
      <c r="K104" s="49"/>
      <c r="L104" s="49"/>
      <c r="M104" s="49"/>
      <c r="N104" s="49"/>
      <c r="O104" s="49"/>
    </row>
    <row r="105" spans="8:15" ht="14.25" customHeight="1" x14ac:dyDescent="0.25">
      <c r="H105" s="49"/>
      <c r="I105" s="49"/>
      <c r="J105" s="49"/>
      <c r="K105" s="49"/>
      <c r="L105" s="49"/>
      <c r="M105" s="49"/>
      <c r="N105" s="49"/>
      <c r="O105" s="49"/>
    </row>
    <row r="106" spans="8:15" ht="14.25" customHeight="1" x14ac:dyDescent="0.25">
      <c r="H106" s="49"/>
      <c r="I106" s="49"/>
      <c r="J106" s="49"/>
      <c r="K106" s="49"/>
      <c r="L106" s="49"/>
      <c r="M106" s="49"/>
      <c r="N106" s="49"/>
      <c r="O106" s="49"/>
    </row>
    <row r="107" spans="8:15" ht="14.25" customHeight="1" x14ac:dyDescent="0.25">
      <c r="H107" s="49"/>
      <c r="I107" s="49"/>
      <c r="J107" s="49"/>
      <c r="K107" s="49"/>
      <c r="L107" s="49"/>
      <c r="M107" s="49"/>
      <c r="N107" s="49"/>
      <c r="O107" s="49"/>
    </row>
    <row r="108" spans="8:15" ht="14.25" customHeight="1" x14ac:dyDescent="0.25">
      <c r="H108" s="49"/>
      <c r="I108" s="49"/>
      <c r="J108" s="49"/>
      <c r="K108" s="49"/>
      <c r="L108" s="49"/>
      <c r="M108" s="49"/>
      <c r="N108" s="49"/>
      <c r="O108" s="49"/>
    </row>
    <row r="109" spans="8:15" ht="14.25" customHeight="1" x14ac:dyDescent="0.25">
      <c r="H109" s="49"/>
      <c r="I109" s="49"/>
      <c r="J109" s="49"/>
      <c r="K109" s="49"/>
      <c r="L109" s="49"/>
      <c r="M109" s="49"/>
      <c r="N109" s="49"/>
      <c r="O109" s="49"/>
    </row>
    <row r="110" spans="8:15" ht="14.25" customHeight="1" x14ac:dyDescent="0.25">
      <c r="H110" s="49"/>
      <c r="I110" s="49"/>
      <c r="J110" s="49"/>
      <c r="K110" s="49"/>
      <c r="L110" s="49"/>
      <c r="M110" s="49"/>
      <c r="N110" s="49"/>
      <c r="O110" s="49"/>
    </row>
    <row r="111" spans="8:15" ht="14.25" customHeight="1" x14ac:dyDescent="0.25">
      <c r="H111" s="49"/>
      <c r="I111" s="49"/>
      <c r="J111" s="49"/>
      <c r="K111" s="49"/>
      <c r="L111" s="49"/>
      <c r="M111" s="49"/>
      <c r="N111" s="49"/>
      <c r="O111" s="49"/>
    </row>
    <row r="112" spans="8:15" ht="14.25" customHeight="1" x14ac:dyDescent="0.25">
      <c r="H112" s="49"/>
      <c r="I112" s="49"/>
      <c r="J112" s="49"/>
      <c r="K112" s="49"/>
      <c r="L112" s="49"/>
      <c r="M112" s="49"/>
      <c r="N112" s="49"/>
      <c r="O112" s="49"/>
    </row>
    <row r="113" spans="8:15" ht="14.25" customHeight="1" x14ac:dyDescent="0.25">
      <c r="H113" s="49"/>
      <c r="I113" s="49"/>
      <c r="J113" s="49"/>
      <c r="K113" s="49"/>
      <c r="L113" s="49"/>
      <c r="M113" s="49"/>
      <c r="N113" s="49"/>
      <c r="O113" s="49"/>
    </row>
    <row r="114" spans="8:15" ht="14.25" customHeight="1" x14ac:dyDescent="0.25">
      <c r="H114" s="49"/>
      <c r="I114" s="49"/>
      <c r="J114" s="49"/>
      <c r="K114" s="49"/>
      <c r="L114" s="49"/>
      <c r="M114" s="49"/>
      <c r="N114" s="49"/>
      <c r="O114" s="49"/>
    </row>
    <row r="115" spans="8:15" ht="14.25" customHeight="1" x14ac:dyDescent="0.25">
      <c r="H115" s="49"/>
      <c r="I115" s="49"/>
      <c r="J115" s="49"/>
      <c r="K115" s="49"/>
      <c r="L115" s="49"/>
      <c r="M115" s="49"/>
      <c r="N115" s="49"/>
      <c r="O115" s="49"/>
    </row>
    <row r="116" spans="8:15" ht="14.25" customHeight="1" x14ac:dyDescent="0.25">
      <c r="H116" s="49"/>
      <c r="I116" s="49"/>
      <c r="J116" s="49"/>
      <c r="K116" s="49"/>
      <c r="L116" s="49"/>
      <c r="M116" s="49"/>
      <c r="N116" s="49"/>
      <c r="O116" s="49"/>
    </row>
    <row r="117" spans="8:15" ht="14.25" customHeight="1" x14ac:dyDescent="0.25">
      <c r="H117" s="49"/>
      <c r="I117" s="49"/>
      <c r="J117" s="49"/>
      <c r="K117" s="49"/>
      <c r="L117" s="49"/>
      <c r="M117" s="49"/>
      <c r="N117" s="49"/>
      <c r="O117" s="49"/>
    </row>
    <row r="118" spans="8:15" ht="14.25" customHeight="1" x14ac:dyDescent="0.25">
      <c r="H118" s="49"/>
      <c r="I118" s="49"/>
      <c r="J118" s="49"/>
      <c r="K118" s="49"/>
      <c r="L118" s="49"/>
      <c r="M118" s="49"/>
      <c r="N118" s="49"/>
      <c r="O118" s="49"/>
    </row>
    <row r="119" spans="8:15" ht="14.25" customHeight="1" x14ac:dyDescent="0.25">
      <c r="H119" s="49"/>
      <c r="I119" s="49"/>
      <c r="J119" s="49"/>
      <c r="K119" s="49"/>
      <c r="L119" s="49"/>
      <c r="M119" s="49"/>
      <c r="N119" s="49"/>
      <c r="O119" s="49"/>
    </row>
    <row r="120" spans="8:15" ht="14.25" customHeight="1" x14ac:dyDescent="0.25">
      <c r="H120" s="49"/>
      <c r="I120" s="49"/>
      <c r="J120" s="49"/>
      <c r="K120" s="49"/>
      <c r="L120" s="49"/>
      <c r="M120" s="49"/>
      <c r="N120" s="49"/>
      <c r="O120" s="49"/>
    </row>
    <row r="121" spans="8:15" ht="14.25" customHeight="1" x14ac:dyDescent="0.25">
      <c r="H121" s="49"/>
      <c r="I121" s="49"/>
      <c r="J121" s="49"/>
      <c r="K121" s="49"/>
      <c r="L121" s="49"/>
      <c r="M121" s="49"/>
      <c r="N121" s="49"/>
      <c r="O121" s="49"/>
    </row>
    <row r="122" spans="8:15" ht="14.25" customHeight="1" x14ac:dyDescent="0.25">
      <c r="H122" s="49"/>
      <c r="I122" s="49"/>
      <c r="J122" s="49"/>
      <c r="K122" s="49"/>
      <c r="L122" s="49"/>
      <c r="M122" s="49"/>
      <c r="N122" s="49"/>
      <c r="O122" s="49"/>
    </row>
    <row r="123" spans="8:15" ht="14.25" customHeight="1" x14ac:dyDescent="0.25">
      <c r="H123" s="49"/>
      <c r="I123" s="49"/>
      <c r="J123" s="49"/>
      <c r="K123" s="49"/>
      <c r="L123" s="49"/>
      <c r="M123" s="49"/>
      <c r="N123" s="49"/>
      <c r="O123" s="49"/>
    </row>
    <row r="124" spans="8:15" ht="14.25" customHeight="1" x14ac:dyDescent="0.25">
      <c r="H124" s="49"/>
      <c r="I124" s="49"/>
      <c r="J124" s="49"/>
      <c r="K124" s="49"/>
      <c r="L124" s="49"/>
      <c r="M124" s="49"/>
      <c r="N124" s="49"/>
      <c r="O124" s="49"/>
    </row>
    <row r="125" spans="8:15" ht="14.25" customHeight="1" x14ac:dyDescent="0.25">
      <c r="H125" s="49"/>
      <c r="I125" s="49"/>
      <c r="J125" s="49"/>
      <c r="K125" s="49"/>
      <c r="L125" s="49"/>
      <c r="M125" s="49"/>
      <c r="N125" s="49"/>
      <c r="O125" s="49"/>
    </row>
    <row r="126" spans="8:15" ht="14.25" customHeight="1" x14ac:dyDescent="0.25">
      <c r="H126" s="49"/>
      <c r="I126" s="49"/>
      <c r="J126" s="49"/>
      <c r="K126" s="49"/>
      <c r="L126" s="49"/>
      <c r="M126" s="49"/>
      <c r="N126" s="49"/>
      <c r="O126" s="49"/>
    </row>
    <row r="127" spans="8:15" ht="14.25" customHeight="1" x14ac:dyDescent="0.25">
      <c r="H127" s="49"/>
      <c r="I127" s="49"/>
      <c r="J127" s="49"/>
      <c r="K127" s="49"/>
      <c r="L127" s="49"/>
      <c r="M127" s="49"/>
      <c r="N127" s="49"/>
      <c r="O127" s="49"/>
    </row>
    <row r="128" spans="8:15" ht="14.25" customHeight="1" x14ac:dyDescent="0.25">
      <c r="H128" s="49"/>
      <c r="I128" s="49"/>
      <c r="J128" s="49"/>
      <c r="K128" s="49"/>
      <c r="L128" s="49"/>
      <c r="M128" s="49"/>
      <c r="N128" s="49"/>
      <c r="O128" s="49"/>
    </row>
    <row r="129" spans="8:15" ht="14.25" customHeight="1" x14ac:dyDescent="0.25">
      <c r="H129" s="49"/>
      <c r="I129" s="49"/>
      <c r="J129" s="49"/>
      <c r="K129" s="49"/>
      <c r="L129" s="49"/>
      <c r="M129" s="49"/>
      <c r="N129" s="49"/>
      <c r="O129" s="49"/>
    </row>
    <row r="130" spans="8:15" ht="14.25" customHeight="1" x14ac:dyDescent="0.25">
      <c r="H130" s="49"/>
      <c r="I130" s="49"/>
      <c r="J130" s="49"/>
      <c r="K130" s="49"/>
      <c r="L130" s="49"/>
      <c r="M130" s="49"/>
      <c r="N130" s="49"/>
      <c r="O130" s="49"/>
    </row>
    <row r="131" spans="8:15" ht="14.25" customHeight="1" x14ac:dyDescent="0.25">
      <c r="H131" s="49"/>
      <c r="I131" s="49"/>
      <c r="J131" s="49"/>
      <c r="K131" s="49"/>
      <c r="L131" s="49"/>
      <c r="M131" s="49"/>
      <c r="N131" s="49"/>
      <c r="O131" s="49"/>
    </row>
    <row r="132" spans="8:15" ht="14.25" customHeight="1" x14ac:dyDescent="0.25">
      <c r="H132" s="49"/>
      <c r="I132" s="49"/>
      <c r="J132" s="49"/>
      <c r="K132" s="49"/>
      <c r="L132" s="49"/>
      <c r="M132" s="49"/>
      <c r="N132" s="49"/>
      <c r="O132" s="49"/>
    </row>
    <row r="133" spans="8:15" ht="14.25" customHeight="1" x14ac:dyDescent="0.25">
      <c r="H133" s="49"/>
      <c r="I133" s="49"/>
      <c r="J133" s="49"/>
      <c r="K133" s="49"/>
      <c r="L133" s="49"/>
      <c r="M133" s="49"/>
      <c r="N133" s="49"/>
      <c r="O133" s="49"/>
    </row>
    <row r="134" spans="8:15" ht="14.25" customHeight="1" x14ac:dyDescent="0.25">
      <c r="H134" s="49"/>
      <c r="I134" s="49"/>
      <c r="J134" s="49"/>
      <c r="K134" s="49"/>
      <c r="L134" s="49"/>
      <c r="M134" s="49"/>
      <c r="N134" s="49"/>
      <c r="O134" s="49"/>
    </row>
    <row r="135" spans="8:15" ht="14.25" customHeight="1" x14ac:dyDescent="0.25">
      <c r="H135" s="49"/>
      <c r="I135" s="49"/>
      <c r="J135" s="49"/>
      <c r="K135" s="49"/>
      <c r="L135" s="49"/>
      <c r="M135" s="49"/>
      <c r="N135" s="49"/>
      <c r="O135" s="49"/>
    </row>
    <row r="136" spans="8:15" ht="14.25" customHeight="1" x14ac:dyDescent="0.25">
      <c r="H136" s="49"/>
      <c r="I136" s="49"/>
      <c r="J136" s="49"/>
      <c r="K136" s="49"/>
      <c r="L136" s="49"/>
      <c r="M136" s="49"/>
      <c r="N136" s="49"/>
      <c r="O136" s="49"/>
    </row>
    <row r="137" spans="8:15" ht="14.25" customHeight="1" x14ac:dyDescent="0.25">
      <c r="H137" s="49"/>
      <c r="I137" s="49"/>
      <c r="J137" s="49"/>
      <c r="K137" s="49"/>
      <c r="L137" s="49"/>
      <c r="M137" s="49"/>
      <c r="N137" s="49"/>
      <c r="O137" s="49"/>
    </row>
    <row r="138" spans="8:15" ht="14.25" customHeight="1" x14ac:dyDescent="0.25">
      <c r="H138" s="49"/>
      <c r="I138" s="49"/>
      <c r="J138" s="49"/>
      <c r="K138" s="49"/>
      <c r="L138" s="49"/>
      <c r="M138" s="49"/>
      <c r="N138" s="49"/>
      <c r="O138" s="49"/>
    </row>
    <row r="139" spans="8:15" ht="14.25" customHeight="1" x14ac:dyDescent="0.25">
      <c r="H139" s="49"/>
      <c r="I139" s="49"/>
      <c r="J139" s="49"/>
      <c r="K139" s="49"/>
      <c r="L139" s="49"/>
      <c r="M139" s="49"/>
      <c r="N139" s="49"/>
      <c r="O139" s="49"/>
    </row>
    <row r="140" spans="8:15" ht="14.25" customHeight="1" x14ac:dyDescent="0.25">
      <c r="H140" s="49"/>
      <c r="I140" s="49"/>
      <c r="J140" s="49"/>
      <c r="K140" s="49"/>
      <c r="L140" s="49"/>
      <c r="M140" s="49"/>
      <c r="N140" s="49"/>
      <c r="O140" s="49"/>
    </row>
    <row r="141" spans="8:15" ht="14.25" customHeight="1" x14ac:dyDescent="0.25">
      <c r="H141" s="49"/>
      <c r="I141" s="49"/>
      <c r="J141" s="49"/>
      <c r="K141" s="49"/>
      <c r="L141" s="49"/>
      <c r="M141" s="49"/>
      <c r="N141" s="49"/>
      <c r="O141" s="49"/>
    </row>
    <row r="142" spans="8:15" ht="14.25" customHeight="1" x14ac:dyDescent="0.25">
      <c r="H142" s="49"/>
      <c r="I142" s="49"/>
      <c r="J142" s="49"/>
      <c r="K142" s="49"/>
      <c r="L142" s="49"/>
      <c r="M142" s="49"/>
      <c r="N142" s="49"/>
      <c r="O142" s="49"/>
    </row>
    <row r="143" spans="8:15" ht="14.25" customHeight="1" x14ac:dyDescent="0.25">
      <c r="H143" s="49"/>
      <c r="I143" s="49"/>
      <c r="J143" s="49"/>
      <c r="K143" s="49"/>
      <c r="L143" s="49"/>
      <c r="M143" s="49"/>
      <c r="N143" s="49"/>
      <c r="O143" s="49"/>
    </row>
    <row r="144" spans="8:15" ht="14.25" customHeight="1" x14ac:dyDescent="0.25">
      <c r="H144" s="49"/>
      <c r="I144" s="49"/>
      <c r="J144" s="49"/>
      <c r="K144" s="49"/>
      <c r="L144" s="49"/>
      <c r="M144" s="49"/>
      <c r="N144" s="49"/>
      <c r="O144" s="49"/>
    </row>
    <row r="145" spans="8:15" ht="14.25" customHeight="1" x14ac:dyDescent="0.25">
      <c r="H145" s="49"/>
      <c r="I145" s="49"/>
      <c r="J145" s="49"/>
      <c r="K145" s="49"/>
      <c r="L145" s="49"/>
      <c r="M145" s="49"/>
      <c r="N145" s="49"/>
      <c r="O145" s="49"/>
    </row>
    <row r="146" spans="8:15" ht="14.25" customHeight="1" x14ac:dyDescent="0.25">
      <c r="H146" s="49"/>
      <c r="I146" s="49"/>
      <c r="J146" s="49"/>
      <c r="K146" s="49"/>
      <c r="L146" s="49"/>
      <c r="M146" s="49"/>
      <c r="N146" s="49"/>
      <c r="O146" s="49"/>
    </row>
    <row r="147" spans="8:15" ht="14.25" customHeight="1" x14ac:dyDescent="0.25">
      <c r="H147" s="49"/>
      <c r="I147" s="49"/>
      <c r="J147" s="49"/>
      <c r="K147" s="49"/>
      <c r="L147" s="49"/>
      <c r="M147" s="49"/>
      <c r="N147" s="49"/>
      <c r="O147" s="49"/>
    </row>
    <row r="148" spans="8:15" ht="14.25" customHeight="1" x14ac:dyDescent="0.25">
      <c r="H148" s="49"/>
      <c r="I148" s="49"/>
      <c r="J148" s="49"/>
      <c r="K148" s="49"/>
      <c r="L148" s="49"/>
      <c r="M148" s="49"/>
      <c r="N148" s="49"/>
      <c r="O148" s="49"/>
    </row>
    <row r="149" spans="8:15" ht="14.25" customHeight="1" x14ac:dyDescent="0.25">
      <c r="H149" s="49"/>
      <c r="I149" s="49"/>
      <c r="J149" s="49"/>
      <c r="K149" s="49"/>
      <c r="L149" s="49"/>
      <c r="M149" s="49"/>
      <c r="N149" s="49"/>
      <c r="O149" s="49"/>
    </row>
    <row r="150" spans="8:15" ht="14.25" customHeight="1" x14ac:dyDescent="0.25">
      <c r="H150" s="49"/>
      <c r="I150" s="49"/>
      <c r="J150" s="49"/>
      <c r="K150" s="49"/>
      <c r="L150" s="49"/>
      <c r="M150" s="49"/>
      <c r="N150" s="49"/>
      <c r="O150" s="49"/>
    </row>
    <row r="151" spans="8:15" ht="14.25" customHeight="1" x14ac:dyDescent="0.25">
      <c r="H151" s="49"/>
      <c r="I151" s="49"/>
      <c r="J151" s="49"/>
      <c r="K151" s="49"/>
      <c r="L151" s="49"/>
      <c r="M151" s="49"/>
      <c r="N151" s="49"/>
      <c r="O151" s="49"/>
    </row>
    <row r="152" spans="8:15" ht="14.25" customHeight="1" x14ac:dyDescent="0.25">
      <c r="H152" s="49"/>
      <c r="I152" s="49"/>
      <c r="J152" s="49"/>
      <c r="K152" s="49"/>
      <c r="L152" s="49"/>
      <c r="M152" s="49"/>
      <c r="N152" s="49"/>
      <c r="O152" s="49"/>
    </row>
    <row r="153" spans="8:15" ht="14.25" customHeight="1" x14ac:dyDescent="0.25">
      <c r="H153" s="49"/>
      <c r="I153" s="49"/>
      <c r="J153" s="49"/>
      <c r="K153" s="49"/>
      <c r="L153" s="49"/>
      <c r="M153" s="49"/>
      <c r="N153" s="49"/>
      <c r="O153" s="49"/>
    </row>
    <row r="154" spans="8:15" ht="14.25" customHeight="1" x14ac:dyDescent="0.25">
      <c r="H154" s="49"/>
      <c r="I154" s="49"/>
      <c r="J154" s="49"/>
      <c r="K154" s="49"/>
      <c r="L154" s="49"/>
      <c r="M154" s="49"/>
      <c r="N154" s="49"/>
      <c r="O154" s="49"/>
    </row>
    <row r="155" spans="8:15" ht="14.25" customHeight="1" x14ac:dyDescent="0.25">
      <c r="H155" s="49"/>
      <c r="I155" s="49"/>
      <c r="J155" s="49"/>
      <c r="K155" s="49"/>
      <c r="L155" s="49"/>
      <c r="M155" s="49"/>
      <c r="N155" s="49"/>
      <c r="O155" s="49"/>
    </row>
    <row r="156" spans="8:15" ht="14.25" customHeight="1" x14ac:dyDescent="0.25">
      <c r="H156" s="49"/>
      <c r="I156" s="49"/>
      <c r="J156" s="49"/>
      <c r="K156" s="49"/>
      <c r="L156" s="49"/>
      <c r="M156" s="49"/>
      <c r="N156" s="49"/>
      <c r="O156" s="49"/>
    </row>
    <row r="157" spans="8:15" ht="14.25" customHeight="1" x14ac:dyDescent="0.25">
      <c r="H157" s="49"/>
      <c r="I157" s="49"/>
      <c r="J157" s="49"/>
      <c r="K157" s="49"/>
      <c r="L157" s="49"/>
      <c r="M157" s="49"/>
      <c r="N157" s="49"/>
      <c r="O157" s="49"/>
    </row>
    <row r="158" spans="8:15" ht="14.25" customHeight="1" x14ac:dyDescent="0.25">
      <c r="H158" s="49"/>
      <c r="I158" s="49"/>
      <c r="J158" s="49"/>
      <c r="K158" s="49"/>
      <c r="L158" s="49"/>
      <c r="M158" s="49"/>
      <c r="N158" s="49"/>
      <c r="O158" s="49"/>
    </row>
    <row r="159" spans="8:15" ht="14.25" customHeight="1" x14ac:dyDescent="0.25">
      <c r="H159" s="49"/>
      <c r="I159" s="49"/>
      <c r="J159" s="49"/>
      <c r="K159" s="49"/>
      <c r="L159" s="49"/>
      <c r="M159" s="49"/>
      <c r="N159" s="49"/>
      <c r="O159" s="49"/>
    </row>
    <row r="160" spans="8:15" ht="14.25" customHeight="1" x14ac:dyDescent="0.25">
      <c r="H160" s="49"/>
      <c r="I160" s="49"/>
      <c r="J160" s="49"/>
      <c r="K160" s="49"/>
      <c r="L160" s="49"/>
      <c r="M160" s="49"/>
      <c r="N160" s="49"/>
      <c r="O160" s="49"/>
    </row>
    <row r="161" spans="8:15" ht="14.25" customHeight="1" x14ac:dyDescent="0.25">
      <c r="H161" s="49"/>
      <c r="I161" s="49"/>
      <c r="J161" s="49"/>
      <c r="K161" s="49"/>
      <c r="L161" s="49"/>
      <c r="M161" s="49"/>
      <c r="N161" s="49"/>
      <c r="O161" s="49"/>
    </row>
    <row r="162" spans="8:15" ht="14.25" customHeight="1" x14ac:dyDescent="0.25">
      <c r="H162" s="49"/>
      <c r="I162" s="49"/>
      <c r="J162" s="49"/>
      <c r="K162" s="49"/>
      <c r="L162" s="49"/>
      <c r="M162" s="49"/>
      <c r="N162" s="49"/>
      <c r="O162" s="49"/>
    </row>
    <row r="163" spans="8:15" ht="14.25" customHeight="1" x14ac:dyDescent="0.25">
      <c r="H163" s="49"/>
      <c r="I163" s="49"/>
      <c r="J163" s="49"/>
      <c r="K163" s="49"/>
      <c r="L163" s="49"/>
      <c r="M163" s="49"/>
      <c r="N163" s="49"/>
      <c r="O163" s="49"/>
    </row>
    <row r="164" spans="8:15" ht="14.25" customHeight="1" x14ac:dyDescent="0.25">
      <c r="H164" s="49"/>
      <c r="I164" s="49"/>
      <c r="J164" s="49"/>
      <c r="K164" s="49"/>
      <c r="L164" s="49"/>
      <c r="M164" s="49"/>
      <c r="N164" s="49"/>
      <c r="O164" s="49"/>
    </row>
    <row r="165" spans="8:15" ht="14.25" customHeight="1" x14ac:dyDescent="0.25">
      <c r="H165" s="49"/>
      <c r="I165" s="49"/>
      <c r="J165" s="49"/>
      <c r="K165" s="49"/>
      <c r="L165" s="49"/>
      <c r="M165" s="49"/>
      <c r="N165" s="49"/>
      <c r="O165" s="49"/>
    </row>
    <row r="166" spans="8:15" ht="14.25" customHeight="1" x14ac:dyDescent="0.25">
      <c r="H166" s="49"/>
      <c r="I166" s="49"/>
      <c r="J166" s="49"/>
      <c r="K166" s="49"/>
      <c r="L166" s="49"/>
      <c r="M166" s="49"/>
      <c r="N166" s="49"/>
      <c r="O166" s="49"/>
    </row>
    <row r="167" spans="8:15" ht="14.25" customHeight="1" x14ac:dyDescent="0.25">
      <c r="H167" s="49"/>
      <c r="I167" s="49"/>
      <c r="J167" s="49"/>
      <c r="K167" s="49"/>
      <c r="L167" s="49"/>
      <c r="M167" s="49"/>
      <c r="N167" s="49"/>
      <c r="O167" s="49"/>
    </row>
    <row r="168" spans="8:15" ht="14.25" customHeight="1" x14ac:dyDescent="0.25">
      <c r="H168" s="49"/>
      <c r="I168" s="49"/>
      <c r="J168" s="49"/>
      <c r="K168" s="49"/>
      <c r="L168" s="49"/>
      <c r="M168" s="49"/>
      <c r="N168" s="49"/>
      <c r="O168" s="49"/>
    </row>
    <row r="169" spans="8:15" ht="14.25" customHeight="1" x14ac:dyDescent="0.25">
      <c r="H169" s="49"/>
      <c r="I169" s="49"/>
      <c r="J169" s="49"/>
      <c r="K169" s="49"/>
      <c r="L169" s="49"/>
      <c r="M169" s="49"/>
      <c r="N169" s="49"/>
      <c r="O169" s="49"/>
    </row>
    <row r="170" spans="8:15" ht="14.25" customHeight="1" x14ac:dyDescent="0.25">
      <c r="H170" s="49"/>
      <c r="I170" s="49"/>
      <c r="J170" s="49"/>
      <c r="K170" s="49"/>
      <c r="L170" s="49"/>
      <c r="M170" s="49"/>
      <c r="N170" s="49"/>
      <c r="O170" s="49"/>
    </row>
    <row r="171" spans="8:15" ht="14.25" customHeight="1" x14ac:dyDescent="0.25">
      <c r="H171" s="49"/>
      <c r="I171" s="49"/>
      <c r="J171" s="49"/>
      <c r="K171" s="49"/>
      <c r="L171" s="49"/>
      <c r="M171" s="49"/>
      <c r="N171" s="49"/>
      <c r="O171" s="49"/>
    </row>
    <row r="172" spans="8:15" ht="14.25" customHeight="1" x14ac:dyDescent="0.25">
      <c r="H172" s="49"/>
      <c r="I172" s="49"/>
      <c r="J172" s="49"/>
      <c r="K172" s="49"/>
      <c r="L172" s="49"/>
      <c r="M172" s="49"/>
      <c r="N172" s="49"/>
      <c r="O172" s="49"/>
    </row>
    <row r="173" spans="8:15" ht="14.25" customHeight="1" x14ac:dyDescent="0.25">
      <c r="H173" s="49"/>
      <c r="I173" s="49"/>
      <c r="J173" s="49"/>
      <c r="K173" s="49"/>
      <c r="L173" s="49"/>
      <c r="M173" s="49"/>
      <c r="N173" s="49"/>
      <c r="O173" s="49"/>
    </row>
    <row r="174" spans="8:15" ht="14.25" customHeight="1" x14ac:dyDescent="0.25">
      <c r="H174" s="49"/>
      <c r="I174" s="49"/>
      <c r="J174" s="49"/>
      <c r="K174" s="49"/>
      <c r="L174" s="49"/>
      <c r="M174" s="49"/>
      <c r="N174" s="49"/>
      <c r="O174" s="49"/>
    </row>
    <row r="175" spans="8:15" ht="14.25" customHeight="1" x14ac:dyDescent="0.25">
      <c r="H175" s="49"/>
      <c r="I175" s="49"/>
      <c r="J175" s="49"/>
      <c r="K175" s="49"/>
      <c r="L175" s="49"/>
      <c r="M175" s="49"/>
      <c r="N175" s="49"/>
      <c r="O175" s="49"/>
    </row>
    <row r="176" spans="8:15" ht="14.25" customHeight="1" x14ac:dyDescent="0.25">
      <c r="H176" s="49"/>
      <c r="I176" s="49"/>
      <c r="J176" s="49"/>
      <c r="K176" s="49"/>
      <c r="L176" s="49"/>
      <c r="M176" s="49"/>
      <c r="N176" s="49"/>
      <c r="O176" s="49"/>
    </row>
    <row r="177" spans="8:15" ht="14.25" customHeight="1" x14ac:dyDescent="0.25">
      <c r="H177" s="49"/>
      <c r="I177" s="49"/>
      <c r="J177" s="49"/>
      <c r="K177" s="49"/>
      <c r="L177" s="49"/>
      <c r="M177" s="49"/>
      <c r="N177" s="49"/>
      <c r="O177" s="49"/>
    </row>
    <row r="178" spans="8:15" ht="14.25" customHeight="1" x14ac:dyDescent="0.25">
      <c r="H178" s="49"/>
      <c r="I178" s="49"/>
      <c r="J178" s="49"/>
      <c r="K178" s="49"/>
      <c r="L178" s="49"/>
      <c r="M178" s="49"/>
      <c r="N178" s="49"/>
      <c r="O178" s="49"/>
    </row>
    <row r="179" spans="8:15" ht="14.25" customHeight="1" x14ac:dyDescent="0.25">
      <c r="H179" s="49"/>
      <c r="I179" s="49"/>
      <c r="J179" s="49"/>
      <c r="K179" s="49"/>
      <c r="L179" s="49"/>
      <c r="M179" s="49"/>
      <c r="N179" s="49"/>
      <c r="O179" s="49"/>
    </row>
    <row r="180" spans="8:15" ht="14.25" customHeight="1" x14ac:dyDescent="0.25">
      <c r="H180" s="49"/>
      <c r="I180" s="49"/>
      <c r="J180" s="49"/>
      <c r="K180" s="49"/>
      <c r="L180" s="49"/>
      <c r="M180" s="49"/>
      <c r="N180" s="49"/>
      <c r="O180" s="49"/>
    </row>
    <row r="181" spans="8:15" ht="14.25" customHeight="1" x14ac:dyDescent="0.25">
      <c r="H181" s="49"/>
      <c r="I181" s="49"/>
      <c r="J181" s="49"/>
      <c r="K181" s="49"/>
      <c r="L181" s="49"/>
      <c r="M181" s="49"/>
      <c r="N181" s="49"/>
      <c r="O181" s="49"/>
    </row>
    <row r="182" spans="8:15" ht="14.25" customHeight="1" x14ac:dyDescent="0.25">
      <c r="H182" s="49"/>
      <c r="I182" s="49"/>
      <c r="J182" s="49"/>
      <c r="K182" s="49"/>
      <c r="L182" s="49"/>
      <c r="M182" s="49"/>
      <c r="N182" s="49"/>
      <c r="O182" s="49"/>
    </row>
    <row r="183" spans="8:15" ht="14.25" customHeight="1" x14ac:dyDescent="0.25">
      <c r="H183" s="49"/>
      <c r="I183" s="49"/>
      <c r="J183" s="49"/>
      <c r="K183" s="49"/>
      <c r="L183" s="49"/>
      <c r="M183" s="49"/>
      <c r="N183" s="49"/>
      <c r="O183" s="49"/>
    </row>
    <row r="184" spans="8:15" ht="14.25" customHeight="1" x14ac:dyDescent="0.25">
      <c r="H184" s="49"/>
      <c r="I184" s="49"/>
      <c r="J184" s="49"/>
      <c r="K184" s="49"/>
      <c r="L184" s="49"/>
      <c r="M184" s="49"/>
      <c r="N184" s="49"/>
      <c r="O184" s="49"/>
    </row>
    <row r="185" spans="8:15" ht="14.25" customHeight="1" x14ac:dyDescent="0.25">
      <c r="H185" s="49"/>
      <c r="I185" s="49"/>
      <c r="J185" s="49"/>
      <c r="K185" s="49"/>
      <c r="L185" s="49"/>
      <c r="M185" s="49"/>
      <c r="N185" s="49"/>
      <c r="O185" s="49"/>
    </row>
    <row r="186" spans="8:15" ht="14.25" customHeight="1" x14ac:dyDescent="0.25">
      <c r="H186" s="49"/>
      <c r="I186" s="49"/>
      <c r="J186" s="49"/>
      <c r="K186" s="49"/>
      <c r="L186" s="49"/>
      <c r="M186" s="49"/>
      <c r="N186" s="49"/>
      <c r="O186" s="49"/>
    </row>
    <row r="187" spans="8:15" ht="14.25" customHeight="1" x14ac:dyDescent="0.25">
      <c r="H187" s="49"/>
      <c r="I187" s="49"/>
      <c r="J187" s="49"/>
      <c r="K187" s="49"/>
      <c r="L187" s="49"/>
      <c r="M187" s="49"/>
      <c r="N187" s="49"/>
      <c r="O187" s="49"/>
    </row>
    <row r="188" spans="8:15" ht="14.25" customHeight="1" x14ac:dyDescent="0.25">
      <c r="H188" s="49"/>
      <c r="I188" s="49"/>
      <c r="J188" s="49"/>
      <c r="K188" s="49"/>
      <c r="L188" s="49"/>
      <c r="M188" s="49"/>
      <c r="N188" s="49"/>
      <c r="O188" s="49"/>
    </row>
    <row r="189" spans="8:15" ht="14.25" customHeight="1" x14ac:dyDescent="0.25">
      <c r="H189" s="49"/>
      <c r="I189" s="49"/>
      <c r="J189" s="49"/>
      <c r="K189" s="49"/>
      <c r="L189" s="49"/>
      <c r="M189" s="49"/>
      <c r="N189" s="49"/>
      <c r="O189" s="49"/>
    </row>
    <row r="190" spans="8:15" ht="14.25" customHeight="1" x14ac:dyDescent="0.25">
      <c r="H190" s="49"/>
      <c r="I190" s="49"/>
      <c r="J190" s="49"/>
      <c r="K190" s="49"/>
      <c r="L190" s="49"/>
      <c r="M190" s="49"/>
      <c r="N190" s="49"/>
      <c r="O190" s="49"/>
    </row>
    <row r="191" spans="8:15" ht="14.25" customHeight="1" x14ac:dyDescent="0.25">
      <c r="H191" s="49"/>
      <c r="I191" s="49"/>
      <c r="J191" s="49"/>
      <c r="K191" s="49"/>
      <c r="L191" s="49"/>
      <c r="M191" s="49"/>
      <c r="N191" s="49"/>
      <c r="O191" s="49"/>
    </row>
    <row r="192" spans="8:15" ht="14.25" customHeight="1" x14ac:dyDescent="0.25">
      <c r="H192" s="49"/>
      <c r="I192" s="49"/>
      <c r="J192" s="49"/>
      <c r="K192" s="49"/>
      <c r="L192" s="49"/>
      <c r="M192" s="49"/>
      <c r="N192" s="49"/>
      <c r="O192" s="49"/>
    </row>
    <row r="193" spans="8:15" ht="14.25" customHeight="1" x14ac:dyDescent="0.25">
      <c r="H193" s="49"/>
      <c r="I193" s="49"/>
      <c r="J193" s="49"/>
      <c r="K193" s="49"/>
      <c r="L193" s="49"/>
      <c r="M193" s="49"/>
      <c r="N193" s="49"/>
      <c r="O193" s="49"/>
    </row>
    <row r="194" spans="8:15" ht="14.25" customHeight="1" x14ac:dyDescent="0.25">
      <c r="H194" s="49"/>
      <c r="I194" s="49"/>
      <c r="J194" s="49"/>
      <c r="K194" s="49"/>
      <c r="L194" s="49"/>
      <c r="M194" s="49"/>
      <c r="N194" s="49"/>
      <c r="O194" s="49"/>
    </row>
    <row r="195" spans="8:15" ht="14.25" customHeight="1" x14ac:dyDescent="0.25">
      <c r="H195" s="49"/>
      <c r="I195" s="49"/>
      <c r="J195" s="49"/>
      <c r="K195" s="49"/>
      <c r="L195" s="49"/>
      <c r="M195" s="49"/>
      <c r="N195" s="49"/>
      <c r="O195" s="49"/>
    </row>
    <row r="196" spans="8:15" ht="14.25" customHeight="1" x14ac:dyDescent="0.25">
      <c r="H196" s="49"/>
      <c r="I196" s="49"/>
      <c r="J196" s="49"/>
      <c r="K196" s="49"/>
      <c r="L196" s="49"/>
      <c r="M196" s="49"/>
      <c r="N196" s="49"/>
      <c r="O196" s="49"/>
    </row>
    <row r="197" spans="8:15" ht="14.25" customHeight="1" x14ac:dyDescent="0.25">
      <c r="H197" s="49"/>
      <c r="I197" s="49"/>
      <c r="J197" s="49"/>
      <c r="K197" s="49"/>
      <c r="L197" s="49"/>
      <c r="M197" s="49"/>
      <c r="N197" s="49"/>
      <c r="O197" s="49"/>
    </row>
    <row r="198" spans="8:15" ht="14.25" customHeight="1" x14ac:dyDescent="0.25">
      <c r="H198" s="49"/>
      <c r="I198" s="49"/>
      <c r="J198" s="49"/>
      <c r="K198" s="49"/>
      <c r="L198" s="49"/>
      <c r="M198" s="49"/>
      <c r="N198" s="49"/>
      <c r="O198" s="49"/>
    </row>
    <row r="199" spans="8:15" ht="14.25" customHeight="1" x14ac:dyDescent="0.25">
      <c r="H199" s="49"/>
      <c r="I199" s="49"/>
      <c r="J199" s="49"/>
      <c r="K199" s="49"/>
      <c r="L199" s="49"/>
      <c r="M199" s="49"/>
      <c r="N199" s="49"/>
      <c r="O199" s="49"/>
    </row>
    <row r="200" spans="8:15" ht="14.25" customHeight="1" x14ac:dyDescent="0.25">
      <c r="H200" s="49"/>
      <c r="I200" s="49"/>
      <c r="J200" s="49"/>
      <c r="K200" s="49"/>
      <c r="L200" s="49"/>
      <c r="M200" s="49"/>
      <c r="N200" s="49"/>
      <c r="O200" s="49"/>
    </row>
    <row r="201" spans="8:15" ht="14.25" customHeight="1" x14ac:dyDescent="0.25">
      <c r="H201" s="49"/>
      <c r="I201" s="49"/>
      <c r="J201" s="49"/>
      <c r="K201" s="49"/>
      <c r="L201" s="49"/>
      <c r="M201" s="49"/>
      <c r="N201" s="49"/>
      <c r="O201" s="49"/>
    </row>
    <row r="202" spans="8:15" ht="14.25" customHeight="1" x14ac:dyDescent="0.25">
      <c r="H202" s="49"/>
      <c r="I202" s="49"/>
      <c r="J202" s="49"/>
      <c r="K202" s="49"/>
      <c r="L202" s="49"/>
      <c r="M202" s="49"/>
      <c r="N202" s="49"/>
      <c r="O202" s="49"/>
    </row>
    <row r="203" spans="8:15" ht="14.25" customHeight="1" x14ac:dyDescent="0.25">
      <c r="H203" s="49"/>
      <c r="I203" s="49"/>
      <c r="J203" s="49"/>
      <c r="K203" s="49"/>
      <c r="L203" s="49"/>
      <c r="M203" s="49"/>
      <c r="N203" s="49"/>
      <c r="O203" s="49"/>
    </row>
    <row r="204" spans="8:15" ht="14.25" customHeight="1" x14ac:dyDescent="0.25">
      <c r="H204" s="49"/>
      <c r="I204" s="49"/>
      <c r="J204" s="49"/>
      <c r="K204" s="49"/>
      <c r="L204" s="49"/>
      <c r="M204" s="49"/>
      <c r="N204" s="49"/>
      <c r="O204" s="49"/>
    </row>
    <row r="205" spans="8:15" ht="14.25" customHeight="1" x14ac:dyDescent="0.25">
      <c r="H205" s="49"/>
      <c r="I205" s="49"/>
      <c r="J205" s="49"/>
      <c r="K205" s="49"/>
      <c r="L205" s="49"/>
      <c r="M205" s="49"/>
      <c r="N205" s="49"/>
      <c r="O205" s="49"/>
    </row>
    <row r="206" spans="8:15" ht="14.25" customHeight="1" x14ac:dyDescent="0.25">
      <c r="H206" s="49"/>
      <c r="I206" s="49"/>
      <c r="J206" s="49"/>
      <c r="K206" s="49"/>
      <c r="L206" s="49"/>
      <c r="M206" s="49"/>
      <c r="N206" s="49"/>
      <c r="O206" s="49"/>
    </row>
    <row r="207" spans="8:15" ht="14.25" customHeight="1" x14ac:dyDescent="0.25">
      <c r="H207" s="49"/>
      <c r="I207" s="49"/>
      <c r="J207" s="49"/>
      <c r="K207" s="49"/>
      <c r="L207" s="49"/>
      <c r="M207" s="49"/>
      <c r="N207" s="49"/>
      <c r="O207" s="49"/>
    </row>
    <row r="208" spans="8:15" ht="14.25" customHeight="1" x14ac:dyDescent="0.25">
      <c r="H208" s="49"/>
      <c r="I208" s="49"/>
      <c r="J208" s="49"/>
      <c r="K208" s="49"/>
      <c r="L208" s="49"/>
      <c r="M208" s="49"/>
      <c r="N208" s="49"/>
      <c r="O208" s="49"/>
    </row>
    <row r="209" spans="8:15" ht="14.25" customHeight="1" x14ac:dyDescent="0.25">
      <c r="H209" s="49"/>
      <c r="I209" s="49"/>
      <c r="J209" s="49"/>
      <c r="K209" s="49"/>
      <c r="L209" s="49"/>
      <c r="M209" s="49"/>
      <c r="N209" s="49"/>
      <c r="O209" s="49"/>
    </row>
    <row r="210" spans="8:15" ht="14.25" customHeight="1" x14ac:dyDescent="0.25">
      <c r="H210" s="49"/>
      <c r="I210" s="49"/>
      <c r="J210" s="49"/>
      <c r="K210" s="49"/>
      <c r="L210" s="49"/>
      <c r="M210" s="49"/>
      <c r="N210" s="49"/>
      <c r="O210" s="49"/>
    </row>
    <row r="211" spans="8:15" ht="14.25" customHeight="1" x14ac:dyDescent="0.25">
      <c r="H211" s="49"/>
      <c r="I211" s="49"/>
      <c r="J211" s="49"/>
      <c r="K211" s="49"/>
      <c r="L211" s="49"/>
      <c r="M211" s="49"/>
      <c r="N211" s="49"/>
      <c r="O211" s="49"/>
    </row>
    <row r="212" spans="8:15" ht="14.25" customHeight="1" x14ac:dyDescent="0.25">
      <c r="H212" s="49"/>
      <c r="I212" s="49"/>
      <c r="J212" s="49"/>
      <c r="K212" s="49"/>
      <c r="L212" s="49"/>
      <c r="M212" s="49"/>
      <c r="N212" s="49"/>
      <c r="O212" s="49"/>
    </row>
    <row r="213" spans="8:15" ht="14.25" customHeight="1" x14ac:dyDescent="0.25">
      <c r="H213" s="49"/>
      <c r="I213" s="49"/>
      <c r="J213" s="49"/>
      <c r="K213" s="49"/>
      <c r="L213" s="49"/>
      <c r="M213" s="49"/>
      <c r="N213" s="49"/>
      <c r="O213" s="49"/>
    </row>
    <row r="214" spans="8:15" ht="14.25" customHeight="1" x14ac:dyDescent="0.25">
      <c r="H214" s="49"/>
      <c r="I214" s="49"/>
      <c r="J214" s="49"/>
      <c r="K214" s="49"/>
      <c r="L214" s="49"/>
      <c r="M214" s="49"/>
      <c r="N214" s="49"/>
      <c r="O214" s="49"/>
    </row>
    <row r="215" spans="8:15" ht="14.25" customHeight="1" x14ac:dyDescent="0.25">
      <c r="H215" s="49"/>
      <c r="I215" s="49"/>
      <c r="J215" s="49"/>
      <c r="K215" s="49"/>
      <c r="L215" s="49"/>
      <c r="M215" s="49"/>
      <c r="N215" s="49"/>
      <c r="O215" s="49"/>
    </row>
    <row r="216" spans="8:15" ht="14.25" customHeight="1" x14ac:dyDescent="0.25">
      <c r="H216" s="49"/>
      <c r="I216" s="49"/>
      <c r="J216" s="49"/>
      <c r="K216" s="49"/>
      <c r="L216" s="49"/>
      <c r="M216" s="49"/>
      <c r="N216" s="49"/>
      <c r="O216" s="49"/>
    </row>
    <row r="217" spans="8:15" ht="14.25" customHeight="1" x14ac:dyDescent="0.25">
      <c r="H217" s="49"/>
      <c r="I217" s="49"/>
      <c r="J217" s="49"/>
      <c r="K217" s="49"/>
      <c r="L217" s="49"/>
      <c r="M217" s="49"/>
      <c r="N217" s="49"/>
      <c r="O217" s="49"/>
    </row>
    <row r="218" spans="8:15" ht="14.25" customHeight="1" x14ac:dyDescent="0.25">
      <c r="H218" s="49"/>
      <c r="I218" s="49"/>
      <c r="J218" s="49"/>
      <c r="K218" s="49"/>
      <c r="L218" s="49"/>
      <c r="M218" s="49"/>
      <c r="N218" s="49"/>
      <c r="O218" s="49"/>
    </row>
    <row r="219" spans="8:15" ht="14.25" customHeight="1" x14ac:dyDescent="0.25">
      <c r="H219" s="49"/>
      <c r="I219" s="49"/>
      <c r="J219" s="49"/>
      <c r="K219" s="49"/>
      <c r="L219" s="49"/>
      <c r="M219" s="49"/>
      <c r="N219" s="49"/>
      <c r="O219" s="49"/>
    </row>
    <row r="220" spans="8:15" ht="14.25" customHeight="1" x14ac:dyDescent="0.25">
      <c r="H220" s="49"/>
      <c r="I220" s="49"/>
      <c r="J220" s="49"/>
      <c r="K220" s="49"/>
      <c r="L220" s="49"/>
      <c r="M220" s="49"/>
      <c r="N220" s="49"/>
      <c r="O220" s="49"/>
    </row>
    <row r="221" spans="8:15" ht="14.25" customHeight="1" x14ac:dyDescent="0.25">
      <c r="H221" s="49"/>
      <c r="I221" s="49"/>
      <c r="J221" s="49"/>
      <c r="K221" s="49"/>
      <c r="L221" s="49"/>
      <c r="M221" s="49"/>
      <c r="N221" s="49"/>
      <c r="O221" s="49"/>
    </row>
    <row r="222" spans="8:15" ht="14.25" customHeight="1" x14ac:dyDescent="0.25">
      <c r="H222" s="49"/>
      <c r="I222" s="49"/>
      <c r="J222" s="49"/>
      <c r="K222" s="49"/>
      <c r="L222" s="49"/>
      <c r="M222" s="49"/>
      <c r="N222" s="49"/>
      <c r="O222" s="49"/>
    </row>
    <row r="223" spans="8:15" ht="14.25" customHeight="1" x14ac:dyDescent="0.25">
      <c r="H223" s="49"/>
      <c r="I223" s="49"/>
      <c r="J223" s="49"/>
      <c r="K223" s="49"/>
      <c r="L223" s="49"/>
      <c r="M223" s="49"/>
      <c r="N223" s="49"/>
      <c r="O223" s="49"/>
    </row>
    <row r="224" spans="8:15" ht="14.25" customHeight="1" x14ac:dyDescent="0.25">
      <c r="H224" s="49"/>
      <c r="I224" s="49"/>
      <c r="J224" s="49"/>
      <c r="K224" s="49"/>
      <c r="L224" s="49"/>
      <c r="M224" s="49"/>
      <c r="N224" s="49"/>
      <c r="O224" s="49"/>
    </row>
    <row r="225" spans="8:15" ht="14.25" customHeight="1" x14ac:dyDescent="0.25">
      <c r="H225" s="49"/>
      <c r="I225" s="49"/>
      <c r="J225" s="49"/>
      <c r="K225" s="49"/>
      <c r="L225" s="49"/>
      <c r="M225" s="49"/>
      <c r="N225" s="49"/>
      <c r="O225" s="49"/>
    </row>
    <row r="226" spans="8:15" ht="14.25" customHeight="1" x14ac:dyDescent="0.25">
      <c r="H226" s="49"/>
      <c r="I226" s="49"/>
      <c r="J226" s="49"/>
      <c r="K226" s="49"/>
      <c r="L226" s="49"/>
      <c r="M226" s="49"/>
      <c r="N226" s="49"/>
      <c r="O226" s="49"/>
    </row>
    <row r="227" spans="8:15" ht="14.25" customHeight="1" x14ac:dyDescent="0.25">
      <c r="H227" s="49"/>
      <c r="I227" s="49"/>
      <c r="J227" s="49"/>
      <c r="K227" s="49"/>
      <c r="L227" s="49"/>
      <c r="M227" s="49"/>
      <c r="N227" s="49"/>
      <c r="O227" s="49"/>
    </row>
    <row r="228" spans="8:15" ht="14.25" customHeight="1" x14ac:dyDescent="0.25">
      <c r="H228" s="49"/>
      <c r="I228" s="49"/>
      <c r="J228" s="49"/>
      <c r="K228" s="49"/>
      <c r="L228" s="49"/>
      <c r="M228" s="49"/>
      <c r="N228" s="49"/>
      <c r="O228" s="49"/>
    </row>
    <row r="229" spans="8:15" ht="14.25" customHeight="1" x14ac:dyDescent="0.25">
      <c r="H229" s="49"/>
      <c r="I229" s="49"/>
      <c r="J229" s="49"/>
      <c r="K229" s="49"/>
      <c r="L229" s="49"/>
      <c r="M229" s="49"/>
      <c r="N229" s="49"/>
      <c r="O229" s="49"/>
    </row>
    <row r="230" spans="8:15" ht="14.25" customHeight="1" x14ac:dyDescent="0.25">
      <c r="H230" s="49"/>
      <c r="I230" s="49"/>
      <c r="J230" s="49"/>
      <c r="K230" s="49"/>
      <c r="L230" s="49"/>
      <c r="M230" s="49"/>
      <c r="N230" s="49"/>
      <c r="O230" s="49"/>
    </row>
    <row r="231" spans="8:15" ht="14.25" customHeight="1" x14ac:dyDescent="0.25">
      <c r="H231" s="49"/>
      <c r="I231" s="49"/>
      <c r="J231" s="49"/>
      <c r="K231" s="49"/>
      <c r="L231" s="49"/>
      <c r="M231" s="49"/>
      <c r="N231" s="49"/>
      <c r="O231" s="49"/>
    </row>
    <row r="232" spans="8:15" ht="14.25" customHeight="1" x14ac:dyDescent="0.25">
      <c r="H232" s="49"/>
      <c r="I232" s="49"/>
      <c r="J232" s="49"/>
      <c r="K232" s="49"/>
      <c r="L232" s="49"/>
      <c r="M232" s="49"/>
      <c r="N232" s="49"/>
      <c r="O232" s="49"/>
    </row>
    <row r="233" spans="8:15" ht="14.25" customHeight="1" x14ac:dyDescent="0.25">
      <c r="H233" s="49"/>
      <c r="I233" s="49"/>
      <c r="J233" s="49"/>
      <c r="K233" s="49"/>
      <c r="L233" s="49"/>
      <c r="M233" s="49"/>
      <c r="N233" s="49"/>
      <c r="O233" s="49"/>
    </row>
    <row r="234" spans="8:15" ht="14.25" customHeight="1" x14ac:dyDescent="0.25">
      <c r="H234" s="49"/>
      <c r="I234" s="49"/>
      <c r="J234" s="49"/>
      <c r="K234" s="49"/>
      <c r="L234" s="49"/>
      <c r="M234" s="49"/>
      <c r="N234" s="49"/>
      <c r="O234" s="49"/>
    </row>
    <row r="235" spans="8:15" ht="14.25" customHeight="1" x14ac:dyDescent="0.25">
      <c r="H235" s="49"/>
      <c r="I235" s="49"/>
      <c r="J235" s="49"/>
      <c r="K235" s="49"/>
      <c r="L235" s="49"/>
      <c r="M235" s="49"/>
      <c r="N235" s="49"/>
      <c r="O235" s="49"/>
    </row>
    <row r="236" spans="8:15" ht="14.25" customHeight="1" x14ac:dyDescent="0.25">
      <c r="H236" s="49"/>
      <c r="I236" s="49"/>
      <c r="J236" s="49"/>
      <c r="K236" s="49"/>
      <c r="L236" s="49"/>
      <c r="M236" s="49"/>
      <c r="N236" s="49"/>
      <c r="O236" s="49"/>
    </row>
    <row r="237" spans="8:15" ht="14.25" customHeight="1" x14ac:dyDescent="0.25">
      <c r="H237" s="49"/>
      <c r="I237" s="49"/>
      <c r="J237" s="49"/>
      <c r="K237" s="49"/>
      <c r="L237" s="49"/>
      <c r="M237" s="49"/>
      <c r="N237" s="49"/>
      <c r="O237" s="49"/>
    </row>
    <row r="238" spans="8:15" ht="14.25" customHeight="1" x14ac:dyDescent="0.25">
      <c r="H238" s="49"/>
      <c r="I238" s="49"/>
      <c r="J238" s="49"/>
      <c r="K238" s="49"/>
      <c r="L238" s="49"/>
      <c r="M238" s="49"/>
      <c r="N238" s="49"/>
      <c r="O238" s="49"/>
    </row>
    <row r="239" spans="8:15" ht="14.25" customHeight="1" x14ac:dyDescent="0.25">
      <c r="H239" s="49"/>
      <c r="I239" s="49"/>
      <c r="J239" s="49"/>
      <c r="K239" s="49"/>
      <c r="L239" s="49"/>
      <c r="M239" s="49"/>
      <c r="N239" s="49"/>
      <c r="O239" s="49"/>
    </row>
    <row r="240" spans="8:15" ht="14.25" customHeight="1" x14ac:dyDescent="0.25">
      <c r="H240" s="49"/>
      <c r="I240" s="49"/>
      <c r="J240" s="49"/>
      <c r="K240" s="49"/>
      <c r="L240" s="49"/>
      <c r="M240" s="49"/>
      <c r="N240" s="49"/>
      <c r="O240" s="49"/>
    </row>
    <row r="241" spans="8:15" ht="14.25" customHeight="1" x14ac:dyDescent="0.25">
      <c r="H241" s="49"/>
      <c r="I241" s="49"/>
      <c r="J241" s="49"/>
      <c r="K241" s="49"/>
      <c r="L241" s="49"/>
      <c r="M241" s="49"/>
      <c r="N241" s="49"/>
      <c r="O241" s="49"/>
    </row>
    <row r="242" spans="8:15" ht="14.25" customHeight="1" x14ac:dyDescent="0.25">
      <c r="H242" s="49"/>
      <c r="I242" s="49"/>
      <c r="J242" s="49"/>
      <c r="K242" s="49"/>
      <c r="L242" s="49"/>
      <c r="M242" s="49"/>
      <c r="N242" s="49"/>
      <c r="O242" s="49"/>
    </row>
    <row r="243" spans="8:15" ht="14.25" customHeight="1" x14ac:dyDescent="0.25">
      <c r="H243" s="49"/>
      <c r="I243" s="49"/>
      <c r="J243" s="49"/>
      <c r="K243" s="49"/>
      <c r="L243" s="49"/>
      <c r="M243" s="49"/>
      <c r="N243" s="49"/>
      <c r="O243" s="49"/>
    </row>
    <row r="244" spans="8:15" ht="15.75" customHeight="1" x14ac:dyDescent="0.25"/>
    <row r="245" spans="8:15" ht="15.75" customHeight="1" x14ac:dyDescent="0.25"/>
    <row r="246" spans="8:15" ht="15.75" customHeight="1" x14ac:dyDescent="0.25"/>
    <row r="247" spans="8:15" ht="15.75" customHeight="1" x14ac:dyDescent="0.25"/>
    <row r="248" spans="8:15" ht="15.75" customHeight="1" x14ac:dyDescent="0.25"/>
    <row r="249" spans="8:15" ht="15.75" customHeight="1" x14ac:dyDescent="0.25"/>
    <row r="250" spans="8:15" ht="15.75" customHeight="1" x14ac:dyDescent="0.25"/>
    <row r="251" spans="8:15" ht="15.75" customHeight="1" x14ac:dyDescent="0.25"/>
    <row r="252" spans="8:15" ht="15.75" customHeight="1" x14ac:dyDescent="0.25"/>
    <row r="253" spans="8:15" ht="15.75" customHeight="1" x14ac:dyDescent="0.25"/>
    <row r="254" spans="8:15" ht="15.75" customHeight="1" x14ac:dyDescent="0.25"/>
    <row r="255" spans="8:15" ht="15.75" customHeight="1" x14ac:dyDescent="0.25"/>
    <row r="256" spans="8:1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H3:O3"/>
    <mergeCell ref="L5:O5"/>
    <mergeCell ref="H9:O9"/>
    <mergeCell ref="B13:B43"/>
    <mergeCell ref="H13:K13"/>
    <mergeCell ref="H15:K15"/>
    <mergeCell ref="H21:I21"/>
    <mergeCell ref="K29:L29"/>
    <mergeCell ref="J31:K31"/>
    <mergeCell ref="L31:N31"/>
    <mergeCell ref="L33:M33"/>
    <mergeCell ref="D35:D39"/>
    <mergeCell ref="H35:J35"/>
    <mergeCell ref="H37:J37"/>
    <mergeCell ref="H39:J39"/>
    <mergeCell ref="H17:J17"/>
    <mergeCell ref="H19:J19"/>
    <mergeCell ref="D17:D23"/>
    <mergeCell ref="D25:D33"/>
    <mergeCell ref="H25:I25"/>
    <mergeCell ref="H27:J27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Q1000"/>
  <sheetViews>
    <sheetView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10" defaultColWidth="14.42578125" defaultRowHeight="15" customHeight="1" x14ac:dyDescent="0.25"/>
  <cols>
    <col min="1" max="1" width="2.140625" customWidth="1"/>
    <col min="2" max="2" width="24.85546875" customWidth="1"/>
    <col min="3" max="3" width="1.28515625" customWidth="1"/>
    <col min="4" max="4" width="24.7109375" customWidth="1"/>
    <col min="5" max="5" width="1.28515625" customWidth="1"/>
    <col min="6" max="6" width="33.28515625" customWidth="1"/>
    <col min="7" max="7" width="3.140625" customWidth="1"/>
    <col min="8" max="15" width="43" customWidth="1"/>
    <col min="16" max="31" width="7.28515625" customWidth="1"/>
  </cols>
  <sheetData>
    <row r="1" spans="2:31" ht="14.25" customHeight="1" x14ac:dyDescent="0.25">
      <c r="H1" s="49"/>
      <c r="I1" s="49"/>
      <c r="J1" s="49"/>
      <c r="K1" s="49"/>
      <c r="L1" s="49"/>
      <c r="M1" s="49"/>
      <c r="N1" s="49"/>
      <c r="O1" s="49"/>
    </row>
    <row r="2" spans="2:31" ht="14.25" customHeight="1" x14ac:dyDescent="0.25">
      <c r="H2" s="49"/>
      <c r="I2" s="49"/>
      <c r="J2" s="49"/>
      <c r="K2" s="49"/>
      <c r="L2" s="49"/>
      <c r="M2" s="49"/>
      <c r="N2" s="49"/>
      <c r="O2" s="49"/>
    </row>
    <row r="3" spans="2:31" ht="49.5" customHeight="1" x14ac:dyDescent="0.25">
      <c r="H3" s="871">
        <v>2024</v>
      </c>
      <c r="I3" s="568"/>
      <c r="J3" s="568"/>
      <c r="K3" s="568"/>
      <c r="L3" s="568"/>
      <c r="M3" s="568"/>
      <c r="N3" s="568"/>
      <c r="O3" s="569"/>
    </row>
    <row r="4" spans="2:31" ht="6" customHeight="1" x14ac:dyDescent="0.25">
      <c r="H4" s="49"/>
      <c r="I4" s="49"/>
      <c r="J4" s="49"/>
      <c r="K4" s="49"/>
      <c r="L4" s="49"/>
      <c r="M4" s="49"/>
      <c r="N4" s="49"/>
      <c r="O4" s="49"/>
    </row>
    <row r="5" spans="2:31" ht="57.75" customHeight="1" x14ac:dyDescent="0.25">
      <c r="B5" s="11" t="s">
        <v>28</v>
      </c>
      <c r="C5" s="52"/>
      <c r="D5" s="11" t="s">
        <v>532</v>
      </c>
      <c r="E5" s="52"/>
      <c r="F5" s="11" t="s">
        <v>672</v>
      </c>
      <c r="G5" s="52"/>
      <c r="H5" s="872" t="s">
        <v>673</v>
      </c>
      <c r="I5" s="582"/>
      <c r="J5" s="582"/>
      <c r="K5" s="572"/>
      <c r="L5" s="872" t="s">
        <v>93</v>
      </c>
      <c r="M5" s="582"/>
      <c r="N5" s="582"/>
      <c r="O5" s="572"/>
    </row>
    <row r="6" spans="2:31" ht="6.75" customHeight="1" x14ac:dyDescent="0.25">
      <c r="B6" s="5"/>
      <c r="F6" s="5"/>
      <c r="H6" s="49"/>
      <c r="I6" s="49"/>
      <c r="J6" s="49"/>
      <c r="K6" s="49"/>
      <c r="L6" s="49"/>
      <c r="M6" s="49"/>
      <c r="N6" s="49"/>
      <c r="O6" s="49"/>
    </row>
    <row r="7" spans="2:31" ht="23.25" customHeight="1" x14ac:dyDescent="0.25">
      <c r="B7" s="5"/>
      <c r="F7" s="5"/>
      <c r="H7" s="167" t="s">
        <v>198</v>
      </c>
      <c r="I7" s="167" t="s">
        <v>199</v>
      </c>
      <c r="J7" s="167" t="s">
        <v>200</v>
      </c>
      <c r="K7" s="167" t="s">
        <v>201</v>
      </c>
      <c r="L7" s="167" t="s">
        <v>198</v>
      </c>
      <c r="M7" s="167" t="s">
        <v>199</v>
      </c>
      <c r="N7" s="167" t="s">
        <v>200</v>
      </c>
      <c r="O7" s="167" t="s">
        <v>201</v>
      </c>
    </row>
    <row r="8" spans="2:31" ht="10.5" customHeight="1" x14ac:dyDescent="0.25">
      <c r="B8" s="5"/>
      <c r="F8" s="5"/>
      <c r="H8" s="49"/>
      <c r="I8" s="49"/>
      <c r="J8" s="49"/>
      <c r="K8" s="49"/>
      <c r="L8" s="49"/>
      <c r="M8" s="49"/>
      <c r="N8" s="49"/>
      <c r="O8" s="49"/>
    </row>
    <row r="9" spans="2:31" ht="53.25" customHeight="1" x14ac:dyDescent="0.25">
      <c r="B9" s="5"/>
      <c r="D9" s="5"/>
      <c r="F9" s="5"/>
      <c r="H9" s="873" t="s">
        <v>674</v>
      </c>
      <c r="I9" s="568"/>
      <c r="J9" s="568"/>
      <c r="K9" s="568"/>
      <c r="L9" s="568"/>
      <c r="M9" s="568"/>
      <c r="N9" s="568"/>
      <c r="O9" s="569"/>
    </row>
    <row r="10" spans="2:31" ht="6.75" customHeight="1" x14ac:dyDescent="0.25">
      <c r="B10" s="5"/>
      <c r="F10" s="5"/>
      <c r="H10" s="49"/>
      <c r="I10" s="49"/>
      <c r="J10" s="49"/>
      <c r="K10" s="49"/>
      <c r="L10" s="49"/>
      <c r="M10" s="49"/>
      <c r="N10" s="49"/>
      <c r="O10" s="49"/>
    </row>
    <row r="11" spans="2:31" ht="24" customHeight="1" x14ac:dyDescent="0.25">
      <c r="B11" s="5"/>
      <c r="D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2:31" ht="6.75" customHeight="1" x14ac:dyDescent="0.25">
      <c r="B12" s="5"/>
      <c r="F12" s="5"/>
      <c r="H12" s="49"/>
      <c r="I12" s="49"/>
      <c r="J12" s="49"/>
      <c r="K12" s="49"/>
      <c r="L12" s="49"/>
      <c r="M12" s="49"/>
      <c r="N12" s="49"/>
      <c r="O12" s="5"/>
    </row>
    <row r="13" spans="2:31" ht="48" customHeight="1" x14ac:dyDescent="0.25">
      <c r="B13" s="874" t="s">
        <v>707</v>
      </c>
      <c r="D13" s="402" t="s">
        <v>676</v>
      </c>
      <c r="F13" s="403" t="s">
        <v>677</v>
      </c>
      <c r="H13" s="875" t="s">
        <v>678</v>
      </c>
      <c r="I13" s="610"/>
      <c r="J13" s="610"/>
      <c r="K13" s="610"/>
      <c r="L13" s="5"/>
      <c r="M13" s="5"/>
      <c r="N13" s="5"/>
      <c r="O13" s="5"/>
    </row>
    <row r="14" spans="2:31" ht="6" customHeight="1" x14ac:dyDescent="0.25">
      <c r="B14" s="714"/>
      <c r="D14" s="404"/>
      <c r="F14" s="405"/>
      <c r="H14" s="5"/>
      <c r="I14" s="5"/>
      <c r="J14" s="5"/>
      <c r="K14" s="5"/>
      <c r="L14" s="5"/>
      <c r="M14" s="5"/>
      <c r="N14" s="5"/>
      <c r="O14" s="5"/>
    </row>
    <row r="15" spans="2:31" ht="48" customHeight="1" x14ac:dyDescent="0.25">
      <c r="B15" s="714"/>
      <c r="D15" s="406" t="s">
        <v>679</v>
      </c>
      <c r="F15" s="403" t="s">
        <v>677</v>
      </c>
      <c r="H15" s="876" t="s">
        <v>708</v>
      </c>
      <c r="I15" s="582"/>
      <c r="J15" s="582"/>
      <c r="K15" s="589"/>
      <c r="L15" s="5"/>
      <c r="M15" s="5"/>
      <c r="N15" s="5"/>
      <c r="O15" s="5"/>
    </row>
    <row r="16" spans="2:31" ht="6" customHeight="1" x14ac:dyDescent="0.25">
      <c r="B16" s="714"/>
      <c r="D16" s="404"/>
      <c r="F16" s="405"/>
      <c r="H16" s="5"/>
      <c r="I16" s="5"/>
      <c r="J16" s="5"/>
      <c r="K16" s="5"/>
      <c r="L16" s="5"/>
      <c r="M16" s="5"/>
      <c r="N16" s="5"/>
      <c r="O16" s="5"/>
    </row>
    <row r="17" spans="2:15" ht="41.25" customHeight="1" x14ac:dyDescent="0.25">
      <c r="B17" s="714"/>
      <c r="D17" s="867" t="s">
        <v>681</v>
      </c>
      <c r="F17" s="403" t="s">
        <v>682</v>
      </c>
      <c r="H17" s="883" t="s">
        <v>709</v>
      </c>
      <c r="I17" s="582"/>
      <c r="J17" s="572"/>
      <c r="K17" s="5"/>
      <c r="L17" s="5"/>
      <c r="M17" s="5"/>
      <c r="N17" s="5"/>
      <c r="O17" s="5"/>
    </row>
    <row r="18" spans="2:15" ht="6" customHeight="1" x14ac:dyDescent="0.25">
      <c r="B18" s="714"/>
      <c r="D18" s="714"/>
      <c r="F18" s="403"/>
      <c r="H18" s="5"/>
      <c r="I18" s="5"/>
      <c r="J18" s="5"/>
      <c r="K18" s="5"/>
      <c r="L18" s="5"/>
      <c r="M18" s="5"/>
      <c r="N18" s="5"/>
      <c r="O18" s="5"/>
    </row>
    <row r="19" spans="2:15" ht="36" customHeight="1" x14ac:dyDescent="0.25">
      <c r="B19" s="714"/>
      <c r="D19" s="714"/>
      <c r="F19" s="403" t="s">
        <v>684</v>
      </c>
      <c r="H19" s="866" t="s">
        <v>710</v>
      </c>
      <c r="I19" s="582"/>
      <c r="J19" s="572"/>
      <c r="K19" s="5"/>
      <c r="L19" s="5"/>
      <c r="M19" s="5"/>
      <c r="N19" s="5"/>
      <c r="O19" s="5"/>
    </row>
    <row r="20" spans="2:15" ht="6" customHeight="1" x14ac:dyDescent="0.25">
      <c r="B20" s="714"/>
      <c r="D20" s="714"/>
      <c r="F20" s="403"/>
      <c r="H20" s="5"/>
      <c r="I20" s="5"/>
      <c r="J20" s="5"/>
      <c r="K20" s="5"/>
      <c r="L20" s="5"/>
      <c r="M20" s="5"/>
      <c r="N20" s="5"/>
      <c r="O20" s="5"/>
    </row>
    <row r="21" spans="2:15" ht="36" customHeight="1" x14ac:dyDescent="0.25">
      <c r="B21" s="714"/>
      <c r="D21" s="714"/>
      <c r="F21" s="403" t="s">
        <v>686</v>
      </c>
      <c r="H21" s="877" t="s">
        <v>711</v>
      </c>
      <c r="I21" s="572"/>
      <c r="J21" s="5"/>
      <c r="K21" s="5"/>
      <c r="L21" s="5"/>
      <c r="M21" s="5"/>
      <c r="N21" s="5"/>
      <c r="O21" s="5"/>
    </row>
    <row r="22" spans="2:15" ht="6" customHeight="1" x14ac:dyDescent="0.25">
      <c r="B22" s="714"/>
      <c r="D22" s="714"/>
      <c r="F22" s="403"/>
      <c r="H22" s="5"/>
      <c r="I22" s="5"/>
      <c r="J22" s="5"/>
      <c r="K22" s="5"/>
      <c r="L22" s="5"/>
      <c r="M22" s="5"/>
      <c r="N22" s="5"/>
      <c r="O22" s="5"/>
    </row>
    <row r="23" spans="2:15" ht="37.5" customHeight="1" x14ac:dyDescent="0.25">
      <c r="B23" s="714"/>
      <c r="D23" s="678"/>
      <c r="F23" s="403" t="s">
        <v>688</v>
      </c>
      <c r="H23" s="407" t="s">
        <v>712</v>
      </c>
      <c r="I23" s="5"/>
      <c r="J23" s="5"/>
      <c r="K23" s="5"/>
      <c r="L23" s="5"/>
      <c r="M23" s="5"/>
      <c r="N23" s="5"/>
      <c r="O23" s="5"/>
    </row>
    <row r="24" spans="2:15" ht="6" customHeight="1" x14ac:dyDescent="0.25">
      <c r="B24" s="714"/>
      <c r="D24" s="404"/>
      <c r="H24" s="5"/>
      <c r="I24" s="5"/>
      <c r="J24" s="5"/>
      <c r="K24" s="5"/>
      <c r="L24" s="5"/>
      <c r="M24" s="5"/>
      <c r="N24" s="5"/>
      <c r="O24" s="5"/>
    </row>
    <row r="25" spans="2:15" ht="41.25" customHeight="1" x14ac:dyDescent="0.25">
      <c r="B25" s="714"/>
      <c r="D25" s="868" t="s">
        <v>690</v>
      </c>
      <c r="F25" s="403" t="s">
        <v>682</v>
      </c>
      <c r="H25" s="869" t="s">
        <v>691</v>
      </c>
      <c r="I25" s="572"/>
      <c r="J25" s="5"/>
      <c r="K25" s="5"/>
      <c r="L25" s="5"/>
      <c r="M25" s="5"/>
      <c r="N25" s="5"/>
      <c r="O25" s="5"/>
    </row>
    <row r="26" spans="2:15" ht="6" customHeight="1" x14ac:dyDescent="0.25">
      <c r="B26" s="714"/>
      <c r="D26" s="714"/>
      <c r="F26" s="403"/>
      <c r="H26" s="5"/>
      <c r="I26" s="5"/>
      <c r="J26" s="5"/>
      <c r="K26" s="5"/>
      <c r="L26" s="5"/>
      <c r="M26" s="5"/>
      <c r="N26" s="5"/>
      <c r="O26" s="5"/>
    </row>
    <row r="27" spans="2:15" ht="41.25" customHeight="1" x14ac:dyDescent="0.25">
      <c r="B27" s="714"/>
      <c r="D27" s="714"/>
      <c r="F27" s="403" t="s">
        <v>688</v>
      </c>
      <c r="H27" s="870" t="s">
        <v>713</v>
      </c>
      <c r="I27" s="582"/>
      <c r="J27" s="572"/>
      <c r="K27" s="5"/>
      <c r="L27" s="5"/>
      <c r="M27" s="5"/>
      <c r="N27" s="5"/>
      <c r="O27" s="5"/>
    </row>
    <row r="28" spans="2:15" ht="6" customHeight="1" x14ac:dyDescent="0.25">
      <c r="B28" s="714"/>
      <c r="D28" s="714"/>
      <c r="F28" s="403"/>
      <c r="H28" s="5"/>
      <c r="I28" s="5"/>
      <c r="J28" s="5"/>
      <c r="K28" s="5"/>
      <c r="L28" s="5"/>
      <c r="M28" s="5"/>
      <c r="N28" s="5"/>
      <c r="O28" s="5"/>
    </row>
    <row r="29" spans="2:15" ht="41.25" customHeight="1" x14ac:dyDescent="0.25">
      <c r="B29" s="714"/>
      <c r="D29" s="714"/>
      <c r="F29" s="403" t="s">
        <v>682</v>
      </c>
      <c r="H29" s="5"/>
      <c r="K29" s="878" t="s">
        <v>714</v>
      </c>
      <c r="L29" s="572"/>
      <c r="M29" s="5"/>
      <c r="N29" s="5"/>
      <c r="O29" s="5"/>
    </row>
    <row r="30" spans="2:15" ht="6" customHeight="1" x14ac:dyDescent="0.25">
      <c r="B30" s="714"/>
      <c r="D30" s="714"/>
      <c r="F30" s="403"/>
      <c r="H30" s="5"/>
      <c r="I30" s="5"/>
      <c r="J30" s="5"/>
      <c r="K30" s="5"/>
      <c r="L30" s="5"/>
      <c r="M30" s="5"/>
      <c r="N30" s="5"/>
      <c r="O30" s="5"/>
    </row>
    <row r="31" spans="2:15" ht="41.25" customHeight="1" x14ac:dyDescent="0.25">
      <c r="B31" s="714"/>
      <c r="D31" s="714"/>
      <c r="F31" s="403" t="s">
        <v>694</v>
      </c>
      <c r="H31" s="5"/>
      <c r="I31" s="5"/>
      <c r="J31" s="879" t="s">
        <v>715</v>
      </c>
      <c r="K31" s="572"/>
      <c r="L31" s="880" t="s">
        <v>696</v>
      </c>
      <c r="M31" s="582"/>
      <c r="N31" s="572"/>
      <c r="O31" s="5"/>
    </row>
    <row r="32" spans="2:15" ht="6" customHeight="1" x14ac:dyDescent="0.25">
      <c r="B32" s="714"/>
      <c r="D32" s="714"/>
      <c r="F32" s="403"/>
      <c r="H32" s="5"/>
      <c r="I32" s="5"/>
      <c r="J32" s="5"/>
      <c r="K32" s="5"/>
      <c r="L32" s="5"/>
      <c r="M32" s="5" t="s">
        <v>697</v>
      </c>
      <c r="N32" s="5"/>
      <c r="O32" s="5"/>
    </row>
    <row r="33" spans="1:36" ht="41.25" customHeight="1" x14ac:dyDescent="0.25">
      <c r="B33" s="714"/>
      <c r="D33" s="678"/>
      <c r="F33" s="403" t="s">
        <v>694</v>
      </c>
      <c r="H33" s="5"/>
      <c r="J33" s="408" t="s">
        <v>698</v>
      </c>
      <c r="K33" s="5"/>
      <c r="L33" s="880" t="s">
        <v>699</v>
      </c>
      <c r="M33" s="572"/>
      <c r="N33" s="5"/>
      <c r="O33" s="5"/>
    </row>
    <row r="34" spans="1:36" ht="6" customHeight="1" x14ac:dyDescent="0.25">
      <c r="B34" s="714"/>
      <c r="D34" s="404"/>
      <c r="F34" s="403"/>
      <c r="H34" s="5"/>
      <c r="I34" s="5"/>
      <c r="J34" s="5"/>
      <c r="K34" s="5"/>
      <c r="L34" s="5"/>
      <c r="M34" s="5"/>
      <c r="N34" s="5"/>
      <c r="O34" s="5"/>
    </row>
    <row r="35" spans="1:36" ht="38.25" customHeight="1" x14ac:dyDescent="0.25">
      <c r="B35" s="714"/>
      <c r="D35" s="881" t="s">
        <v>700</v>
      </c>
      <c r="F35" s="403" t="s">
        <v>701</v>
      </c>
      <c r="H35" s="882" t="s">
        <v>702</v>
      </c>
      <c r="I35" s="582"/>
      <c r="J35" s="572"/>
      <c r="K35" s="5"/>
      <c r="L35" s="5"/>
      <c r="M35" s="5"/>
      <c r="N35" s="5"/>
      <c r="O35" s="5"/>
    </row>
    <row r="36" spans="1:36" ht="6" customHeight="1" x14ac:dyDescent="0.25">
      <c r="B36" s="714"/>
      <c r="D36" s="714"/>
      <c r="F36" s="409"/>
      <c r="H36" s="5"/>
      <c r="I36" s="5"/>
      <c r="J36" s="5"/>
      <c r="K36" s="5"/>
      <c r="L36" s="5"/>
      <c r="M36" s="5"/>
      <c r="N36" s="5"/>
      <c r="O36" s="5"/>
    </row>
    <row r="37" spans="1:36" ht="38.25" customHeight="1" x14ac:dyDescent="0.25">
      <c r="B37" s="714"/>
      <c r="D37" s="714"/>
      <c r="F37" s="403" t="s">
        <v>701</v>
      </c>
      <c r="H37" s="882" t="s">
        <v>703</v>
      </c>
      <c r="I37" s="582"/>
      <c r="J37" s="572"/>
      <c r="K37" s="5"/>
      <c r="L37" s="5"/>
      <c r="M37" s="5"/>
      <c r="N37" s="5"/>
      <c r="O37" s="5"/>
    </row>
    <row r="38" spans="1:36" ht="6" customHeight="1" x14ac:dyDescent="0.25">
      <c r="B38" s="714"/>
      <c r="D38" s="714"/>
      <c r="F38" s="409"/>
      <c r="H38" s="5"/>
      <c r="I38" s="5"/>
      <c r="J38" s="5"/>
      <c r="K38" s="5"/>
      <c r="L38" s="5"/>
      <c r="M38" s="5"/>
      <c r="N38" s="5"/>
      <c r="O38" s="5"/>
    </row>
    <row r="39" spans="1:36" ht="38.25" customHeight="1" x14ac:dyDescent="0.25">
      <c r="B39" s="714"/>
      <c r="D39" s="678"/>
      <c r="F39" s="403" t="s">
        <v>701</v>
      </c>
      <c r="H39" s="882" t="s">
        <v>704</v>
      </c>
      <c r="I39" s="582"/>
      <c r="J39" s="572"/>
      <c r="K39" s="5"/>
      <c r="L39" s="5"/>
      <c r="M39" s="5"/>
      <c r="N39" s="5"/>
      <c r="O39" s="5"/>
    </row>
    <row r="40" spans="1:36" ht="6" customHeight="1" x14ac:dyDescent="0.25">
      <c r="B40" s="714"/>
      <c r="D40" s="404"/>
      <c r="F40" s="405"/>
      <c r="H40" s="5"/>
      <c r="I40" s="5"/>
      <c r="J40" s="5"/>
      <c r="K40" s="5"/>
      <c r="L40" s="5"/>
      <c r="M40" s="5"/>
      <c r="N40" s="5"/>
      <c r="O40" s="5"/>
    </row>
    <row r="41" spans="1:36" ht="51" customHeight="1" x14ac:dyDescent="0.25">
      <c r="B41" s="714"/>
      <c r="D41" s="410" t="s">
        <v>705</v>
      </c>
      <c r="F41" s="403"/>
      <c r="H41" s="5"/>
      <c r="I41" s="5"/>
      <c r="J41" s="5"/>
      <c r="K41" s="5"/>
      <c r="L41" s="5"/>
      <c r="M41" s="5"/>
      <c r="N41" s="5"/>
      <c r="O41" s="5"/>
    </row>
    <row r="42" spans="1:36" ht="15" customHeight="1" x14ac:dyDescent="0.25">
      <c r="B42" s="714"/>
      <c r="H42" s="49"/>
      <c r="I42" s="49"/>
      <c r="J42" s="49"/>
      <c r="K42" s="49"/>
      <c r="L42" s="49"/>
      <c r="M42" s="49"/>
      <c r="N42" s="49"/>
      <c r="O42" s="5"/>
    </row>
    <row r="43" spans="1:36" ht="51" customHeight="1" x14ac:dyDescent="0.25">
      <c r="B43" s="678"/>
      <c r="D43" s="411" t="s">
        <v>706</v>
      </c>
      <c r="F43" s="403"/>
      <c r="H43" s="5"/>
      <c r="I43" s="5"/>
      <c r="J43" s="5"/>
      <c r="K43" s="5"/>
      <c r="L43" s="5"/>
      <c r="M43" s="5"/>
      <c r="N43" s="5"/>
      <c r="O43" s="5"/>
    </row>
    <row r="44" spans="1:36" ht="5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36" ht="14.25" customHeight="1" x14ac:dyDescent="0.25">
      <c r="H45" s="49"/>
      <c r="I45" s="49"/>
      <c r="J45" s="49"/>
      <c r="K45" s="49"/>
      <c r="L45" s="49"/>
      <c r="M45" s="49"/>
      <c r="N45" s="49"/>
      <c r="O45" s="5"/>
    </row>
    <row r="46" spans="1:36" ht="21" customHeight="1" x14ac:dyDescent="0.25">
      <c r="B46" s="887" t="s">
        <v>716</v>
      </c>
      <c r="D46" s="888" t="s">
        <v>717</v>
      </c>
      <c r="F46" s="889"/>
      <c r="J46" s="884" t="s">
        <v>718</v>
      </c>
      <c r="K46" s="569"/>
      <c r="L46" s="885" t="s">
        <v>719</v>
      </c>
      <c r="M46" s="569"/>
      <c r="N46" s="885" t="s">
        <v>720</v>
      </c>
      <c r="O46" s="569"/>
      <c r="P46" s="5"/>
      <c r="Q46" s="5"/>
      <c r="R46" s="5"/>
      <c r="S46" s="5"/>
      <c r="T46" s="5"/>
      <c r="U46" s="5"/>
      <c r="V46" s="5"/>
      <c r="W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ht="6" customHeight="1" x14ac:dyDescent="0.25">
      <c r="B47" s="624"/>
      <c r="D47" s="624"/>
      <c r="F47" s="624"/>
      <c r="J47" s="49"/>
      <c r="L47" s="49"/>
      <c r="M47" s="49"/>
      <c r="N47" s="5"/>
      <c r="O47" s="5"/>
      <c r="P47" s="5"/>
      <c r="Q47" s="5"/>
      <c r="R47" s="5"/>
      <c r="S47" s="5"/>
      <c r="T47" s="5"/>
      <c r="U47" s="5"/>
      <c r="V47" s="5"/>
      <c r="W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ht="88.5" customHeight="1" x14ac:dyDescent="0.25">
      <c r="B48" s="624"/>
      <c r="D48" s="624"/>
      <c r="F48" s="624"/>
      <c r="J48" s="886" t="s">
        <v>721</v>
      </c>
      <c r="K48" s="569"/>
      <c r="L48" s="886" t="s">
        <v>722</v>
      </c>
      <c r="M48" s="569"/>
      <c r="N48" s="5"/>
      <c r="O48" s="5"/>
      <c r="P48" s="5"/>
      <c r="Q48" s="5"/>
      <c r="R48" s="5"/>
      <c r="S48" s="5"/>
      <c r="T48" s="5"/>
      <c r="U48" s="5"/>
      <c r="V48" s="5"/>
      <c r="W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43" ht="6" customHeight="1" x14ac:dyDescent="0.25">
      <c r="B49" s="624"/>
      <c r="D49" s="624"/>
      <c r="F49" s="624"/>
      <c r="J49" s="49"/>
      <c r="L49" s="4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43" ht="12.75" customHeight="1" x14ac:dyDescent="0.25">
      <c r="B50" s="624"/>
      <c r="D50" s="624"/>
      <c r="F50" s="624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43" ht="43.5" customHeight="1" x14ac:dyDescent="0.25">
      <c r="B51" s="593"/>
      <c r="D51" s="593"/>
      <c r="F51" s="593"/>
      <c r="J51" s="891" t="s">
        <v>723</v>
      </c>
      <c r="K51" s="569"/>
      <c r="L51" s="892" t="s">
        <v>724</v>
      </c>
      <c r="M51" s="569"/>
      <c r="N51" s="5"/>
      <c r="O51" s="5"/>
      <c r="P51" s="5"/>
      <c r="Q51" s="5"/>
      <c r="R51" s="5"/>
      <c r="S51" s="5"/>
      <c r="T51" s="5"/>
      <c r="U51" s="5"/>
      <c r="V51" s="5"/>
      <c r="W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43" ht="6" customHeight="1" x14ac:dyDescent="0.25">
      <c r="J52" s="49"/>
      <c r="L52" s="4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43" ht="30" customHeight="1" x14ac:dyDescent="0.25">
      <c r="B53" s="890" t="s">
        <v>725</v>
      </c>
      <c r="F53" s="5"/>
      <c r="J53" s="49"/>
      <c r="M53" s="5"/>
      <c r="N53" s="893" t="s">
        <v>726</v>
      </c>
      <c r="O53" s="569"/>
      <c r="P53" s="5"/>
      <c r="Q53" s="5"/>
      <c r="R53" s="5"/>
      <c r="S53" s="5"/>
      <c r="T53" s="5"/>
      <c r="U53" s="5"/>
      <c r="V53" s="5"/>
      <c r="W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3" ht="6" customHeight="1" x14ac:dyDescent="0.25">
      <c r="B54" s="714"/>
      <c r="J54" s="49"/>
      <c r="L54" s="41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3" ht="51" customHeight="1" x14ac:dyDescent="0.25">
      <c r="B55" s="714"/>
      <c r="J55" s="49"/>
      <c r="M55" s="5"/>
      <c r="N55" s="892" t="s">
        <v>727</v>
      </c>
      <c r="O55" s="569"/>
      <c r="P55" s="5"/>
      <c r="Q55" s="5"/>
      <c r="R55" s="5"/>
      <c r="S55" s="5"/>
      <c r="T55" s="5"/>
      <c r="U55" s="5"/>
      <c r="V55" s="5"/>
      <c r="W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3" ht="6" customHeight="1" x14ac:dyDescent="0.25">
      <c r="B56" s="714"/>
      <c r="F56" s="5"/>
      <c r="H56" s="49"/>
      <c r="I56" s="49"/>
      <c r="J56" s="4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3" ht="30" customHeight="1" x14ac:dyDescent="0.25">
      <c r="B57" s="714"/>
      <c r="F57" s="5"/>
      <c r="H57" s="49"/>
      <c r="I57" s="49"/>
      <c r="J57" s="49"/>
      <c r="Q57" s="413" t="s">
        <v>728</v>
      </c>
      <c r="R57" s="414"/>
      <c r="S57" s="414"/>
      <c r="T57" s="414"/>
      <c r="U57" s="414"/>
      <c r="V57" s="414"/>
      <c r="W57" s="415"/>
      <c r="X57" s="413" t="s">
        <v>729</v>
      </c>
      <c r="Y57" s="414"/>
      <c r="Z57" s="414"/>
      <c r="AA57" s="414"/>
      <c r="AB57" s="414"/>
      <c r="AC57" s="414"/>
      <c r="AD57" s="414"/>
      <c r="AE57" s="415"/>
      <c r="AF57" s="413" t="s">
        <v>730</v>
      </c>
      <c r="AG57" s="414"/>
      <c r="AH57" s="414"/>
      <c r="AI57" s="414"/>
      <c r="AJ57" s="414"/>
      <c r="AK57" s="414"/>
      <c r="AL57" s="415"/>
    </row>
    <row r="58" spans="1:43" ht="30" customHeight="1" x14ac:dyDescent="0.25">
      <c r="B58" s="714"/>
      <c r="F58" s="5"/>
      <c r="H58" s="49"/>
      <c r="I58" s="49"/>
      <c r="J58" s="49"/>
      <c r="Q58" s="416" t="s">
        <v>731</v>
      </c>
      <c r="R58" s="326"/>
      <c r="S58" s="326"/>
      <c r="T58" s="326"/>
      <c r="U58" s="326"/>
      <c r="V58" s="326"/>
      <c r="W58" s="417"/>
      <c r="X58" s="416" t="s">
        <v>732</v>
      </c>
      <c r="Y58" s="326"/>
      <c r="Z58" s="326"/>
      <c r="AA58" s="326"/>
      <c r="AB58" s="326"/>
      <c r="AC58" s="326"/>
      <c r="AD58" s="326"/>
      <c r="AE58" s="417"/>
      <c r="AF58" s="416" t="s">
        <v>733</v>
      </c>
      <c r="AG58" s="326"/>
      <c r="AH58" s="326"/>
      <c r="AI58" s="326"/>
      <c r="AJ58" s="326"/>
      <c r="AK58" s="326"/>
      <c r="AL58" s="417"/>
    </row>
    <row r="59" spans="1:43" ht="30" customHeight="1" x14ac:dyDescent="0.25">
      <c r="B59" s="714"/>
      <c r="F59" s="5"/>
      <c r="H59" s="49"/>
      <c r="I59" s="49"/>
      <c r="J59" s="4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1:43" ht="30.75" customHeight="1" x14ac:dyDescent="0.25">
      <c r="B60" s="714"/>
      <c r="F60" s="5"/>
      <c r="H60" s="49"/>
      <c r="I60" s="49"/>
      <c r="J60" s="49"/>
      <c r="Q60" s="418" t="s">
        <v>734</v>
      </c>
      <c r="R60" s="419"/>
      <c r="S60" s="419"/>
      <c r="T60" s="419"/>
      <c r="U60" s="419"/>
      <c r="V60" s="419"/>
      <c r="W60" s="420"/>
      <c r="X60" s="19"/>
      <c r="Y60" s="19"/>
      <c r="Z60" s="19"/>
      <c r="AA60" s="19"/>
      <c r="AB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1:43" ht="30" customHeight="1" x14ac:dyDescent="0.25">
      <c r="B61" s="714"/>
      <c r="F61" s="5"/>
      <c r="H61" s="49"/>
      <c r="I61" s="49"/>
      <c r="J61" s="49"/>
      <c r="Q61" s="416" t="s">
        <v>735</v>
      </c>
      <c r="R61" s="326"/>
      <c r="S61" s="326"/>
      <c r="T61" s="326"/>
      <c r="U61" s="326"/>
      <c r="V61" s="326"/>
      <c r="W61" s="417"/>
      <c r="X61" s="19"/>
      <c r="Y61" s="19"/>
      <c r="Z61" s="19"/>
      <c r="AA61" s="19"/>
      <c r="AB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1:43" ht="30" customHeight="1" x14ac:dyDescent="0.25">
      <c r="B62" s="714"/>
      <c r="F62" s="5"/>
      <c r="H62" s="49"/>
      <c r="I62" s="49"/>
      <c r="J62" s="4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1:43" ht="15.75" customHeight="1" x14ac:dyDescent="0.25">
      <c r="A63" s="5"/>
      <c r="B63" s="714"/>
      <c r="C63" s="5"/>
      <c r="D63" s="5"/>
      <c r="E63" s="5"/>
      <c r="F63" s="5"/>
      <c r="G63" s="5"/>
      <c r="H63" s="49"/>
      <c r="I63" s="49"/>
      <c r="J63" s="49"/>
      <c r="K63" s="5"/>
      <c r="Q63" s="19"/>
      <c r="R63" s="19"/>
      <c r="S63" s="19"/>
      <c r="T63" s="19"/>
      <c r="U63" s="19"/>
      <c r="V63" s="19"/>
      <c r="W63" s="19"/>
      <c r="X63" s="421" t="s">
        <v>736</v>
      </c>
      <c r="Y63" s="422"/>
      <c r="Z63" s="422"/>
      <c r="AA63" s="422"/>
      <c r="AB63" s="422"/>
      <c r="AC63" s="422"/>
      <c r="AD63" s="422"/>
      <c r="AE63" s="422"/>
      <c r="AF63" s="422"/>
      <c r="AG63" s="423"/>
      <c r="AH63" s="19"/>
      <c r="AI63" s="19"/>
      <c r="AJ63" s="19"/>
      <c r="AK63" s="19"/>
      <c r="AL63" s="19"/>
      <c r="AM63" s="5"/>
      <c r="AN63" s="5"/>
      <c r="AO63" s="5"/>
      <c r="AP63" s="5"/>
      <c r="AQ63" s="5"/>
    </row>
    <row r="64" spans="1:43" ht="30" customHeight="1" x14ac:dyDescent="0.25">
      <c r="B64" s="678"/>
      <c r="F64" s="5"/>
      <c r="H64" s="49"/>
      <c r="I64" s="49"/>
      <c r="J64" s="49"/>
      <c r="Q64" s="19"/>
      <c r="R64" s="19"/>
      <c r="S64" s="19"/>
      <c r="T64" s="19"/>
      <c r="U64" s="19"/>
      <c r="V64" s="19"/>
      <c r="W64" s="19"/>
      <c r="X64" s="424" t="s">
        <v>737</v>
      </c>
      <c r="Y64" s="10"/>
      <c r="Z64" s="10"/>
      <c r="AA64" s="10"/>
      <c r="AB64" s="425"/>
      <c r="AD64" s="424" t="s">
        <v>738</v>
      </c>
      <c r="AE64" s="425"/>
      <c r="AF64" s="424" t="s">
        <v>739</v>
      </c>
      <c r="AG64" s="425"/>
      <c r="AH64" s="19"/>
      <c r="AI64" s="19"/>
      <c r="AJ64" s="19"/>
      <c r="AK64" s="19"/>
      <c r="AL64" s="19"/>
    </row>
    <row r="65" spans="2:36" ht="6" customHeight="1" x14ac:dyDescent="0.25">
      <c r="H65" s="49"/>
      <c r="I65" s="49"/>
      <c r="J65" s="49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2:36" ht="64.5" customHeight="1" x14ac:dyDescent="0.25">
      <c r="B66" s="773" t="s">
        <v>654</v>
      </c>
      <c r="D66" s="426" t="s">
        <v>717</v>
      </c>
      <c r="F66" s="427" t="s">
        <v>740</v>
      </c>
      <c r="H66" s="894" t="s">
        <v>741</v>
      </c>
      <c r="I66" s="572"/>
      <c r="J66" s="428" t="s">
        <v>742</v>
      </c>
      <c r="L66" s="429" t="s">
        <v>743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2:36" ht="6" customHeight="1" x14ac:dyDescent="0.25">
      <c r="B67" s="714"/>
      <c r="H67" s="49"/>
      <c r="I67" s="49"/>
      <c r="J67" s="49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2:36" ht="64.5" customHeight="1" x14ac:dyDescent="0.25">
      <c r="B68" s="678"/>
      <c r="D68" s="426" t="s">
        <v>717</v>
      </c>
      <c r="F68" s="427" t="s">
        <v>744</v>
      </c>
      <c r="H68" s="894" t="s">
        <v>745</v>
      </c>
      <c r="I68" s="572"/>
      <c r="J68" s="428" t="s">
        <v>746</v>
      </c>
      <c r="L68" s="429" t="s">
        <v>747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2:36" ht="6" customHeight="1" x14ac:dyDescent="0.25">
      <c r="H69" s="49"/>
      <c r="I69" s="49"/>
      <c r="J69" s="4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2:36" ht="19.5" customHeight="1" x14ac:dyDescent="0.25">
      <c r="B70" s="22" t="s">
        <v>748</v>
      </c>
      <c r="D70" s="5"/>
      <c r="E70" s="5"/>
      <c r="F70" s="5"/>
      <c r="H70" s="13"/>
      <c r="I70" s="13"/>
      <c r="J70" s="49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2:36" ht="14.25" customHeight="1" x14ac:dyDescent="0.25">
      <c r="H71" s="49"/>
      <c r="I71" s="49"/>
      <c r="J71" s="49"/>
      <c r="K71" s="49"/>
      <c r="L71" s="49"/>
      <c r="M71" s="49"/>
      <c r="N71" s="49"/>
      <c r="O71" s="49"/>
    </row>
    <row r="72" spans="2:36" ht="14.25" customHeight="1" x14ac:dyDescent="0.25">
      <c r="H72" s="49"/>
      <c r="I72" s="49"/>
      <c r="J72" s="49"/>
      <c r="K72" s="49"/>
      <c r="L72" s="49"/>
      <c r="M72" s="49"/>
      <c r="N72" s="49"/>
      <c r="O72" s="49"/>
    </row>
    <row r="73" spans="2:36" ht="14.25" customHeight="1" x14ac:dyDescent="0.25">
      <c r="H73" s="49"/>
      <c r="I73" s="49"/>
      <c r="J73" s="49"/>
      <c r="K73" s="49"/>
      <c r="L73" s="49"/>
      <c r="M73" s="49"/>
      <c r="N73" s="49"/>
      <c r="O73" s="49"/>
    </row>
    <row r="74" spans="2:36" ht="14.25" customHeight="1" x14ac:dyDescent="0.25">
      <c r="H74" s="49"/>
      <c r="I74" s="49"/>
      <c r="J74" s="49"/>
      <c r="K74" s="49"/>
      <c r="L74" s="49"/>
      <c r="M74" s="49"/>
      <c r="N74" s="49"/>
      <c r="O74" s="49"/>
    </row>
    <row r="75" spans="2:36" ht="14.25" customHeight="1" x14ac:dyDescent="0.25">
      <c r="H75" s="49"/>
      <c r="I75" s="49"/>
      <c r="J75" s="49"/>
      <c r="K75" s="49"/>
      <c r="L75" s="49"/>
      <c r="M75" s="49"/>
      <c r="N75" s="49"/>
      <c r="O75" s="49"/>
    </row>
    <row r="76" spans="2:36" ht="14.25" customHeight="1" x14ac:dyDescent="0.25">
      <c r="H76" s="49"/>
      <c r="I76" s="49"/>
      <c r="J76" s="49"/>
      <c r="K76" s="49"/>
      <c r="L76" s="49"/>
      <c r="M76" s="49"/>
      <c r="N76" s="49"/>
      <c r="O76" s="49"/>
    </row>
    <row r="77" spans="2:36" ht="14.25" customHeight="1" x14ac:dyDescent="0.25">
      <c r="H77" s="49"/>
      <c r="I77" s="49"/>
      <c r="J77" s="49"/>
      <c r="K77" s="49"/>
      <c r="L77" s="49"/>
      <c r="M77" s="49"/>
      <c r="N77" s="49"/>
      <c r="O77" s="49"/>
    </row>
    <row r="78" spans="2:36" ht="14.25" customHeight="1" x14ac:dyDescent="0.25">
      <c r="H78" s="49"/>
      <c r="I78" s="49"/>
      <c r="J78" s="49"/>
      <c r="K78" s="49"/>
      <c r="L78" s="49"/>
      <c r="M78" s="49"/>
      <c r="N78" s="49"/>
      <c r="O78" s="49"/>
    </row>
    <row r="79" spans="2:36" ht="14.25" customHeight="1" x14ac:dyDescent="0.25">
      <c r="H79" s="49"/>
      <c r="I79" s="49"/>
      <c r="J79" s="49"/>
      <c r="K79" s="49"/>
      <c r="L79" s="49"/>
      <c r="M79" s="49"/>
      <c r="N79" s="49"/>
      <c r="O79" s="49"/>
    </row>
    <row r="80" spans="2:36" ht="14.25" customHeight="1" x14ac:dyDescent="0.25">
      <c r="H80" s="49"/>
      <c r="I80" s="49"/>
      <c r="J80" s="49"/>
      <c r="K80" s="49"/>
      <c r="L80" s="49"/>
      <c r="M80" s="49"/>
      <c r="N80" s="49"/>
      <c r="O80" s="49"/>
    </row>
    <row r="81" spans="8:15" ht="14.25" customHeight="1" x14ac:dyDescent="0.25">
      <c r="H81" s="49"/>
      <c r="I81" s="49"/>
      <c r="J81" s="49"/>
      <c r="K81" s="49"/>
      <c r="L81" s="49"/>
      <c r="M81" s="49"/>
      <c r="N81" s="49"/>
      <c r="O81" s="49"/>
    </row>
    <row r="82" spans="8:15" ht="14.25" customHeight="1" x14ac:dyDescent="0.25">
      <c r="H82" s="49"/>
      <c r="I82" s="49"/>
      <c r="J82" s="49"/>
      <c r="K82" s="49"/>
      <c r="L82" s="49"/>
      <c r="M82" s="49"/>
      <c r="N82" s="49"/>
      <c r="O82" s="49"/>
    </row>
    <row r="83" spans="8:15" ht="14.25" customHeight="1" x14ac:dyDescent="0.25">
      <c r="H83" s="49"/>
      <c r="I83" s="49"/>
      <c r="J83" s="49"/>
      <c r="K83" s="49"/>
      <c r="L83" s="49"/>
      <c r="M83" s="49"/>
      <c r="N83" s="49"/>
      <c r="O83" s="49"/>
    </row>
    <row r="84" spans="8:15" ht="14.25" customHeight="1" x14ac:dyDescent="0.25">
      <c r="H84" s="49"/>
      <c r="I84" s="49"/>
      <c r="J84" s="49"/>
      <c r="K84" s="49"/>
      <c r="L84" s="49"/>
      <c r="M84" s="49"/>
      <c r="N84" s="49"/>
      <c r="O84" s="49"/>
    </row>
    <row r="85" spans="8:15" ht="14.25" customHeight="1" x14ac:dyDescent="0.25">
      <c r="H85" s="49"/>
      <c r="I85" s="49"/>
      <c r="J85" s="49"/>
      <c r="K85" s="49"/>
      <c r="L85" s="49"/>
      <c r="M85" s="49"/>
      <c r="N85" s="49"/>
      <c r="O85" s="49"/>
    </row>
    <row r="86" spans="8:15" ht="14.25" customHeight="1" x14ac:dyDescent="0.25">
      <c r="H86" s="49"/>
      <c r="I86" s="49"/>
      <c r="J86" s="49"/>
      <c r="K86" s="49"/>
      <c r="L86" s="49"/>
      <c r="M86" s="49"/>
      <c r="N86" s="49"/>
      <c r="O86" s="49"/>
    </row>
    <row r="87" spans="8:15" ht="14.25" customHeight="1" x14ac:dyDescent="0.25">
      <c r="H87" s="49"/>
      <c r="I87" s="49"/>
      <c r="J87" s="49"/>
      <c r="K87" s="49"/>
      <c r="L87" s="49"/>
      <c r="M87" s="49"/>
      <c r="N87" s="49"/>
      <c r="O87" s="49"/>
    </row>
    <row r="88" spans="8:15" ht="14.25" customHeight="1" x14ac:dyDescent="0.25">
      <c r="H88" s="49"/>
      <c r="I88" s="49"/>
      <c r="J88" s="49"/>
      <c r="K88" s="49"/>
      <c r="L88" s="49"/>
      <c r="M88" s="49"/>
      <c r="N88" s="49"/>
      <c r="O88" s="49"/>
    </row>
    <row r="89" spans="8:15" ht="14.25" customHeight="1" x14ac:dyDescent="0.25">
      <c r="H89" s="49"/>
      <c r="I89" s="49"/>
      <c r="J89" s="49"/>
      <c r="K89" s="49"/>
      <c r="L89" s="49"/>
      <c r="M89" s="49"/>
      <c r="N89" s="49"/>
      <c r="O89" s="49"/>
    </row>
    <row r="90" spans="8:15" ht="14.25" customHeight="1" x14ac:dyDescent="0.25">
      <c r="H90" s="49"/>
      <c r="I90" s="49"/>
      <c r="J90" s="49"/>
      <c r="K90" s="49"/>
      <c r="L90" s="49"/>
      <c r="M90" s="49"/>
      <c r="N90" s="49"/>
      <c r="O90" s="49"/>
    </row>
    <row r="91" spans="8:15" ht="14.25" customHeight="1" x14ac:dyDescent="0.25">
      <c r="H91" s="49"/>
      <c r="I91" s="49"/>
      <c r="J91" s="49"/>
      <c r="K91" s="49"/>
      <c r="L91" s="49"/>
      <c r="M91" s="49"/>
      <c r="N91" s="49"/>
      <c r="O91" s="49"/>
    </row>
    <row r="92" spans="8:15" ht="14.25" customHeight="1" x14ac:dyDescent="0.25">
      <c r="H92" s="49"/>
      <c r="I92" s="49"/>
      <c r="J92" s="49"/>
      <c r="K92" s="49"/>
      <c r="L92" s="49"/>
      <c r="M92" s="49"/>
      <c r="N92" s="49"/>
      <c r="O92" s="49"/>
    </row>
    <row r="93" spans="8:15" ht="14.25" customHeight="1" x14ac:dyDescent="0.25">
      <c r="H93" s="49"/>
      <c r="I93" s="49"/>
      <c r="J93" s="49"/>
      <c r="K93" s="49"/>
      <c r="L93" s="49"/>
      <c r="M93" s="49"/>
      <c r="N93" s="49"/>
      <c r="O93" s="49"/>
    </row>
    <row r="94" spans="8:15" ht="14.25" customHeight="1" x14ac:dyDescent="0.25">
      <c r="H94" s="49"/>
      <c r="I94" s="49"/>
      <c r="J94" s="49"/>
      <c r="K94" s="49"/>
      <c r="L94" s="49"/>
      <c r="M94" s="49"/>
      <c r="N94" s="49"/>
      <c r="O94" s="49"/>
    </row>
    <row r="95" spans="8:15" ht="14.25" customHeight="1" x14ac:dyDescent="0.25">
      <c r="H95" s="49"/>
      <c r="I95" s="49"/>
      <c r="J95" s="49"/>
      <c r="K95" s="49"/>
      <c r="L95" s="49"/>
      <c r="M95" s="49"/>
      <c r="N95" s="49"/>
      <c r="O95" s="49"/>
    </row>
    <row r="96" spans="8:15" ht="14.25" customHeight="1" x14ac:dyDescent="0.25">
      <c r="H96" s="49"/>
      <c r="I96" s="49"/>
      <c r="J96" s="49"/>
      <c r="K96" s="49"/>
      <c r="L96" s="49"/>
      <c r="M96" s="49"/>
      <c r="N96" s="49"/>
      <c r="O96" s="49"/>
    </row>
    <row r="97" spans="8:15" ht="14.25" customHeight="1" x14ac:dyDescent="0.25">
      <c r="H97" s="49"/>
      <c r="I97" s="49"/>
      <c r="J97" s="49"/>
      <c r="K97" s="49"/>
      <c r="L97" s="49"/>
      <c r="M97" s="49"/>
      <c r="N97" s="49"/>
      <c r="O97" s="49"/>
    </row>
    <row r="98" spans="8:15" ht="14.25" customHeight="1" x14ac:dyDescent="0.25">
      <c r="H98" s="49"/>
      <c r="I98" s="49"/>
      <c r="J98" s="49"/>
      <c r="K98" s="49"/>
      <c r="L98" s="49"/>
      <c r="M98" s="49"/>
      <c r="N98" s="49"/>
      <c r="O98" s="49"/>
    </row>
    <row r="99" spans="8:15" ht="14.25" customHeight="1" x14ac:dyDescent="0.25">
      <c r="H99" s="49"/>
      <c r="I99" s="49"/>
      <c r="J99" s="49"/>
      <c r="K99" s="49"/>
      <c r="L99" s="49"/>
      <c r="M99" s="49"/>
      <c r="N99" s="49"/>
      <c r="O99" s="49"/>
    </row>
    <row r="100" spans="8:15" ht="14.25" customHeight="1" x14ac:dyDescent="0.25">
      <c r="H100" s="49"/>
      <c r="I100" s="49"/>
      <c r="J100" s="49"/>
      <c r="K100" s="49"/>
      <c r="L100" s="49"/>
      <c r="M100" s="49"/>
      <c r="N100" s="49"/>
      <c r="O100" s="49"/>
    </row>
    <row r="101" spans="8:15" ht="14.25" customHeight="1" x14ac:dyDescent="0.25">
      <c r="H101" s="49"/>
      <c r="I101" s="49"/>
      <c r="J101" s="49"/>
      <c r="K101" s="49"/>
      <c r="L101" s="49"/>
      <c r="M101" s="49"/>
      <c r="N101" s="49"/>
      <c r="O101" s="49"/>
    </row>
    <row r="102" spans="8:15" ht="14.25" customHeight="1" x14ac:dyDescent="0.25">
      <c r="H102" s="49"/>
      <c r="I102" s="49"/>
      <c r="J102" s="49"/>
      <c r="K102" s="49"/>
      <c r="L102" s="49"/>
      <c r="M102" s="49"/>
      <c r="N102" s="49"/>
      <c r="O102" s="49"/>
    </row>
    <row r="103" spans="8:15" ht="14.25" customHeight="1" x14ac:dyDescent="0.25">
      <c r="H103" s="49"/>
      <c r="I103" s="49"/>
      <c r="J103" s="49"/>
      <c r="K103" s="49"/>
      <c r="L103" s="49"/>
      <c r="M103" s="49"/>
      <c r="N103" s="49"/>
      <c r="O103" s="49"/>
    </row>
    <row r="104" spans="8:15" ht="14.25" customHeight="1" x14ac:dyDescent="0.25">
      <c r="H104" s="49"/>
      <c r="I104" s="49"/>
      <c r="J104" s="49"/>
      <c r="K104" s="49"/>
      <c r="L104" s="49"/>
      <c r="M104" s="49"/>
      <c r="N104" s="49"/>
      <c r="O104" s="49"/>
    </row>
    <row r="105" spans="8:15" ht="14.25" customHeight="1" x14ac:dyDescent="0.25">
      <c r="H105" s="49"/>
      <c r="I105" s="49"/>
      <c r="J105" s="49"/>
      <c r="K105" s="49"/>
      <c r="L105" s="49"/>
      <c r="M105" s="49"/>
      <c r="N105" s="49"/>
      <c r="O105" s="49"/>
    </row>
    <row r="106" spans="8:15" ht="14.25" customHeight="1" x14ac:dyDescent="0.25">
      <c r="H106" s="49"/>
      <c r="I106" s="49"/>
      <c r="J106" s="49"/>
      <c r="K106" s="49"/>
      <c r="L106" s="49"/>
      <c r="M106" s="49"/>
      <c r="N106" s="49"/>
      <c r="O106" s="49"/>
    </row>
    <row r="107" spans="8:15" ht="14.25" customHeight="1" x14ac:dyDescent="0.25">
      <c r="H107" s="49"/>
      <c r="I107" s="49"/>
      <c r="J107" s="49"/>
      <c r="K107" s="49"/>
      <c r="L107" s="49"/>
      <c r="M107" s="49"/>
      <c r="N107" s="49"/>
      <c r="O107" s="49"/>
    </row>
    <row r="108" spans="8:15" ht="14.25" customHeight="1" x14ac:dyDescent="0.25">
      <c r="H108" s="49"/>
      <c r="I108" s="49"/>
      <c r="J108" s="49"/>
      <c r="K108" s="49"/>
      <c r="L108" s="49"/>
      <c r="M108" s="49"/>
      <c r="N108" s="49"/>
      <c r="O108" s="49"/>
    </row>
    <row r="109" spans="8:15" ht="14.25" customHeight="1" x14ac:dyDescent="0.25">
      <c r="H109" s="49"/>
      <c r="I109" s="49"/>
      <c r="J109" s="49"/>
      <c r="K109" s="49"/>
      <c r="L109" s="49"/>
      <c r="M109" s="49"/>
      <c r="N109" s="49"/>
      <c r="O109" s="49"/>
    </row>
    <row r="110" spans="8:15" ht="14.25" customHeight="1" x14ac:dyDescent="0.25">
      <c r="H110" s="49"/>
      <c r="I110" s="49"/>
      <c r="J110" s="49"/>
      <c r="K110" s="49"/>
      <c r="L110" s="49"/>
      <c r="M110" s="49"/>
      <c r="N110" s="49"/>
      <c r="O110" s="49"/>
    </row>
    <row r="111" spans="8:15" ht="14.25" customHeight="1" x14ac:dyDescent="0.25">
      <c r="H111" s="49"/>
      <c r="I111" s="49"/>
      <c r="J111" s="49"/>
      <c r="K111" s="49"/>
      <c r="L111" s="49"/>
      <c r="M111" s="49"/>
      <c r="N111" s="49"/>
      <c r="O111" s="49"/>
    </row>
    <row r="112" spans="8:15" ht="14.25" customHeight="1" x14ac:dyDescent="0.25">
      <c r="H112" s="49"/>
      <c r="I112" s="49"/>
      <c r="J112" s="49"/>
      <c r="K112" s="49"/>
      <c r="L112" s="49"/>
      <c r="M112" s="49"/>
      <c r="N112" s="49"/>
      <c r="O112" s="49"/>
    </row>
    <row r="113" spans="8:15" ht="14.25" customHeight="1" x14ac:dyDescent="0.25">
      <c r="H113" s="49"/>
      <c r="I113" s="49"/>
      <c r="J113" s="49"/>
      <c r="K113" s="49"/>
      <c r="L113" s="49"/>
      <c r="M113" s="49"/>
      <c r="N113" s="49"/>
      <c r="O113" s="49"/>
    </row>
    <row r="114" spans="8:15" ht="14.25" customHeight="1" x14ac:dyDescent="0.25">
      <c r="H114" s="49"/>
      <c r="I114" s="49"/>
      <c r="J114" s="49"/>
      <c r="K114" s="49"/>
      <c r="L114" s="49"/>
      <c r="M114" s="49"/>
      <c r="N114" s="49"/>
      <c r="O114" s="49"/>
    </row>
    <row r="115" spans="8:15" ht="14.25" customHeight="1" x14ac:dyDescent="0.25">
      <c r="H115" s="49"/>
      <c r="I115" s="49"/>
      <c r="J115" s="49"/>
      <c r="K115" s="49"/>
      <c r="L115" s="49"/>
      <c r="M115" s="49"/>
      <c r="N115" s="49"/>
      <c r="O115" s="49"/>
    </row>
    <row r="116" spans="8:15" ht="14.25" customHeight="1" x14ac:dyDescent="0.25">
      <c r="H116" s="49"/>
      <c r="I116" s="49"/>
      <c r="J116" s="49"/>
      <c r="K116" s="49"/>
      <c r="L116" s="49"/>
      <c r="M116" s="49"/>
      <c r="N116" s="49"/>
      <c r="O116" s="49"/>
    </row>
    <row r="117" spans="8:15" ht="14.25" customHeight="1" x14ac:dyDescent="0.25">
      <c r="H117" s="49"/>
      <c r="I117" s="49"/>
      <c r="J117" s="49"/>
      <c r="K117" s="49"/>
      <c r="L117" s="49"/>
      <c r="M117" s="49"/>
      <c r="N117" s="49"/>
      <c r="O117" s="49"/>
    </row>
    <row r="118" spans="8:15" ht="14.25" customHeight="1" x14ac:dyDescent="0.25">
      <c r="H118" s="49"/>
      <c r="I118" s="49"/>
      <c r="J118" s="49"/>
      <c r="K118" s="49"/>
      <c r="L118" s="49"/>
      <c r="M118" s="49"/>
      <c r="N118" s="49"/>
      <c r="O118" s="49"/>
    </row>
    <row r="119" spans="8:15" ht="14.25" customHeight="1" x14ac:dyDescent="0.25">
      <c r="H119" s="49"/>
      <c r="I119" s="49"/>
      <c r="J119" s="49"/>
      <c r="K119" s="49"/>
      <c r="L119" s="49"/>
      <c r="M119" s="49"/>
      <c r="N119" s="49"/>
      <c r="O119" s="49"/>
    </row>
    <row r="120" spans="8:15" ht="14.25" customHeight="1" x14ac:dyDescent="0.25">
      <c r="H120" s="49"/>
      <c r="I120" s="49"/>
      <c r="J120" s="49"/>
      <c r="K120" s="49"/>
      <c r="L120" s="49"/>
      <c r="M120" s="49"/>
      <c r="N120" s="49"/>
      <c r="O120" s="49"/>
    </row>
    <row r="121" spans="8:15" ht="14.25" customHeight="1" x14ac:dyDescent="0.25">
      <c r="H121" s="49"/>
      <c r="I121" s="49"/>
      <c r="J121" s="49"/>
      <c r="K121" s="49"/>
      <c r="L121" s="49"/>
      <c r="M121" s="49"/>
      <c r="N121" s="49"/>
      <c r="O121" s="49"/>
    </row>
    <row r="122" spans="8:15" ht="14.25" customHeight="1" x14ac:dyDescent="0.25">
      <c r="H122" s="49"/>
      <c r="I122" s="49"/>
      <c r="J122" s="49"/>
      <c r="K122" s="49"/>
      <c r="L122" s="49"/>
      <c r="M122" s="49"/>
      <c r="N122" s="49"/>
      <c r="O122" s="49"/>
    </row>
    <row r="123" spans="8:15" ht="14.25" customHeight="1" x14ac:dyDescent="0.25">
      <c r="H123" s="49"/>
      <c r="I123" s="49"/>
      <c r="J123" s="49"/>
      <c r="K123" s="49"/>
      <c r="L123" s="49"/>
      <c r="M123" s="49"/>
      <c r="N123" s="49"/>
      <c r="O123" s="49"/>
    </row>
    <row r="124" spans="8:15" ht="14.25" customHeight="1" x14ac:dyDescent="0.25">
      <c r="H124" s="49"/>
      <c r="I124" s="49"/>
      <c r="J124" s="49"/>
      <c r="K124" s="49"/>
      <c r="L124" s="49"/>
      <c r="M124" s="49"/>
      <c r="N124" s="49"/>
      <c r="O124" s="49"/>
    </row>
    <row r="125" spans="8:15" ht="14.25" customHeight="1" x14ac:dyDescent="0.25">
      <c r="H125" s="49"/>
      <c r="I125" s="49"/>
      <c r="J125" s="49"/>
      <c r="K125" s="49"/>
      <c r="L125" s="49"/>
      <c r="M125" s="49"/>
      <c r="N125" s="49"/>
      <c r="O125" s="49"/>
    </row>
    <row r="126" spans="8:15" ht="14.25" customHeight="1" x14ac:dyDescent="0.25">
      <c r="H126" s="49"/>
      <c r="I126" s="49"/>
      <c r="J126" s="49"/>
      <c r="K126" s="49"/>
      <c r="L126" s="49"/>
      <c r="M126" s="49"/>
      <c r="N126" s="49"/>
      <c r="O126" s="49"/>
    </row>
    <row r="127" spans="8:15" ht="14.25" customHeight="1" x14ac:dyDescent="0.25">
      <c r="H127" s="49"/>
      <c r="I127" s="49"/>
      <c r="J127" s="49"/>
      <c r="K127" s="49"/>
      <c r="L127" s="49"/>
      <c r="M127" s="49"/>
      <c r="N127" s="49"/>
      <c r="O127" s="49"/>
    </row>
    <row r="128" spans="8:15" ht="14.25" customHeight="1" x14ac:dyDescent="0.25">
      <c r="H128" s="49"/>
      <c r="I128" s="49"/>
      <c r="J128" s="49"/>
      <c r="K128" s="49"/>
      <c r="L128" s="49"/>
      <c r="M128" s="49"/>
      <c r="N128" s="49"/>
      <c r="O128" s="49"/>
    </row>
    <row r="129" spans="8:15" ht="14.25" customHeight="1" x14ac:dyDescent="0.25">
      <c r="H129" s="49"/>
      <c r="I129" s="49"/>
      <c r="J129" s="49"/>
      <c r="K129" s="49"/>
      <c r="L129" s="49"/>
      <c r="M129" s="49"/>
      <c r="N129" s="49"/>
      <c r="O129" s="49"/>
    </row>
    <row r="130" spans="8:15" ht="14.25" customHeight="1" x14ac:dyDescent="0.25">
      <c r="H130" s="49"/>
      <c r="I130" s="49"/>
      <c r="J130" s="49"/>
      <c r="K130" s="49"/>
      <c r="L130" s="49"/>
      <c r="M130" s="49"/>
      <c r="N130" s="49"/>
      <c r="O130" s="49"/>
    </row>
    <row r="131" spans="8:15" ht="14.25" customHeight="1" x14ac:dyDescent="0.25">
      <c r="H131" s="49"/>
      <c r="I131" s="49"/>
      <c r="J131" s="49"/>
      <c r="K131" s="49"/>
      <c r="L131" s="49"/>
      <c r="M131" s="49"/>
      <c r="N131" s="49"/>
      <c r="O131" s="49"/>
    </row>
    <row r="132" spans="8:15" ht="14.25" customHeight="1" x14ac:dyDescent="0.25">
      <c r="H132" s="49"/>
      <c r="I132" s="49"/>
      <c r="J132" s="49"/>
      <c r="K132" s="49"/>
      <c r="L132" s="49"/>
      <c r="M132" s="49"/>
      <c r="N132" s="49"/>
      <c r="O132" s="49"/>
    </row>
    <row r="133" spans="8:15" ht="14.25" customHeight="1" x14ac:dyDescent="0.25">
      <c r="H133" s="49"/>
      <c r="I133" s="49"/>
      <c r="J133" s="49"/>
      <c r="K133" s="49"/>
      <c r="L133" s="49"/>
      <c r="M133" s="49"/>
      <c r="N133" s="49"/>
      <c r="O133" s="49"/>
    </row>
    <row r="134" spans="8:15" ht="14.25" customHeight="1" x14ac:dyDescent="0.25">
      <c r="H134" s="49"/>
      <c r="I134" s="49"/>
      <c r="J134" s="49"/>
      <c r="K134" s="49"/>
      <c r="L134" s="49"/>
      <c r="M134" s="49"/>
      <c r="N134" s="49"/>
      <c r="O134" s="49"/>
    </row>
    <row r="135" spans="8:15" ht="14.25" customHeight="1" x14ac:dyDescent="0.25">
      <c r="H135" s="49"/>
      <c r="I135" s="49"/>
      <c r="J135" s="49"/>
      <c r="K135" s="49"/>
      <c r="L135" s="49"/>
      <c r="M135" s="49"/>
      <c r="N135" s="49"/>
      <c r="O135" s="49"/>
    </row>
    <row r="136" spans="8:15" ht="14.25" customHeight="1" x14ac:dyDescent="0.25">
      <c r="H136" s="49"/>
      <c r="I136" s="49"/>
      <c r="J136" s="49"/>
      <c r="K136" s="49"/>
      <c r="L136" s="49"/>
      <c r="M136" s="49"/>
      <c r="N136" s="49"/>
      <c r="O136" s="49"/>
    </row>
    <row r="137" spans="8:15" ht="14.25" customHeight="1" x14ac:dyDescent="0.25">
      <c r="H137" s="49"/>
      <c r="I137" s="49"/>
      <c r="J137" s="49"/>
      <c r="K137" s="49"/>
      <c r="L137" s="49"/>
      <c r="M137" s="49"/>
      <c r="N137" s="49"/>
      <c r="O137" s="49"/>
    </row>
    <row r="138" spans="8:15" ht="14.25" customHeight="1" x14ac:dyDescent="0.25">
      <c r="H138" s="49"/>
      <c r="I138" s="49"/>
      <c r="J138" s="49"/>
      <c r="K138" s="49"/>
      <c r="L138" s="49"/>
      <c r="M138" s="49"/>
      <c r="N138" s="49"/>
      <c r="O138" s="49"/>
    </row>
    <row r="139" spans="8:15" ht="14.25" customHeight="1" x14ac:dyDescent="0.25">
      <c r="H139" s="49"/>
      <c r="I139" s="49"/>
      <c r="J139" s="49"/>
      <c r="K139" s="49"/>
      <c r="L139" s="49"/>
      <c r="M139" s="49"/>
      <c r="N139" s="49"/>
      <c r="O139" s="49"/>
    </row>
    <row r="140" spans="8:15" ht="14.25" customHeight="1" x14ac:dyDescent="0.25">
      <c r="H140" s="49"/>
      <c r="I140" s="49"/>
      <c r="J140" s="49"/>
      <c r="K140" s="49"/>
      <c r="L140" s="49"/>
      <c r="M140" s="49"/>
      <c r="N140" s="49"/>
      <c r="O140" s="49"/>
    </row>
    <row r="141" spans="8:15" ht="14.25" customHeight="1" x14ac:dyDescent="0.25">
      <c r="H141" s="49"/>
      <c r="I141" s="49"/>
      <c r="J141" s="49"/>
      <c r="K141" s="49"/>
      <c r="L141" s="49"/>
      <c r="M141" s="49"/>
      <c r="N141" s="49"/>
      <c r="O141" s="49"/>
    </row>
    <row r="142" spans="8:15" ht="14.25" customHeight="1" x14ac:dyDescent="0.25">
      <c r="H142" s="49"/>
      <c r="I142" s="49"/>
      <c r="J142" s="49"/>
      <c r="K142" s="49"/>
      <c r="L142" s="49"/>
      <c r="M142" s="49"/>
      <c r="N142" s="49"/>
      <c r="O142" s="49"/>
    </row>
    <row r="143" spans="8:15" ht="14.25" customHeight="1" x14ac:dyDescent="0.25">
      <c r="H143" s="49"/>
      <c r="I143" s="49"/>
      <c r="J143" s="49"/>
      <c r="K143" s="49"/>
      <c r="L143" s="49"/>
      <c r="M143" s="49"/>
      <c r="N143" s="49"/>
      <c r="O143" s="49"/>
    </row>
    <row r="144" spans="8:15" ht="14.25" customHeight="1" x14ac:dyDescent="0.25">
      <c r="H144" s="49"/>
      <c r="I144" s="49"/>
      <c r="J144" s="49"/>
      <c r="K144" s="49"/>
      <c r="L144" s="49"/>
      <c r="M144" s="49"/>
      <c r="N144" s="49"/>
      <c r="O144" s="49"/>
    </row>
    <row r="145" spans="8:15" ht="14.25" customHeight="1" x14ac:dyDescent="0.25">
      <c r="H145" s="49"/>
      <c r="I145" s="49"/>
      <c r="J145" s="49"/>
      <c r="K145" s="49"/>
      <c r="L145" s="49"/>
      <c r="M145" s="49"/>
      <c r="N145" s="49"/>
      <c r="O145" s="49"/>
    </row>
    <row r="146" spans="8:15" ht="14.25" customHeight="1" x14ac:dyDescent="0.25">
      <c r="H146" s="49"/>
      <c r="I146" s="49"/>
      <c r="J146" s="49"/>
      <c r="K146" s="49"/>
      <c r="L146" s="49"/>
      <c r="M146" s="49"/>
      <c r="N146" s="49"/>
      <c r="O146" s="49"/>
    </row>
    <row r="147" spans="8:15" ht="14.25" customHeight="1" x14ac:dyDescent="0.25">
      <c r="H147" s="49"/>
      <c r="I147" s="49"/>
      <c r="J147" s="49"/>
      <c r="K147" s="49"/>
      <c r="L147" s="49"/>
      <c r="M147" s="49"/>
      <c r="N147" s="49"/>
      <c r="O147" s="49"/>
    </row>
    <row r="148" spans="8:15" ht="14.25" customHeight="1" x14ac:dyDescent="0.25">
      <c r="H148" s="49"/>
      <c r="I148" s="49"/>
      <c r="J148" s="49"/>
      <c r="K148" s="49"/>
      <c r="L148" s="49"/>
      <c r="M148" s="49"/>
      <c r="N148" s="49"/>
      <c r="O148" s="49"/>
    </row>
    <row r="149" spans="8:15" ht="14.25" customHeight="1" x14ac:dyDescent="0.25">
      <c r="H149" s="49"/>
      <c r="I149" s="49"/>
      <c r="J149" s="49"/>
      <c r="K149" s="49"/>
      <c r="L149" s="49"/>
      <c r="M149" s="49"/>
      <c r="N149" s="49"/>
      <c r="O149" s="49"/>
    </row>
    <row r="150" spans="8:15" ht="14.25" customHeight="1" x14ac:dyDescent="0.25">
      <c r="H150" s="49"/>
      <c r="I150" s="49"/>
      <c r="J150" s="49"/>
      <c r="K150" s="49"/>
      <c r="L150" s="49"/>
      <c r="M150" s="49"/>
      <c r="N150" s="49"/>
      <c r="O150" s="49"/>
    </row>
    <row r="151" spans="8:15" ht="14.25" customHeight="1" x14ac:dyDescent="0.25">
      <c r="H151" s="49"/>
      <c r="I151" s="49"/>
      <c r="J151" s="49"/>
      <c r="K151" s="49"/>
      <c r="L151" s="49"/>
      <c r="M151" s="49"/>
      <c r="N151" s="49"/>
      <c r="O151" s="49"/>
    </row>
    <row r="152" spans="8:15" ht="14.25" customHeight="1" x14ac:dyDescent="0.25">
      <c r="H152" s="49"/>
      <c r="I152" s="49"/>
      <c r="J152" s="49"/>
      <c r="K152" s="49"/>
      <c r="L152" s="49"/>
      <c r="M152" s="49"/>
      <c r="N152" s="49"/>
      <c r="O152" s="49"/>
    </row>
    <row r="153" spans="8:15" ht="14.25" customHeight="1" x14ac:dyDescent="0.25">
      <c r="H153" s="49"/>
      <c r="I153" s="49"/>
      <c r="J153" s="49"/>
      <c r="K153" s="49"/>
      <c r="L153" s="49"/>
      <c r="M153" s="49"/>
      <c r="N153" s="49"/>
      <c r="O153" s="49"/>
    </row>
    <row r="154" spans="8:15" ht="14.25" customHeight="1" x14ac:dyDescent="0.25">
      <c r="H154" s="49"/>
      <c r="I154" s="49"/>
      <c r="J154" s="49"/>
      <c r="K154" s="49"/>
      <c r="L154" s="49"/>
      <c r="M154" s="49"/>
      <c r="N154" s="49"/>
      <c r="O154" s="49"/>
    </row>
    <row r="155" spans="8:15" ht="14.25" customHeight="1" x14ac:dyDescent="0.25">
      <c r="H155" s="49"/>
      <c r="I155" s="49"/>
      <c r="J155" s="49"/>
      <c r="K155" s="49"/>
      <c r="L155" s="49"/>
      <c r="M155" s="49"/>
      <c r="N155" s="49"/>
      <c r="O155" s="49"/>
    </row>
    <row r="156" spans="8:15" ht="14.25" customHeight="1" x14ac:dyDescent="0.25">
      <c r="H156" s="49"/>
      <c r="I156" s="49"/>
      <c r="J156" s="49"/>
      <c r="K156" s="49"/>
      <c r="L156" s="49"/>
      <c r="M156" s="49"/>
      <c r="N156" s="49"/>
      <c r="O156" s="49"/>
    </row>
    <row r="157" spans="8:15" ht="14.25" customHeight="1" x14ac:dyDescent="0.25">
      <c r="H157" s="49"/>
      <c r="I157" s="49"/>
      <c r="J157" s="49"/>
      <c r="K157" s="49"/>
      <c r="L157" s="49"/>
      <c r="M157" s="49"/>
      <c r="N157" s="49"/>
      <c r="O157" s="49"/>
    </row>
    <row r="158" spans="8:15" ht="14.25" customHeight="1" x14ac:dyDescent="0.25">
      <c r="H158" s="49"/>
      <c r="I158" s="49"/>
      <c r="J158" s="49"/>
      <c r="K158" s="49"/>
      <c r="L158" s="49"/>
      <c r="M158" s="49"/>
      <c r="N158" s="49"/>
      <c r="O158" s="49"/>
    </row>
    <row r="159" spans="8:15" ht="14.25" customHeight="1" x14ac:dyDescent="0.25">
      <c r="H159" s="49"/>
      <c r="I159" s="49"/>
      <c r="J159" s="49"/>
      <c r="K159" s="49"/>
      <c r="L159" s="49"/>
      <c r="M159" s="49"/>
      <c r="N159" s="49"/>
      <c r="O159" s="49"/>
    </row>
    <row r="160" spans="8:15" ht="14.25" customHeight="1" x14ac:dyDescent="0.25">
      <c r="H160" s="49"/>
      <c r="I160" s="49"/>
      <c r="J160" s="49"/>
      <c r="K160" s="49"/>
      <c r="L160" s="49"/>
      <c r="M160" s="49"/>
      <c r="N160" s="49"/>
      <c r="O160" s="49"/>
    </row>
    <row r="161" spans="8:15" ht="14.25" customHeight="1" x14ac:dyDescent="0.25">
      <c r="H161" s="49"/>
      <c r="I161" s="49"/>
      <c r="J161" s="49"/>
      <c r="K161" s="49"/>
      <c r="L161" s="49"/>
      <c r="M161" s="49"/>
      <c r="N161" s="49"/>
      <c r="O161" s="49"/>
    </row>
    <row r="162" spans="8:15" ht="14.25" customHeight="1" x14ac:dyDescent="0.25">
      <c r="H162" s="49"/>
      <c r="I162" s="49"/>
      <c r="J162" s="49"/>
      <c r="K162" s="49"/>
      <c r="L162" s="49"/>
      <c r="M162" s="49"/>
      <c r="N162" s="49"/>
      <c r="O162" s="49"/>
    </row>
    <row r="163" spans="8:15" ht="14.25" customHeight="1" x14ac:dyDescent="0.25">
      <c r="H163" s="49"/>
      <c r="I163" s="49"/>
      <c r="J163" s="49"/>
      <c r="K163" s="49"/>
      <c r="L163" s="49"/>
      <c r="M163" s="49"/>
      <c r="N163" s="49"/>
      <c r="O163" s="49"/>
    </row>
    <row r="164" spans="8:15" ht="14.25" customHeight="1" x14ac:dyDescent="0.25">
      <c r="H164" s="49"/>
      <c r="I164" s="49"/>
      <c r="J164" s="49"/>
      <c r="K164" s="49"/>
      <c r="L164" s="49"/>
      <c r="M164" s="49"/>
      <c r="N164" s="49"/>
      <c r="O164" s="49"/>
    </row>
    <row r="165" spans="8:15" ht="14.25" customHeight="1" x14ac:dyDescent="0.25">
      <c r="H165" s="49"/>
      <c r="I165" s="49"/>
      <c r="J165" s="49"/>
      <c r="K165" s="49"/>
      <c r="L165" s="49"/>
      <c r="M165" s="49"/>
      <c r="N165" s="49"/>
      <c r="O165" s="49"/>
    </row>
    <row r="166" spans="8:15" ht="14.25" customHeight="1" x14ac:dyDescent="0.25">
      <c r="H166" s="49"/>
      <c r="I166" s="49"/>
      <c r="J166" s="49"/>
      <c r="K166" s="49"/>
      <c r="L166" s="49"/>
      <c r="M166" s="49"/>
      <c r="N166" s="49"/>
      <c r="O166" s="49"/>
    </row>
    <row r="167" spans="8:15" ht="14.25" customHeight="1" x14ac:dyDescent="0.25">
      <c r="H167" s="49"/>
      <c r="I167" s="49"/>
      <c r="J167" s="49"/>
      <c r="K167" s="49"/>
      <c r="L167" s="49"/>
      <c r="M167" s="49"/>
      <c r="N167" s="49"/>
      <c r="O167" s="49"/>
    </row>
    <row r="168" spans="8:15" ht="14.25" customHeight="1" x14ac:dyDescent="0.25">
      <c r="H168" s="49"/>
      <c r="I168" s="49"/>
      <c r="J168" s="49"/>
      <c r="K168" s="49"/>
      <c r="L168" s="49"/>
      <c r="M168" s="49"/>
      <c r="N168" s="49"/>
      <c r="O168" s="49"/>
    </row>
    <row r="169" spans="8:15" ht="14.25" customHeight="1" x14ac:dyDescent="0.25">
      <c r="H169" s="49"/>
      <c r="I169" s="49"/>
      <c r="J169" s="49"/>
      <c r="K169" s="49"/>
      <c r="L169" s="49"/>
      <c r="M169" s="49"/>
      <c r="N169" s="49"/>
      <c r="O169" s="49"/>
    </row>
    <row r="170" spans="8:15" ht="14.25" customHeight="1" x14ac:dyDescent="0.25">
      <c r="H170" s="49"/>
      <c r="I170" s="49"/>
      <c r="J170" s="49"/>
      <c r="K170" s="49"/>
      <c r="L170" s="49"/>
      <c r="M170" s="49"/>
      <c r="N170" s="49"/>
      <c r="O170" s="49"/>
    </row>
    <row r="171" spans="8:15" ht="14.25" customHeight="1" x14ac:dyDescent="0.25">
      <c r="H171" s="49"/>
      <c r="I171" s="49"/>
      <c r="J171" s="49"/>
      <c r="K171" s="49"/>
      <c r="L171" s="49"/>
      <c r="M171" s="49"/>
      <c r="N171" s="49"/>
      <c r="O171" s="49"/>
    </row>
    <row r="172" spans="8:15" ht="14.25" customHeight="1" x14ac:dyDescent="0.25">
      <c r="H172" s="49"/>
      <c r="I172" s="49"/>
      <c r="J172" s="49"/>
      <c r="K172" s="49"/>
      <c r="L172" s="49"/>
      <c r="M172" s="49"/>
      <c r="N172" s="49"/>
      <c r="O172" s="49"/>
    </row>
    <row r="173" spans="8:15" ht="14.25" customHeight="1" x14ac:dyDescent="0.25">
      <c r="H173" s="49"/>
      <c r="I173" s="49"/>
      <c r="J173" s="49"/>
      <c r="K173" s="49"/>
      <c r="L173" s="49"/>
      <c r="M173" s="49"/>
      <c r="N173" s="49"/>
      <c r="O173" s="49"/>
    </row>
    <row r="174" spans="8:15" ht="14.25" customHeight="1" x14ac:dyDescent="0.25">
      <c r="H174" s="49"/>
      <c r="I174" s="49"/>
      <c r="J174" s="49"/>
      <c r="K174" s="49"/>
      <c r="L174" s="49"/>
      <c r="M174" s="49"/>
      <c r="N174" s="49"/>
      <c r="O174" s="49"/>
    </row>
    <row r="175" spans="8:15" ht="14.25" customHeight="1" x14ac:dyDescent="0.25">
      <c r="H175" s="49"/>
      <c r="I175" s="49"/>
      <c r="J175" s="49"/>
      <c r="K175" s="49"/>
      <c r="L175" s="49"/>
      <c r="M175" s="49"/>
      <c r="N175" s="49"/>
      <c r="O175" s="49"/>
    </row>
    <row r="176" spans="8:15" ht="14.25" customHeight="1" x14ac:dyDescent="0.25">
      <c r="H176" s="49"/>
      <c r="I176" s="49"/>
      <c r="J176" s="49"/>
      <c r="K176" s="49"/>
      <c r="L176" s="49"/>
      <c r="M176" s="49"/>
      <c r="N176" s="49"/>
      <c r="O176" s="49"/>
    </row>
    <row r="177" spans="8:15" ht="14.25" customHeight="1" x14ac:dyDescent="0.25">
      <c r="H177" s="49"/>
      <c r="I177" s="49"/>
      <c r="J177" s="49"/>
      <c r="K177" s="49"/>
      <c r="L177" s="49"/>
      <c r="M177" s="49"/>
      <c r="N177" s="49"/>
      <c r="O177" s="49"/>
    </row>
    <row r="178" spans="8:15" ht="14.25" customHeight="1" x14ac:dyDescent="0.25">
      <c r="H178" s="49"/>
      <c r="I178" s="49"/>
      <c r="J178" s="49"/>
      <c r="K178" s="49"/>
      <c r="L178" s="49"/>
      <c r="M178" s="49"/>
      <c r="N178" s="49"/>
      <c r="O178" s="49"/>
    </row>
    <row r="179" spans="8:15" ht="14.25" customHeight="1" x14ac:dyDescent="0.25">
      <c r="H179" s="49"/>
      <c r="I179" s="49"/>
      <c r="J179" s="49"/>
      <c r="K179" s="49"/>
      <c r="L179" s="49"/>
      <c r="M179" s="49"/>
      <c r="N179" s="49"/>
      <c r="O179" s="49"/>
    </row>
    <row r="180" spans="8:15" ht="14.25" customHeight="1" x14ac:dyDescent="0.25">
      <c r="H180" s="49"/>
      <c r="I180" s="49"/>
      <c r="J180" s="49"/>
      <c r="K180" s="49"/>
      <c r="L180" s="49"/>
      <c r="M180" s="49"/>
      <c r="N180" s="49"/>
      <c r="O180" s="49"/>
    </row>
    <row r="181" spans="8:15" ht="14.25" customHeight="1" x14ac:dyDescent="0.25">
      <c r="H181" s="49"/>
      <c r="I181" s="49"/>
      <c r="J181" s="49"/>
      <c r="K181" s="49"/>
      <c r="L181" s="49"/>
      <c r="M181" s="49"/>
      <c r="N181" s="49"/>
      <c r="O181" s="49"/>
    </row>
    <row r="182" spans="8:15" ht="14.25" customHeight="1" x14ac:dyDescent="0.25">
      <c r="H182" s="49"/>
      <c r="I182" s="49"/>
      <c r="J182" s="49"/>
      <c r="K182" s="49"/>
      <c r="L182" s="49"/>
      <c r="M182" s="49"/>
      <c r="N182" s="49"/>
      <c r="O182" s="49"/>
    </row>
    <row r="183" spans="8:15" ht="14.25" customHeight="1" x14ac:dyDescent="0.25">
      <c r="H183" s="49"/>
      <c r="I183" s="49"/>
      <c r="J183" s="49"/>
      <c r="K183" s="49"/>
      <c r="L183" s="49"/>
      <c r="M183" s="49"/>
      <c r="N183" s="49"/>
      <c r="O183" s="49"/>
    </row>
    <row r="184" spans="8:15" ht="14.25" customHeight="1" x14ac:dyDescent="0.25">
      <c r="H184" s="49"/>
      <c r="I184" s="49"/>
      <c r="J184" s="49"/>
      <c r="K184" s="49"/>
      <c r="L184" s="49"/>
      <c r="M184" s="49"/>
      <c r="N184" s="49"/>
      <c r="O184" s="49"/>
    </row>
    <row r="185" spans="8:15" ht="14.25" customHeight="1" x14ac:dyDescent="0.25">
      <c r="H185" s="49"/>
      <c r="I185" s="49"/>
      <c r="J185" s="49"/>
      <c r="K185" s="49"/>
      <c r="L185" s="49"/>
      <c r="M185" s="49"/>
      <c r="N185" s="49"/>
      <c r="O185" s="49"/>
    </row>
    <row r="186" spans="8:15" ht="14.25" customHeight="1" x14ac:dyDescent="0.25">
      <c r="H186" s="49"/>
      <c r="I186" s="49"/>
      <c r="J186" s="49"/>
      <c r="K186" s="49"/>
      <c r="L186" s="49"/>
      <c r="M186" s="49"/>
      <c r="N186" s="49"/>
      <c r="O186" s="49"/>
    </row>
    <row r="187" spans="8:15" ht="14.25" customHeight="1" x14ac:dyDescent="0.25">
      <c r="H187" s="49"/>
      <c r="I187" s="49"/>
      <c r="J187" s="49"/>
      <c r="K187" s="49"/>
      <c r="L187" s="49"/>
      <c r="M187" s="49"/>
      <c r="N187" s="49"/>
      <c r="O187" s="49"/>
    </row>
    <row r="188" spans="8:15" ht="14.25" customHeight="1" x14ac:dyDescent="0.25">
      <c r="H188" s="49"/>
      <c r="I188" s="49"/>
      <c r="J188" s="49"/>
      <c r="K188" s="49"/>
      <c r="L188" s="49"/>
      <c r="M188" s="49"/>
      <c r="N188" s="49"/>
      <c r="O188" s="49"/>
    </row>
    <row r="189" spans="8:15" ht="14.25" customHeight="1" x14ac:dyDescent="0.25">
      <c r="H189" s="49"/>
      <c r="I189" s="49"/>
      <c r="J189" s="49"/>
      <c r="K189" s="49"/>
      <c r="L189" s="49"/>
      <c r="M189" s="49"/>
      <c r="N189" s="49"/>
      <c r="O189" s="49"/>
    </row>
    <row r="190" spans="8:15" ht="14.25" customHeight="1" x14ac:dyDescent="0.25">
      <c r="H190" s="49"/>
      <c r="I190" s="49"/>
      <c r="J190" s="49"/>
      <c r="K190" s="49"/>
      <c r="L190" s="49"/>
      <c r="M190" s="49"/>
      <c r="N190" s="49"/>
      <c r="O190" s="49"/>
    </row>
    <row r="191" spans="8:15" ht="14.25" customHeight="1" x14ac:dyDescent="0.25">
      <c r="H191" s="49"/>
      <c r="I191" s="49"/>
      <c r="J191" s="49"/>
      <c r="K191" s="49"/>
      <c r="L191" s="49"/>
      <c r="M191" s="49"/>
      <c r="N191" s="49"/>
      <c r="O191" s="49"/>
    </row>
    <row r="192" spans="8:15" ht="14.25" customHeight="1" x14ac:dyDescent="0.25">
      <c r="H192" s="49"/>
      <c r="I192" s="49"/>
      <c r="J192" s="49"/>
      <c r="K192" s="49"/>
      <c r="L192" s="49"/>
      <c r="M192" s="49"/>
      <c r="N192" s="49"/>
      <c r="O192" s="49"/>
    </row>
    <row r="193" spans="8:15" ht="14.25" customHeight="1" x14ac:dyDescent="0.25">
      <c r="H193" s="49"/>
      <c r="I193" s="49"/>
      <c r="J193" s="49"/>
      <c r="K193" s="49"/>
      <c r="L193" s="49"/>
      <c r="M193" s="49"/>
      <c r="N193" s="49"/>
      <c r="O193" s="49"/>
    </row>
    <row r="194" spans="8:15" ht="14.25" customHeight="1" x14ac:dyDescent="0.25">
      <c r="H194" s="49"/>
      <c r="I194" s="49"/>
      <c r="J194" s="49"/>
      <c r="K194" s="49"/>
      <c r="L194" s="49"/>
      <c r="M194" s="49"/>
      <c r="N194" s="49"/>
      <c r="O194" s="49"/>
    </row>
    <row r="195" spans="8:15" ht="14.25" customHeight="1" x14ac:dyDescent="0.25">
      <c r="H195" s="49"/>
      <c r="I195" s="49"/>
      <c r="J195" s="49"/>
      <c r="K195" s="49"/>
      <c r="L195" s="49"/>
      <c r="M195" s="49"/>
      <c r="N195" s="49"/>
      <c r="O195" s="49"/>
    </row>
    <row r="196" spans="8:15" ht="14.25" customHeight="1" x14ac:dyDescent="0.25">
      <c r="H196" s="49"/>
      <c r="I196" s="49"/>
      <c r="J196" s="49"/>
      <c r="K196" s="49"/>
      <c r="L196" s="49"/>
      <c r="M196" s="49"/>
      <c r="N196" s="49"/>
      <c r="O196" s="49"/>
    </row>
    <row r="197" spans="8:15" ht="14.25" customHeight="1" x14ac:dyDescent="0.25">
      <c r="H197" s="49"/>
      <c r="I197" s="49"/>
      <c r="J197" s="49"/>
      <c r="K197" s="49"/>
      <c r="L197" s="49"/>
      <c r="M197" s="49"/>
      <c r="N197" s="49"/>
      <c r="O197" s="49"/>
    </row>
    <row r="198" spans="8:15" ht="14.25" customHeight="1" x14ac:dyDescent="0.25">
      <c r="H198" s="49"/>
      <c r="I198" s="49"/>
      <c r="J198" s="49"/>
      <c r="K198" s="49"/>
      <c r="L198" s="49"/>
      <c r="M198" s="49"/>
      <c r="N198" s="49"/>
      <c r="O198" s="49"/>
    </row>
    <row r="199" spans="8:15" ht="14.25" customHeight="1" x14ac:dyDescent="0.25">
      <c r="H199" s="49"/>
      <c r="I199" s="49"/>
      <c r="J199" s="49"/>
      <c r="K199" s="49"/>
      <c r="L199" s="49"/>
      <c r="M199" s="49"/>
      <c r="N199" s="49"/>
      <c r="O199" s="49"/>
    </row>
    <row r="200" spans="8:15" ht="14.25" customHeight="1" x14ac:dyDescent="0.25">
      <c r="H200" s="49"/>
      <c r="I200" s="49"/>
      <c r="J200" s="49"/>
      <c r="K200" s="49"/>
      <c r="L200" s="49"/>
      <c r="M200" s="49"/>
      <c r="N200" s="49"/>
      <c r="O200" s="49"/>
    </row>
    <row r="201" spans="8:15" ht="14.25" customHeight="1" x14ac:dyDescent="0.25">
      <c r="H201" s="49"/>
      <c r="I201" s="49"/>
      <c r="J201" s="49"/>
      <c r="K201" s="49"/>
      <c r="L201" s="49"/>
      <c r="M201" s="49"/>
      <c r="N201" s="49"/>
      <c r="O201" s="49"/>
    </row>
    <row r="202" spans="8:15" ht="14.25" customHeight="1" x14ac:dyDescent="0.25">
      <c r="H202" s="49"/>
      <c r="I202" s="49"/>
      <c r="J202" s="49"/>
      <c r="K202" s="49"/>
      <c r="L202" s="49"/>
      <c r="M202" s="49"/>
      <c r="N202" s="49"/>
      <c r="O202" s="49"/>
    </row>
    <row r="203" spans="8:15" ht="14.25" customHeight="1" x14ac:dyDescent="0.25">
      <c r="H203" s="49"/>
      <c r="I203" s="49"/>
      <c r="J203" s="49"/>
      <c r="K203" s="49"/>
      <c r="L203" s="49"/>
      <c r="M203" s="49"/>
      <c r="N203" s="49"/>
      <c r="O203" s="49"/>
    </row>
    <row r="204" spans="8:15" ht="14.25" customHeight="1" x14ac:dyDescent="0.25">
      <c r="H204" s="49"/>
      <c r="I204" s="49"/>
      <c r="J204" s="49"/>
      <c r="K204" s="49"/>
      <c r="L204" s="49"/>
      <c r="M204" s="49"/>
      <c r="N204" s="49"/>
      <c r="O204" s="49"/>
    </row>
    <row r="205" spans="8:15" ht="14.25" customHeight="1" x14ac:dyDescent="0.25">
      <c r="H205" s="49"/>
      <c r="I205" s="49"/>
      <c r="J205" s="49"/>
      <c r="K205" s="49"/>
      <c r="L205" s="49"/>
      <c r="M205" s="49"/>
      <c r="N205" s="49"/>
      <c r="O205" s="49"/>
    </row>
    <row r="206" spans="8:15" ht="14.25" customHeight="1" x14ac:dyDescent="0.25">
      <c r="H206" s="49"/>
      <c r="I206" s="49"/>
      <c r="J206" s="49"/>
      <c r="K206" s="49"/>
      <c r="L206" s="49"/>
      <c r="M206" s="49"/>
      <c r="N206" s="49"/>
      <c r="O206" s="49"/>
    </row>
    <row r="207" spans="8:15" ht="14.25" customHeight="1" x14ac:dyDescent="0.25">
      <c r="H207" s="49"/>
      <c r="I207" s="49"/>
      <c r="J207" s="49"/>
      <c r="K207" s="49"/>
      <c r="L207" s="49"/>
      <c r="M207" s="49"/>
      <c r="N207" s="49"/>
      <c r="O207" s="49"/>
    </row>
    <row r="208" spans="8:15" ht="14.25" customHeight="1" x14ac:dyDescent="0.25">
      <c r="H208" s="49"/>
      <c r="I208" s="49"/>
      <c r="J208" s="49"/>
      <c r="K208" s="49"/>
      <c r="L208" s="49"/>
      <c r="M208" s="49"/>
      <c r="N208" s="49"/>
      <c r="O208" s="49"/>
    </row>
    <row r="209" spans="8:15" ht="14.25" customHeight="1" x14ac:dyDescent="0.25">
      <c r="H209" s="49"/>
      <c r="I209" s="49"/>
      <c r="J209" s="49"/>
      <c r="K209" s="49"/>
      <c r="L209" s="49"/>
      <c r="M209" s="49"/>
      <c r="N209" s="49"/>
      <c r="O209" s="49"/>
    </row>
    <row r="210" spans="8:15" ht="14.25" customHeight="1" x14ac:dyDescent="0.25">
      <c r="H210" s="49"/>
      <c r="I210" s="49"/>
      <c r="J210" s="49"/>
      <c r="K210" s="49"/>
      <c r="L210" s="49"/>
      <c r="M210" s="49"/>
      <c r="N210" s="49"/>
      <c r="O210" s="49"/>
    </row>
    <row r="211" spans="8:15" ht="14.25" customHeight="1" x14ac:dyDescent="0.25">
      <c r="H211" s="49"/>
      <c r="I211" s="49"/>
      <c r="J211" s="49"/>
      <c r="K211" s="49"/>
      <c r="L211" s="49"/>
      <c r="M211" s="49"/>
      <c r="N211" s="49"/>
      <c r="O211" s="49"/>
    </row>
    <row r="212" spans="8:15" ht="14.25" customHeight="1" x14ac:dyDescent="0.25">
      <c r="H212" s="49"/>
      <c r="I212" s="49"/>
      <c r="J212" s="49"/>
      <c r="K212" s="49"/>
      <c r="L212" s="49"/>
      <c r="M212" s="49"/>
      <c r="N212" s="49"/>
      <c r="O212" s="49"/>
    </row>
    <row r="213" spans="8:15" ht="14.25" customHeight="1" x14ac:dyDescent="0.25">
      <c r="H213" s="49"/>
      <c r="I213" s="49"/>
      <c r="J213" s="49"/>
      <c r="K213" s="49"/>
      <c r="L213" s="49"/>
      <c r="M213" s="49"/>
      <c r="N213" s="49"/>
      <c r="O213" s="49"/>
    </row>
    <row r="214" spans="8:15" ht="14.25" customHeight="1" x14ac:dyDescent="0.25">
      <c r="H214" s="49"/>
      <c r="I214" s="49"/>
      <c r="J214" s="49"/>
      <c r="K214" s="49"/>
      <c r="L214" s="49"/>
      <c r="M214" s="49"/>
      <c r="N214" s="49"/>
      <c r="O214" s="49"/>
    </row>
    <row r="215" spans="8:15" ht="14.25" customHeight="1" x14ac:dyDescent="0.25">
      <c r="H215" s="49"/>
      <c r="I215" s="49"/>
      <c r="J215" s="49"/>
      <c r="K215" s="49"/>
      <c r="L215" s="49"/>
      <c r="M215" s="49"/>
      <c r="N215" s="49"/>
      <c r="O215" s="49"/>
    </row>
    <row r="216" spans="8:15" ht="14.25" customHeight="1" x14ac:dyDescent="0.25">
      <c r="H216" s="49"/>
      <c r="I216" s="49"/>
      <c r="J216" s="49"/>
      <c r="K216" s="49"/>
      <c r="L216" s="49"/>
      <c r="M216" s="49"/>
      <c r="N216" s="49"/>
      <c r="O216" s="49"/>
    </row>
    <row r="217" spans="8:15" ht="14.25" customHeight="1" x14ac:dyDescent="0.25">
      <c r="H217" s="49"/>
      <c r="I217" s="49"/>
      <c r="J217" s="49"/>
      <c r="K217" s="49"/>
      <c r="L217" s="49"/>
      <c r="M217" s="49"/>
      <c r="N217" s="49"/>
      <c r="O217" s="49"/>
    </row>
    <row r="218" spans="8:15" ht="14.25" customHeight="1" x14ac:dyDescent="0.25">
      <c r="H218" s="49"/>
      <c r="I218" s="49"/>
      <c r="J218" s="49"/>
      <c r="K218" s="49"/>
      <c r="L218" s="49"/>
      <c r="M218" s="49"/>
      <c r="N218" s="49"/>
      <c r="O218" s="49"/>
    </row>
    <row r="219" spans="8:15" ht="14.25" customHeight="1" x14ac:dyDescent="0.25">
      <c r="H219" s="49"/>
      <c r="I219" s="49"/>
      <c r="J219" s="49"/>
      <c r="K219" s="49"/>
      <c r="L219" s="49"/>
      <c r="M219" s="49"/>
      <c r="N219" s="49"/>
      <c r="O219" s="49"/>
    </row>
    <row r="220" spans="8:15" ht="14.25" customHeight="1" x14ac:dyDescent="0.25">
      <c r="H220" s="49"/>
      <c r="I220" s="49"/>
      <c r="J220" s="49"/>
      <c r="K220" s="49"/>
      <c r="L220" s="49"/>
      <c r="M220" s="49"/>
      <c r="N220" s="49"/>
      <c r="O220" s="49"/>
    </row>
    <row r="221" spans="8:15" ht="14.25" customHeight="1" x14ac:dyDescent="0.25">
      <c r="H221" s="49"/>
      <c r="I221" s="49"/>
      <c r="J221" s="49"/>
      <c r="K221" s="49"/>
      <c r="L221" s="49"/>
      <c r="M221" s="49"/>
      <c r="N221" s="49"/>
      <c r="O221" s="49"/>
    </row>
    <row r="222" spans="8:15" ht="14.25" customHeight="1" x14ac:dyDescent="0.25">
      <c r="H222" s="49"/>
      <c r="I222" s="49"/>
      <c r="J222" s="49"/>
      <c r="K222" s="49"/>
      <c r="L222" s="49"/>
      <c r="M222" s="49"/>
      <c r="N222" s="49"/>
      <c r="O222" s="49"/>
    </row>
    <row r="223" spans="8:15" ht="14.25" customHeight="1" x14ac:dyDescent="0.25">
      <c r="H223" s="49"/>
      <c r="I223" s="49"/>
      <c r="J223" s="49"/>
      <c r="K223" s="49"/>
      <c r="L223" s="49"/>
      <c r="M223" s="49"/>
      <c r="N223" s="49"/>
      <c r="O223" s="49"/>
    </row>
    <row r="224" spans="8:15" ht="14.25" customHeight="1" x14ac:dyDescent="0.25">
      <c r="H224" s="49"/>
      <c r="I224" s="49"/>
      <c r="J224" s="49"/>
      <c r="K224" s="49"/>
      <c r="L224" s="49"/>
      <c r="M224" s="49"/>
      <c r="N224" s="49"/>
      <c r="O224" s="49"/>
    </row>
    <row r="225" spans="8:15" ht="14.25" customHeight="1" x14ac:dyDescent="0.25">
      <c r="H225" s="49"/>
      <c r="I225" s="49"/>
      <c r="J225" s="49"/>
      <c r="K225" s="49"/>
      <c r="L225" s="49"/>
      <c r="M225" s="49"/>
      <c r="N225" s="49"/>
      <c r="O225" s="49"/>
    </row>
    <row r="226" spans="8:15" ht="14.25" customHeight="1" x14ac:dyDescent="0.25">
      <c r="H226" s="49"/>
      <c r="I226" s="49"/>
      <c r="J226" s="49"/>
      <c r="K226" s="49"/>
      <c r="L226" s="49"/>
      <c r="M226" s="49"/>
      <c r="N226" s="49"/>
      <c r="O226" s="49"/>
    </row>
    <row r="227" spans="8:15" ht="14.25" customHeight="1" x14ac:dyDescent="0.25">
      <c r="H227" s="49"/>
      <c r="I227" s="49"/>
      <c r="J227" s="49"/>
      <c r="K227" s="49"/>
      <c r="L227" s="49"/>
      <c r="M227" s="49"/>
      <c r="N227" s="49"/>
      <c r="O227" s="49"/>
    </row>
    <row r="228" spans="8:15" ht="14.25" customHeight="1" x14ac:dyDescent="0.25">
      <c r="H228" s="49"/>
      <c r="I228" s="49"/>
      <c r="J228" s="49"/>
      <c r="K228" s="49"/>
      <c r="L228" s="49"/>
      <c r="M228" s="49"/>
      <c r="N228" s="49"/>
      <c r="O228" s="49"/>
    </row>
    <row r="229" spans="8:15" ht="14.25" customHeight="1" x14ac:dyDescent="0.25">
      <c r="H229" s="49"/>
      <c r="I229" s="49"/>
      <c r="J229" s="49"/>
      <c r="K229" s="49"/>
      <c r="L229" s="49"/>
      <c r="M229" s="49"/>
      <c r="N229" s="49"/>
      <c r="O229" s="49"/>
    </row>
    <row r="230" spans="8:15" ht="14.25" customHeight="1" x14ac:dyDescent="0.25">
      <c r="H230" s="49"/>
      <c r="I230" s="49"/>
      <c r="J230" s="49"/>
      <c r="K230" s="49"/>
      <c r="L230" s="49"/>
      <c r="M230" s="49"/>
      <c r="N230" s="49"/>
      <c r="O230" s="49"/>
    </row>
    <row r="231" spans="8:15" ht="14.25" customHeight="1" x14ac:dyDescent="0.25">
      <c r="H231" s="49"/>
      <c r="I231" s="49"/>
      <c r="J231" s="49"/>
      <c r="K231" s="49"/>
      <c r="L231" s="49"/>
      <c r="M231" s="49"/>
      <c r="N231" s="49"/>
      <c r="O231" s="49"/>
    </row>
    <row r="232" spans="8:15" ht="14.25" customHeight="1" x14ac:dyDescent="0.25">
      <c r="H232" s="49"/>
      <c r="I232" s="49"/>
      <c r="J232" s="49"/>
      <c r="K232" s="49"/>
      <c r="L232" s="49"/>
      <c r="M232" s="49"/>
      <c r="N232" s="49"/>
      <c r="O232" s="49"/>
    </row>
    <row r="233" spans="8:15" ht="14.25" customHeight="1" x14ac:dyDescent="0.25">
      <c r="H233" s="49"/>
      <c r="I233" s="49"/>
      <c r="J233" s="49"/>
      <c r="K233" s="49"/>
      <c r="L233" s="49"/>
      <c r="M233" s="49"/>
      <c r="N233" s="49"/>
      <c r="O233" s="49"/>
    </row>
    <row r="234" spans="8:15" ht="14.25" customHeight="1" x14ac:dyDescent="0.25">
      <c r="H234" s="49"/>
      <c r="I234" s="49"/>
      <c r="J234" s="49"/>
      <c r="K234" s="49"/>
      <c r="L234" s="49"/>
      <c r="M234" s="49"/>
      <c r="N234" s="49"/>
      <c r="O234" s="49"/>
    </row>
    <row r="235" spans="8:15" ht="14.25" customHeight="1" x14ac:dyDescent="0.25">
      <c r="H235" s="49"/>
      <c r="I235" s="49"/>
      <c r="J235" s="49"/>
      <c r="K235" s="49"/>
      <c r="L235" s="49"/>
      <c r="M235" s="49"/>
      <c r="N235" s="49"/>
      <c r="O235" s="49"/>
    </row>
    <row r="236" spans="8:15" ht="14.25" customHeight="1" x14ac:dyDescent="0.25">
      <c r="H236" s="49"/>
      <c r="I236" s="49"/>
      <c r="J236" s="49"/>
      <c r="K236" s="49"/>
      <c r="L236" s="49"/>
      <c r="M236" s="49"/>
      <c r="N236" s="49"/>
      <c r="O236" s="49"/>
    </row>
    <row r="237" spans="8:15" ht="14.25" customHeight="1" x14ac:dyDescent="0.25">
      <c r="H237" s="49"/>
      <c r="I237" s="49"/>
      <c r="J237" s="49"/>
      <c r="K237" s="49"/>
      <c r="L237" s="49"/>
      <c r="M237" s="49"/>
      <c r="N237" s="49"/>
      <c r="O237" s="49"/>
    </row>
    <row r="238" spans="8:15" ht="14.25" customHeight="1" x14ac:dyDescent="0.25">
      <c r="H238" s="49"/>
      <c r="I238" s="49"/>
      <c r="J238" s="49"/>
      <c r="K238" s="49"/>
      <c r="L238" s="49"/>
      <c r="M238" s="49"/>
      <c r="N238" s="49"/>
      <c r="O238" s="49"/>
    </row>
    <row r="239" spans="8:15" ht="14.25" customHeight="1" x14ac:dyDescent="0.25">
      <c r="H239" s="49"/>
      <c r="I239" s="49"/>
      <c r="J239" s="49"/>
      <c r="K239" s="49"/>
      <c r="L239" s="49"/>
      <c r="M239" s="49"/>
      <c r="N239" s="49"/>
      <c r="O239" s="49"/>
    </row>
    <row r="240" spans="8:15" ht="14.25" customHeight="1" x14ac:dyDescent="0.25">
      <c r="H240" s="49"/>
      <c r="I240" s="49"/>
      <c r="J240" s="49"/>
      <c r="K240" s="49"/>
      <c r="L240" s="49"/>
      <c r="M240" s="49"/>
      <c r="N240" s="49"/>
      <c r="O240" s="49"/>
    </row>
    <row r="241" spans="8:15" ht="14.25" customHeight="1" x14ac:dyDescent="0.25">
      <c r="H241" s="49"/>
      <c r="I241" s="49"/>
      <c r="J241" s="49"/>
      <c r="K241" s="49"/>
      <c r="L241" s="49"/>
      <c r="M241" s="49"/>
      <c r="N241" s="49"/>
      <c r="O241" s="49"/>
    </row>
    <row r="242" spans="8:15" ht="14.25" customHeight="1" x14ac:dyDescent="0.25">
      <c r="H242" s="49"/>
      <c r="I242" s="49"/>
      <c r="J242" s="49"/>
      <c r="K242" s="49"/>
      <c r="L242" s="49"/>
      <c r="M242" s="49"/>
      <c r="N242" s="49"/>
      <c r="O242" s="49"/>
    </row>
    <row r="243" spans="8:15" ht="14.25" customHeight="1" x14ac:dyDescent="0.25">
      <c r="H243" s="49"/>
      <c r="I243" s="49"/>
      <c r="J243" s="49"/>
      <c r="K243" s="49"/>
      <c r="L243" s="49"/>
      <c r="M243" s="49"/>
      <c r="N243" s="49"/>
      <c r="O243" s="49"/>
    </row>
    <row r="244" spans="8:15" ht="14.25" customHeight="1" x14ac:dyDescent="0.25">
      <c r="H244" s="49"/>
      <c r="I244" s="49"/>
      <c r="J244" s="49"/>
      <c r="K244" s="49"/>
      <c r="L244" s="49"/>
      <c r="M244" s="49"/>
      <c r="N244" s="49"/>
      <c r="O244" s="49"/>
    </row>
    <row r="245" spans="8:15" ht="14.25" customHeight="1" x14ac:dyDescent="0.25">
      <c r="H245" s="49"/>
      <c r="I245" s="49"/>
      <c r="J245" s="49"/>
      <c r="K245" s="49"/>
      <c r="L245" s="49"/>
      <c r="M245" s="49"/>
      <c r="N245" s="49"/>
      <c r="O245" s="49"/>
    </row>
    <row r="246" spans="8:15" ht="14.25" customHeight="1" x14ac:dyDescent="0.25">
      <c r="H246" s="49"/>
      <c r="I246" s="49"/>
      <c r="J246" s="49"/>
      <c r="K246" s="49"/>
      <c r="L246" s="49"/>
      <c r="M246" s="49"/>
      <c r="N246" s="49"/>
      <c r="O246" s="49"/>
    </row>
    <row r="247" spans="8:15" ht="14.25" customHeight="1" x14ac:dyDescent="0.25">
      <c r="H247" s="49"/>
      <c r="I247" s="49"/>
      <c r="J247" s="49"/>
      <c r="K247" s="49"/>
      <c r="L247" s="49"/>
      <c r="M247" s="49"/>
      <c r="N247" s="49"/>
      <c r="O247" s="49"/>
    </row>
    <row r="248" spans="8:15" ht="14.25" customHeight="1" x14ac:dyDescent="0.25">
      <c r="H248" s="49"/>
      <c r="I248" s="49"/>
      <c r="J248" s="49"/>
      <c r="K248" s="49"/>
      <c r="L248" s="49"/>
      <c r="M248" s="49"/>
      <c r="N248" s="49"/>
      <c r="O248" s="49"/>
    </row>
    <row r="249" spans="8:15" ht="14.25" customHeight="1" x14ac:dyDescent="0.25">
      <c r="H249" s="49"/>
      <c r="I249" s="49"/>
      <c r="J249" s="49"/>
      <c r="K249" s="49"/>
      <c r="L249" s="49"/>
      <c r="M249" s="49"/>
      <c r="N249" s="49"/>
      <c r="O249" s="49"/>
    </row>
    <row r="250" spans="8:15" ht="14.25" customHeight="1" x14ac:dyDescent="0.25">
      <c r="H250" s="49"/>
      <c r="I250" s="49"/>
      <c r="J250" s="49"/>
      <c r="K250" s="49"/>
      <c r="L250" s="49"/>
      <c r="M250" s="49"/>
      <c r="N250" s="49"/>
      <c r="O250" s="49"/>
    </row>
    <row r="251" spans="8:15" ht="14.25" customHeight="1" x14ac:dyDescent="0.25">
      <c r="H251" s="49"/>
      <c r="I251" s="49"/>
      <c r="J251" s="49"/>
      <c r="K251" s="49"/>
      <c r="L251" s="49"/>
      <c r="M251" s="49"/>
      <c r="N251" s="49"/>
      <c r="O251" s="49"/>
    </row>
    <row r="252" spans="8:15" ht="14.25" customHeight="1" x14ac:dyDescent="0.25">
      <c r="H252" s="49"/>
      <c r="I252" s="49"/>
      <c r="J252" s="49"/>
      <c r="K252" s="49"/>
      <c r="L252" s="49"/>
      <c r="M252" s="49"/>
      <c r="N252" s="49"/>
      <c r="O252" s="49"/>
    </row>
    <row r="253" spans="8:15" ht="14.25" customHeight="1" x14ac:dyDescent="0.25">
      <c r="H253" s="49"/>
      <c r="I253" s="49"/>
      <c r="J253" s="49"/>
      <c r="K253" s="49"/>
      <c r="L253" s="49"/>
      <c r="M253" s="49"/>
      <c r="N253" s="49"/>
      <c r="O253" s="49"/>
    </row>
    <row r="254" spans="8:15" ht="14.25" customHeight="1" x14ac:dyDescent="0.25">
      <c r="H254" s="49"/>
      <c r="I254" s="49"/>
      <c r="J254" s="49"/>
      <c r="K254" s="49"/>
      <c r="L254" s="49"/>
      <c r="M254" s="49"/>
      <c r="N254" s="49"/>
      <c r="O254" s="49"/>
    </row>
    <row r="255" spans="8:15" ht="14.25" customHeight="1" x14ac:dyDescent="0.25">
      <c r="H255" s="49"/>
      <c r="I255" s="49"/>
      <c r="J255" s="49"/>
      <c r="K255" s="49"/>
      <c r="L255" s="49"/>
      <c r="M255" s="49"/>
      <c r="N255" s="49"/>
      <c r="O255" s="49"/>
    </row>
    <row r="256" spans="8:15" ht="14.25" customHeight="1" x14ac:dyDescent="0.25">
      <c r="H256" s="49"/>
      <c r="I256" s="49"/>
      <c r="J256" s="49"/>
      <c r="K256" s="49"/>
      <c r="L256" s="49"/>
      <c r="M256" s="49"/>
      <c r="N256" s="49"/>
      <c r="O256" s="49"/>
    </row>
    <row r="257" spans="8:15" ht="14.25" customHeight="1" x14ac:dyDescent="0.25">
      <c r="H257" s="49"/>
      <c r="I257" s="49"/>
      <c r="J257" s="49"/>
      <c r="K257" s="49"/>
      <c r="L257" s="49"/>
      <c r="M257" s="49"/>
      <c r="N257" s="49"/>
      <c r="O257" s="49"/>
    </row>
    <row r="258" spans="8:15" ht="14.25" customHeight="1" x14ac:dyDescent="0.25">
      <c r="H258" s="49"/>
      <c r="I258" s="49"/>
      <c r="J258" s="49"/>
      <c r="K258" s="49"/>
      <c r="L258" s="49"/>
      <c r="M258" s="49"/>
      <c r="N258" s="49"/>
      <c r="O258" s="49"/>
    </row>
    <row r="259" spans="8:15" ht="14.25" customHeight="1" x14ac:dyDescent="0.25">
      <c r="H259" s="49"/>
      <c r="I259" s="49"/>
      <c r="J259" s="49"/>
      <c r="K259" s="49"/>
      <c r="L259" s="49"/>
      <c r="M259" s="49"/>
      <c r="N259" s="49"/>
      <c r="O259" s="49"/>
    </row>
    <row r="260" spans="8:15" ht="14.25" customHeight="1" x14ac:dyDescent="0.25">
      <c r="H260" s="49"/>
      <c r="I260" s="49"/>
      <c r="J260" s="49"/>
      <c r="K260" s="49"/>
      <c r="L260" s="49"/>
      <c r="M260" s="49"/>
      <c r="N260" s="49"/>
      <c r="O260" s="49"/>
    </row>
    <row r="261" spans="8:15" ht="14.25" customHeight="1" x14ac:dyDescent="0.25">
      <c r="H261" s="49"/>
      <c r="I261" s="49"/>
      <c r="J261" s="49"/>
      <c r="K261" s="49"/>
      <c r="L261" s="49"/>
      <c r="M261" s="49"/>
      <c r="N261" s="49"/>
      <c r="O261" s="49"/>
    </row>
    <row r="262" spans="8:15" ht="14.25" customHeight="1" x14ac:dyDescent="0.25">
      <c r="H262" s="49"/>
      <c r="I262" s="49"/>
      <c r="J262" s="49"/>
      <c r="K262" s="49"/>
      <c r="L262" s="49"/>
      <c r="M262" s="49"/>
      <c r="N262" s="49"/>
      <c r="O262" s="49"/>
    </row>
    <row r="263" spans="8:15" ht="14.25" customHeight="1" x14ac:dyDescent="0.25">
      <c r="H263" s="49"/>
      <c r="I263" s="49"/>
      <c r="J263" s="49"/>
      <c r="K263" s="49"/>
      <c r="L263" s="49"/>
      <c r="M263" s="49"/>
      <c r="N263" s="49"/>
      <c r="O263" s="49"/>
    </row>
    <row r="264" spans="8:15" ht="14.25" customHeight="1" x14ac:dyDescent="0.25">
      <c r="H264" s="49"/>
      <c r="I264" s="49"/>
      <c r="J264" s="49"/>
      <c r="K264" s="49"/>
      <c r="L264" s="49"/>
      <c r="M264" s="49"/>
      <c r="N264" s="49"/>
      <c r="O264" s="49"/>
    </row>
    <row r="265" spans="8:15" ht="14.25" customHeight="1" x14ac:dyDescent="0.25">
      <c r="H265" s="49"/>
      <c r="I265" s="49"/>
      <c r="J265" s="49"/>
      <c r="K265" s="49"/>
      <c r="L265" s="49"/>
      <c r="M265" s="49"/>
      <c r="N265" s="49"/>
      <c r="O265" s="49"/>
    </row>
    <row r="266" spans="8:15" ht="14.25" customHeight="1" x14ac:dyDescent="0.25">
      <c r="H266" s="49"/>
      <c r="I266" s="49"/>
      <c r="J266" s="49"/>
      <c r="K266" s="49"/>
      <c r="L266" s="49"/>
      <c r="M266" s="49"/>
      <c r="N266" s="49"/>
      <c r="O266" s="49"/>
    </row>
    <row r="267" spans="8:15" ht="14.25" customHeight="1" x14ac:dyDescent="0.25">
      <c r="H267" s="49"/>
      <c r="I267" s="49"/>
      <c r="J267" s="49"/>
      <c r="K267" s="49"/>
      <c r="L267" s="49"/>
      <c r="M267" s="49"/>
      <c r="N267" s="49"/>
      <c r="O267" s="49"/>
    </row>
    <row r="268" spans="8:15" ht="14.25" customHeight="1" x14ac:dyDescent="0.25">
      <c r="H268" s="49"/>
      <c r="I268" s="49"/>
      <c r="J268" s="49"/>
      <c r="K268" s="49"/>
      <c r="L268" s="49"/>
      <c r="M268" s="49"/>
      <c r="N268" s="49"/>
      <c r="O268" s="49"/>
    </row>
    <row r="269" spans="8:15" ht="14.25" customHeight="1" x14ac:dyDescent="0.25">
      <c r="H269" s="49"/>
      <c r="I269" s="49"/>
      <c r="J269" s="49"/>
      <c r="K269" s="49"/>
      <c r="L269" s="49"/>
      <c r="M269" s="49"/>
      <c r="N269" s="49"/>
      <c r="O269" s="49"/>
    </row>
    <row r="270" spans="8:15" ht="14.25" customHeight="1" x14ac:dyDescent="0.25">
      <c r="H270" s="49"/>
      <c r="I270" s="49"/>
      <c r="J270" s="49"/>
      <c r="K270" s="49"/>
      <c r="L270" s="49"/>
      <c r="M270" s="49"/>
      <c r="N270" s="49"/>
      <c r="O270" s="49"/>
    </row>
    <row r="271" spans="8:15" ht="15.75" customHeight="1" x14ac:dyDescent="0.25"/>
    <row r="272" spans="8:15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8">
    <mergeCell ref="B66:B68"/>
    <mergeCell ref="J51:K51"/>
    <mergeCell ref="L51:M51"/>
    <mergeCell ref="N53:O53"/>
    <mergeCell ref="N55:O55"/>
    <mergeCell ref="H66:I66"/>
    <mergeCell ref="H68:I68"/>
    <mergeCell ref="D35:D39"/>
    <mergeCell ref="B46:B51"/>
    <mergeCell ref="D46:D51"/>
    <mergeCell ref="F46:F51"/>
    <mergeCell ref="B53:B64"/>
    <mergeCell ref="H27:J27"/>
    <mergeCell ref="K29:L29"/>
    <mergeCell ref="J31:K31"/>
    <mergeCell ref="L31:N31"/>
    <mergeCell ref="D17:D23"/>
    <mergeCell ref="J46:K46"/>
    <mergeCell ref="L46:M46"/>
    <mergeCell ref="N46:O46"/>
    <mergeCell ref="J48:K48"/>
    <mergeCell ref="L48:M48"/>
    <mergeCell ref="H3:O3"/>
    <mergeCell ref="H5:K5"/>
    <mergeCell ref="L5:O5"/>
    <mergeCell ref="H9:O9"/>
    <mergeCell ref="B13:B43"/>
    <mergeCell ref="H13:K13"/>
    <mergeCell ref="L33:M33"/>
    <mergeCell ref="H39:J39"/>
    <mergeCell ref="H35:J35"/>
    <mergeCell ref="H37:J37"/>
    <mergeCell ref="H15:K15"/>
    <mergeCell ref="H17:J17"/>
    <mergeCell ref="H19:J19"/>
    <mergeCell ref="H21:I21"/>
    <mergeCell ref="D25:D33"/>
    <mergeCell ref="H25:I25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E1000"/>
  <sheetViews>
    <sheetView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10" defaultColWidth="14.42578125" defaultRowHeight="15" customHeight="1" x14ac:dyDescent="0.25"/>
  <cols>
    <col min="1" max="1" width="2.140625" customWidth="1"/>
    <col min="2" max="2" width="24.85546875" customWidth="1"/>
    <col min="3" max="3" width="1.28515625" customWidth="1"/>
    <col min="4" max="4" width="24.7109375" customWidth="1"/>
    <col min="5" max="5" width="1.28515625" customWidth="1"/>
    <col min="6" max="6" width="33.28515625" customWidth="1"/>
    <col min="7" max="7" width="3.140625" customWidth="1"/>
    <col min="8" max="15" width="43" customWidth="1"/>
    <col min="16" max="31" width="7.28515625" customWidth="1"/>
  </cols>
  <sheetData>
    <row r="1" spans="2:31" ht="14.25" customHeight="1" x14ac:dyDescent="0.25">
      <c r="H1" s="49"/>
      <c r="I1" s="49"/>
      <c r="J1" s="49"/>
      <c r="K1" s="49"/>
      <c r="L1" s="49"/>
      <c r="M1" s="49"/>
      <c r="N1" s="49"/>
      <c r="O1" s="49"/>
    </row>
    <row r="2" spans="2:31" ht="14.25" customHeight="1" x14ac:dyDescent="0.25">
      <c r="H2" s="49"/>
      <c r="I2" s="49"/>
      <c r="J2" s="49"/>
      <c r="K2" s="49"/>
      <c r="L2" s="49"/>
      <c r="M2" s="49"/>
      <c r="N2" s="49"/>
      <c r="O2" s="49"/>
    </row>
    <row r="3" spans="2:31" ht="49.5" customHeight="1" x14ac:dyDescent="0.25">
      <c r="H3" s="871">
        <v>2024</v>
      </c>
      <c r="I3" s="568"/>
      <c r="J3" s="568"/>
      <c r="K3" s="568"/>
      <c r="L3" s="568"/>
      <c r="M3" s="568"/>
      <c r="N3" s="568"/>
      <c r="O3" s="569"/>
    </row>
    <row r="4" spans="2:31" ht="6" customHeight="1" x14ac:dyDescent="0.25">
      <c r="H4" s="49"/>
      <c r="I4" s="49"/>
      <c r="J4" s="49"/>
      <c r="K4" s="49"/>
      <c r="L4" s="49"/>
      <c r="M4" s="49"/>
      <c r="N4" s="49"/>
      <c r="O4" s="49"/>
    </row>
    <row r="5" spans="2:31" ht="57.75" customHeight="1" x14ac:dyDescent="0.25">
      <c r="B5" s="11" t="s">
        <v>28</v>
      </c>
      <c r="C5" s="52"/>
      <c r="D5" s="11" t="s">
        <v>532</v>
      </c>
      <c r="E5" s="52"/>
      <c r="F5" s="11" t="s">
        <v>672</v>
      </c>
      <c r="G5" s="52"/>
      <c r="H5" s="399" t="s">
        <v>673</v>
      </c>
      <c r="I5" s="400"/>
      <c r="J5" s="400"/>
      <c r="K5" s="401"/>
      <c r="L5" s="872" t="s">
        <v>93</v>
      </c>
      <c r="M5" s="582"/>
      <c r="N5" s="582"/>
      <c r="O5" s="572"/>
    </row>
    <row r="6" spans="2:31" ht="6.75" customHeight="1" x14ac:dyDescent="0.25">
      <c r="B6" s="5"/>
      <c r="F6" s="5"/>
      <c r="H6" s="49"/>
      <c r="I6" s="49"/>
      <c r="J6" s="49"/>
      <c r="K6" s="49"/>
      <c r="L6" s="49"/>
      <c r="M6" s="49"/>
      <c r="N6" s="49"/>
      <c r="O6" s="49"/>
    </row>
    <row r="7" spans="2:31" ht="23.25" customHeight="1" x14ac:dyDescent="0.25">
      <c r="B7" s="5"/>
      <c r="F7" s="5"/>
      <c r="H7" s="167" t="s">
        <v>198</v>
      </c>
      <c r="I7" s="167" t="s">
        <v>199</v>
      </c>
      <c r="J7" s="167" t="s">
        <v>200</v>
      </c>
      <c r="K7" s="167" t="s">
        <v>201</v>
      </c>
      <c r="L7" s="167" t="s">
        <v>198</v>
      </c>
      <c r="M7" s="167" t="s">
        <v>199</v>
      </c>
      <c r="N7" s="167" t="s">
        <v>200</v>
      </c>
      <c r="O7" s="167" t="s">
        <v>201</v>
      </c>
    </row>
    <row r="8" spans="2:31" ht="10.5" customHeight="1" x14ac:dyDescent="0.25">
      <c r="B8" s="5"/>
      <c r="F8" s="5"/>
      <c r="H8" s="49"/>
      <c r="I8" s="49"/>
      <c r="J8" s="49"/>
      <c r="K8" s="49"/>
      <c r="L8" s="49"/>
      <c r="M8" s="49"/>
      <c r="N8" s="49"/>
      <c r="O8" s="49"/>
    </row>
    <row r="9" spans="2:31" ht="53.25" customHeight="1" x14ac:dyDescent="0.25">
      <c r="B9" s="5"/>
      <c r="D9" s="5"/>
      <c r="F9" s="5"/>
      <c r="H9" s="873" t="s">
        <v>674</v>
      </c>
      <c r="I9" s="568"/>
      <c r="J9" s="568"/>
      <c r="K9" s="568"/>
      <c r="L9" s="568"/>
      <c r="M9" s="568"/>
      <c r="N9" s="568"/>
      <c r="O9" s="569"/>
    </row>
    <row r="10" spans="2:31" ht="6.75" customHeight="1" x14ac:dyDescent="0.25">
      <c r="B10" s="5"/>
      <c r="F10" s="5"/>
      <c r="H10" s="49"/>
      <c r="I10" s="49"/>
      <c r="J10" s="49"/>
      <c r="K10" s="49"/>
      <c r="L10" s="49"/>
      <c r="M10" s="49"/>
      <c r="N10" s="49"/>
      <c r="O10" s="49"/>
    </row>
    <row r="11" spans="2:31" ht="24" customHeight="1" x14ac:dyDescent="0.25">
      <c r="B11" s="5"/>
      <c r="D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2:31" ht="6.75" customHeight="1" x14ac:dyDescent="0.25">
      <c r="B12" s="5"/>
      <c r="F12" s="5"/>
      <c r="H12" s="49"/>
      <c r="I12" s="49"/>
      <c r="J12" s="49"/>
      <c r="K12" s="49"/>
      <c r="L12" s="49"/>
      <c r="M12" s="49"/>
      <c r="N12" s="49"/>
      <c r="O12" s="5"/>
    </row>
    <row r="13" spans="2:31" ht="48" customHeight="1" x14ac:dyDescent="0.25">
      <c r="B13" s="874" t="s">
        <v>749</v>
      </c>
      <c r="D13" s="402" t="s">
        <v>676</v>
      </c>
      <c r="F13" s="403" t="s">
        <v>677</v>
      </c>
      <c r="H13" s="875" t="s">
        <v>678</v>
      </c>
      <c r="I13" s="610"/>
      <c r="J13" s="610"/>
      <c r="K13" s="610"/>
      <c r="L13" s="5"/>
      <c r="M13" s="5"/>
      <c r="N13" s="5"/>
      <c r="O13" s="5"/>
    </row>
    <row r="14" spans="2:31" ht="6" customHeight="1" x14ac:dyDescent="0.25">
      <c r="B14" s="714"/>
      <c r="D14" s="404"/>
      <c r="F14" s="405"/>
      <c r="H14" s="5"/>
      <c r="I14" s="5"/>
      <c r="J14" s="5"/>
      <c r="K14" s="5"/>
      <c r="L14" s="5"/>
      <c r="M14" s="5"/>
      <c r="N14" s="5"/>
      <c r="O14" s="5"/>
    </row>
    <row r="15" spans="2:31" ht="48" customHeight="1" x14ac:dyDescent="0.25">
      <c r="B15" s="714"/>
      <c r="D15" s="406" t="s">
        <v>679</v>
      </c>
      <c r="F15" s="403" t="s">
        <v>677</v>
      </c>
      <c r="H15" s="876" t="s">
        <v>750</v>
      </c>
      <c r="I15" s="582"/>
      <c r="J15" s="582"/>
      <c r="K15" s="589"/>
      <c r="L15" s="5"/>
      <c r="M15" s="5"/>
      <c r="N15" s="5"/>
      <c r="O15" s="5"/>
    </row>
    <row r="16" spans="2:31" ht="6" customHeight="1" x14ac:dyDescent="0.25">
      <c r="B16" s="714"/>
      <c r="D16" s="404"/>
      <c r="F16" s="405"/>
      <c r="H16" s="5"/>
      <c r="I16" s="5"/>
      <c r="J16" s="5"/>
      <c r="K16" s="5"/>
      <c r="L16" s="5"/>
      <c r="M16" s="5"/>
      <c r="N16" s="5"/>
      <c r="O16" s="5"/>
    </row>
    <row r="17" spans="2:15" ht="41.25" customHeight="1" x14ac:dyDescent="0.25">
      <c r="B17" s="714"/>
      <c r="D17" s="867" t="s">
        <v>681</v>
      </c>
      <c r="F17" s="403" t="s">
        <v>682</v>
      </c>
      <c r="H17" s="883" t="s">
        <v>751</v>
      </c>
      <c r="I17" s="582"/>
      <c r="J17" s="572"/>
      <c r="K17" s="5"/>
      <c r="L17" s="5"/>
      <c r="M17" s="5"/>
      <c r="N17" s="5"/>
      <c r="O17" s="5"/>
    </row>
    <row r="18" spans="2:15" ht="6" customHeight="1" x14ac:dyDescent="0.25">
      <c r="B18" s="714"/>
      <c r="D18" s="714"/>
      <c r="F18" s="403"/>
      <c r="H18" s="5"/>
      <c r="I18" s="5"/>
      <c r="J18" s="5"/>
      <c r="K18" s="5"/>
      <c r="L18" s="5"/>
      <c r="M18" s="5"/>
      <c r="N18" s="5"/>
      <c r="O18" s="5"/>
    </row>
    <row r="19" spans="2:15" ht="36" customHeight="1" x14ac:dyDescent="0.25">
      <c r="B19" s="714"/>
      <c r="D19" s="714"/>
      <c r="F19" s="403" t="s">
        <v>684</v>
      </c>
      <c r="H19" s="866" t="s">
        <v>752</v>
      </c>
      <c r="I19" s="582"/>
      <c r="J19" s="572"/>
      <c r="K19" s="5"/>
      <c r="L19" s="5"/>
      <c r="M19" s="5"/>
      <c r="N19" s="5"/>
      <c r="O19" s="5"/>
    </row>
    <row r="20" spans="2:15" ht="6" customHeight="1" x14ac:dyDescent="0.25">
      <c r="B20" s="714"/>
      <c r="D20" s="714"/>
      <c r="F20" s="403"/>
      <c r="H20" s="5"/>
      <c r="I20" s="5"/>
      <c r="J20" s="5"/>
      <c r="K20" s="5"/>
      <c r="L20" s="5"/>
      <c r="M20" s="5"/>
      <c r="N20" s="5"/>
      <c r="O20" s="5"/>
    </row>
    <row r="21" spans="2:15" ht="36" customHeight="1" x14ac:dyDescent="0.25">
      <c r="B21" s="714"/>
      <c r="D21" s="714"/>
      <c r="F21" s="403" t="s">
        <v>686</v>
      </c>
      <c r="H21" s="877" t="s">
        <v>753</v>
      </c>
      <c r="I21" s="572"/>
      <c r="J21" s="5"/>
      <c r="K21" s="5"/>
      <c r="L21" s="5"/>
      <c r="M21" s="5"/>
      <c r="N21" s="5"/>
      <c r="O21" s="5"/>
    </row>
    <row r="22" spans="2:15" ht="6" customHeight="1" x14ac:dyDescent="0.25">
      <c r="B22" s="714"/>
      <c r="D22" s="714"/>
      <c r="F22" s="403"/>
      <c r="H22" s="5"/>
      <c r="I22" s="5"/>
      <c r="J22" s="5"/>
      <c r="K22" s="5"/>
      <c r="L22" s="5"/>
      <c r="M22" s="5"/>
      <c r="N22" s="5"/>
      <c r="O22" s="5"/>
    </row>
    <row r="23" spans="2:15" ht="37.5" customHeight="1" x14ac:dyDescent="0.25">
      <c r="B23" s="714"/>
      <c r="D23" s="678"/>
      <c r="F23" s="403" t="s">
        <v>688</v>
      </c>
      <c r="H23" s="407" t="s">
        <v>754</v>
      </c>
      <c r="I23" s="5"/>
      <c r="J23" s="5"/>
      <c r="K23" s="5"/>
      <c r="L23" s="5"/>
      <c r="M23" s="5"/>
      <c r="N23" s="5"/>
      <c r="O23" s="5"/>
    </row>
    <row r="24" spans="2:15" ht="6" customHeight="1" x14ac:dyDescent="0.25">
      <c r="B24" s="714"/>
      <c r="D24" s="404"/>
      <c r="H24" s="5"/>
      <c r="I24" s="5"/>
      <c r="J24" s="5"/>
      <c r="K24" s="5"/>
      <c r="L24" s="5"/>
      <c r="M24" s="5"/>
      <c r="N24" s="5"/>
      <c r="O24" s="5"/>
    </row>
    <row r="25" spans="2:15" ht="41.25" customHeight="1" x14ac:dyDescent="0.25">
      <c r="B25" s="714"/>
      <c r="D25" s="868" t="s">
        <v>690</v>
      </c>
      <c r="F25" s="403" t="s">
        <v>682</v>
      </c>
      <c r="H25" s="869" t="s">
        <v>691</v>
      </c>
      <c r="I25" s="572"/>
      <c r="J25" s="5"/>
      <c r="K25" s="5"/>
      <c r="L25" s="5"/>
      <c r="M25" s="5"/>
      <c r="N25" s="5"/>
      <c r="O25" s="5"/>
    </row>
    <row r="26" spans="2:15" ht="6" customHeight="1" x14ac:dyDescent="0.25">
      <c r="B26" s="714"/>
      <c r="D26" s="714"/>
      <c r="F26" s="403"/>
      <c r="H26" s="5"/>
      <c r="I26" s="5"/>
      <c r="J26" s="5"/>
      <c r="K26" s="5"/>
      <c r="L26" s="5"/>
      <c r="M26" s="5"/>
      <c r="N26" s="5"/>
      <c r="O26" s="5"/>
    </row>
    <row r="27" spans="2:15" ht="41.25" customHeight="1" x14ac:dyDescent="0.25">
      <c r="B27" s="714"/>
      <c r="D27" s="714"/>
      <c r="F27" s="403" t="s">
        <v>688</v>
      </c>
      <c r="H27" s="870" t="s">
        <v>755</v>
      </c>
      <c r="I27" s="582"/>
      <c r="J27" s="572"/>
      <c r="K27" s="5"/>
      <c r="L27" s="5"/>
      <c r="M27" s="5"/>
      <c r="N27" s="5"/>
      <c r="O27" s="5"/>
    </row>
    <row r="28" spans="2:15" ht="6" customHeight="1" x14ac:dyDescent="0.25">
      <c r="B28" s="714"/>
      <c r="D28" s="714"/>
      <c r="F28" s="403"/>
      <c r="H28" s="5"/>
      <c r="I28" s="5"/>
      <c r="J28" s="5"/>
      <c r="K28" s="5"/>
      <c r="L28" s="5"/>
      <c r="M28" s="5"/>
      <c r="N28" s="5"/>
      <c r="O28" s="5"/>
    </row>
    <row r="29" spans="2:15" ht="41.25" customHeight="1" x14ac:dyDescent="0.25">
      <c r="B29" s="714"/>
      <c r="D29" s="714"/>
      <c r="F29" s="403" t="s">
        <v>682</v>
      </c>
      <c r="H29" s="5"/>
      <c r="K29" s="878" t="s">
        <v>756</v>
      </c>
      <c r="L29" s="572"/>
      <c r="M29" s="5"/>
      <c r="N29" s="5"/>
      <c r="O29" s="5"/>
    </row>
    <row r="30" spans="2:15" ht="6" customHeight="1" x14ac:dyDescent="0.25">
      <c r="B30" s="714"/>
      <c r="D30" s="714"/>
      <c r="F30" s="403"/>
      <c r="H30" s="5"/>
      <c r="I30" s="5"/>
      <c r="J30" s="5"/>
      <c r="K30" s="5"/>
      <c r="L30" s="5"/>
      <c r="M30" s="5"/>
      <c r="N30" s="5"/>
      <c r="O30" s="5"/>
    </row>
    <row r="31" spans="2:15" ht="41.25" customHeight="1" x14ac:dyDescent="0.25">
      <c r="B31" s="714"/>
      <c r="D31" s="714"/>
      <c r="F31" s="403" t="s">
        <v>694</v>
      </c>
      <c r="H31" s="5"/>
      <c r="I31" s="5"/>
      <c r="J31" s="879" t="s">
        <v>757</v>
      </c>
      <c r="K31" s="572"/>
      <c r="L31" s="880" t="s">
        <v>696</v>
      </c>
      <c r="M31" s="582"/>
      <c r="N31" s="572"/>
      <c r="O31" s="5"/>
    </row>
    <row r="32" spans="2:15" ht="6" customHeight="1" x14ac:dyDescent="0.25">
      <c r="B32" s="714"/>
      <c r="D32" s="714"/>
      <c r="F32" s="403"/>
      <c r="H32" s="5"/>
      <c r="I32" s="5"/>
      <c r="J32" s="5"/>
      <c r="K32" s="5"/>
      <c r="L32" s="5"/>
      <c r="M32" s="5" t="s">
        <v>697</v>
      </c>
      <c r="N32" s="5"/>
      <c r="O32" s="5"/>
    </row>
    <row r="33" spans="2:15" ht="41.25" customHeight="1" x14ac:dyDescent="0.25">
      <c r="B33" s="714"/>
      <c r="D33" s="678"/>
      <c r="F33" s="403" t="s">
        <v>694</v>
      </c>
      <c r="H33" s="5"/>
      <c r="J33" s="408" t="s">
        <v>698</v>
      </c>
      <c r="K33" s="5"/>
      <c r="L33" s="880" t="s">
        <v>699</v>
      </c>
      <c r="M33" s="572"/>
      <c r="N33" s="5"/>
      <c r="O33" s="5"/>
    </row>
    <row r="34" spans="2:15" ht="6" customHeight="1" x14ac:dyDescent="0.25">
      <c r="B34" s="714"/>
      <c r="D34" s="404"/>
      <c r="F34" s="403"/>
      <c r="H34" s="5"/>
      <c r="I34" s="5"/>
      <c r="J34" s="5"/>
      <c r="K34" s="5"/>
      <c r="L34" s="5"/>
      <c r="M34" s="5"/>
      <c r="N34" s="5"/>
      <c r="O34" s="5"/>
    </row>
    <row r="35" spans="2:15" ht="38.25" customHeight="1" x14ac:dyDescent="0.25">
      <c r="B35" s="714"/>
      <c r="D35" s="881" t="s">
        <v>700</v>
      </c>
      <c r="F35" s="403" t="s">
        <v>701</v>
      </c>
      <c r="H35" s="882" t="s">
        <v>702</v>
      </c>
      <c r="I35" s="582"/>
      <c r="J35" s="572"/>
      <c r="K35" s="5"/>
      <c r="L35" s="5"/>
      <c r="M35" s="5"/>
      <c r="N35" s="5"/>
      <c r="O35" s="5"/>
    </row>
    <row r="36" spans="2:15" ht="6" customHeight="1" x14ac:dyDescent="0.25">
      <c r="B36" s="714"/>
      <c r="D36" s="714"/>
      <c r="F36" s="409"/>
      <c r="H36" s="5"/>
      <c r="I36" s="5"/>
      <c r="J36" s="5"/>
      <c r="K36" s="5"/>
      <c r="L36" s="5"/>
      <c r="M36" s="5"/>
      <c r="N36" s="5"/>
      <c r="O36" s="5"/>
    </row>
    <row r="37" spans="2:15" ht="38.25" customHeight="1" x14ac:dyDescent="0.25">
      <c r="B37" s="714"/>
      <c r="D37" s="714"/>
      <c r="F37" s="403" t="s">
        <v>701</v>
      </c>
      <c r="H37" s="882" t="s">
        <v>703</v>
      </c>
      <c r="I37" s="582"/>
      <c r="J37" s="572"/>
      <c r="K37" s="5"/>
      <c r="L37" s="5"/>
      <c r="M37" s="5"/>
      <c r="N37" s="5"/>
      <c r="O37" s="5"/>
    </row>
    <row r="38" spans="2:15" ht="6" customHeight="1" x14ac:dyDescent="0.25">
      <c r="B38" s="714"/>
      <c r="D38" s="714"/>
      <c r="F38" s="409"/>
      <c r="H38" s="5"/>
      <c r="I38" s="5"/>
      <c r="J38" s="5"/>
      <c r="K38" s="5"/>
      <c r="L38" s="5"/>
      <c r="M38" s="5"/>
      <c r="N38" s="5"/>
      <c r="O38" s="5"/>
    </row>
    <row r="39" spans="2:15" ht="38.25" customHeight="1" x14ac:dyDescent="0.25">
      <c r="B39" s="714"/>
      <c r="D39" s="678"/>
      <c r="F39" s="403" t="s">
        <v>701</v>
      </c>
      <c r="H39" s="882" t="s">
        <v>704</v>
      </c>
      <c r="I39" s="582"/>
      <c r="J39" s="572"/>
      <c r="K39" s="5"/>
      <c r="L39" s="5"/>
      <c r="M39" s="5"/>
      <c r="N39" s="5"/>
      <c r="O39" s="5"/>
    </row>
    <row r="40" spans="2:15" ht="6" customHeight="1" x14ac:dyDescent="0.25">
      <c r="B40" s="714"/>
      <c r="D40" s="404"/>
      <c r="F40" s="405"/>
      <c r="H40" s="5"/>
      <c r="I40" s="5"/>
      <c r="J40" s="5"/>
      <c r="K40" s="5"/>
      <c r="L40" s="5"/>
      <c r="M40" s="5"/>
      <c r="N40" s="5"/>
      <c r="O40" s="5"/>
    </row>
    <row r="41" spans="2:15" ht="51" customHeight="1" x14ac:dyDescent="0.25">
      <c r="B41" s="714"/>
      <c r="D41" s="410" t="s">
        <v>705</v>
      </c>
      <c r="F41" s="403"/>
      <c r="H41" s="5"/>
      <c r="I41" s="5"/>
      <c r="J41" s="5"/>
      <c r="K41" s="5"/>
      <c r="L41" s="5"/>
      <c r="M41" s="5"/>
      <c r="N41" s="5"/>
      <c r="O41" s="5"/>
    </row>
    <row r="42" spans="2:15" ht="15" customHeight="1" x14ac:dyDescent="0.25">
      <c r="B42" s="714"/>
      <c r="H42" s="49"/>
      <c r="I42" s="49"/>
      <c r="J42" s="49"/>
      <c r="K42" s="49"/>
      <c r="L42" s="49"/>
      <c r="M42" s="49"/>
      <c r="N42" s="49"/>
      <c r="O42" s="5"/>
    </row>
    <row r="43" spans="2:15" ht="51" customHeight="1" x14ac:dyDescent="0.25">
      <c r="B43" s="678"/>
      <c r="D43" s="411" t="s">
        <v>706</v>
      </c>
      <c r="F43" s="403"/>
      <c r="H43" s="5"/>
      <c r="I43" s="5"/>
      <c r="J43" s="5"/>
      <c r="K43" s="5"/>
      <c r="L43" s="5"/>
      <c r="M43" s="5"/>
      <c r="N43" s="5"/>
      <c r="O43" s="5"/>
    </row>
    <row r="44" spans="2:15" ht="14.25" customHeight="1" x14ac:dyDescent="0.25">
      <c r="H44" s="49"/>
      <c r="I44" s="49"/>
      <c r="J44" s="49"/>
      <c r="K44" s="49"/>
      <c r="L44" s="49"/>
      <c r="M44" s="49"/>
      <c r="N44" s="49"/>
      <c r="O44" s="5"/>
    </row>
    <row r="45" spans="2:15" ht="14.25" customHeight="1" x14ac:dyDescent="0.25">
      <c r="H45" s="49"/>
      <c r="I45" s="49"/>
      <c r="J45" s="49"/>
      <c r="K45" s="49"/>
      <c r="L45" s="49"/>
      <c r="M45" s="49"/>
      <c r="N45" s="49"/>
      <c r="O45" s="5"/>
    </row>
    <row r="46" spans="2:15" ht="14.25" customHeight="1" x14ac:dyDescent="0.25">
      <c r="H46" s="49"/>
      <c r="I46" s="49"/>
      <c r="J46" s="49"/>
      <c r="K46" s="49"/>
      <c r="L46" s="49"/>
      <c r="M46" s="49"/>
      <c r="N46" s="49"/>
      <c r="O46" s="49"/>
    </row>
    <row r="47" spans="2:15" ht="14.25" customHeight="1" x14ac:dyDescent="0.25">
      <c r="H47" s="49"/>
      <c r="I47" s="49"/>
      <c r="J47" s="49"/>
      <c r="K47" s="49"/>
      <c r="L47" s="49"/>
      <c r="M47" s="49"/>
      <c r="N47" s="49"/>
      <c r="O47" s="49"/>
    </row>
    <row r="48" spans="2:15" ht="14.25" customHeight="1" x14ac:dyDescent="0.25">
      <c r="H48" s="49"/>
      <c r="I48" s="49"/>
      <c r="J48" s="49"/>
      <c r="K48" s="49"/>
      <c r="L48" s="49"/>
      <c r="M48" s="49"/>
      <c r="N48" s="49"/>
      <c r="O48" s="49"/>
    </row>
    <row r="49" spans="8:15" ht="14.25" customHeight="1" x14ac:dyDescent="0.25">
      <c r="H49" s="49"/>
      <c r="I49" s="49"/>
      <c r="J49" s="49"/>
      <c r="K49" s="49"/>
      <c r="L49" s="49"/>
      <c r="M49" s="49"/>
      <c r="N49" s="49"/>
      <c r="O49" s="49"/>
    </row>
    <row r="50" spans="8:15" ht="14.25" customHeight="1" x14ac:dyDescent="0.25">
      <c r="H50" s="49"/>
      <c r="I50" s="49"/>
      <c r="J50" s="49"/>
      <c r="K50" s="49"/>
      <c r="L50" s="49"/>
      <c r="M50" s="49"/>
      <c r="N50" s="49"/>
      <c r="O50" s="49"/>
    </row>
    <row r="51" spans="8:15" ht="14.25" customHeight="1" x14ac:dyDescent="0.25">
      <c r="H51" s="49"/>
      <c r="I51" s="49"/>
      <c r="J51" s="49"/>
      <c r="K51" s="49"/>
      <c r="L51" s="49"/>
      <c r="M51" s="49"/>
      <c r="N51" s="49"/>
      <c r="O51" s="49"/>
    </row>
    <row r="52" spans="8:15" ht="14.25" customHeight="1" x14ac:dyDescent="0.25">
      <c r="H52" s="49"/>
      <c r="I52" s="49"/>
      <c r="J52" s="49"/>
      <c r="K52" s="49"/>
      <c r="L52" s="49"/>
      <c r="M52" s="49"/>
      <c r="N52" s="49"/>
      <c r="O52" s="49"/>
    </row>
    <row r="53" spans="8:15" ht="14.25" customHeight="1" x14ac:dyDescent="0.25">
      <c r="H53" s="49"/>
      <c r="I53" s="49"/>
      <c r="J53" s="49"/>
      <c r="K53" s="49"/>
      <c r="L53" s="49"/>
      <c r="M53" s="49"/>
      <c r="N53" s="49"/>
      <c r="O53" s="49"/>
    </row>
    <row r="54" spans="8:15" ht="14.25" customHeight="1" x14ac:dyDescent="0.25">
      <c r="H54" s="49"/>
      <c r="I54" s="49"/>
      <c r="J54" s="49"/>
      <c r="K54" s="49"/>
      <c r="L54" s="49"/>
      <c r="M54" s="49"/>
      <c r="N54" s="49"/>
      <c r="O54" s="49"/>
    </row>
    <row r="55" spans="8:15" ht="14.25" customHeight="1" x14ac:dyDescent="0.25">
      <c r="H55" s="49"/>
      <c r="I55" s="49"/>
      <c r="J55" s="49"/>
      <c r="K55" s="49"/>
      <c r="L55" s="49"/>
      <c r="M55" s="49"/>
      <c r="N55" s="49"/>
      <c r="O55" s="49"/>
    </row>
    <row r="56" spans="8:15" ht="14.25" customHeight="1" x14ac:dyDescent="0.25">
      <c r="H56" s="49"/>
      <c r="I56" s="49"/>
      <c r="J56" s="49"/>
      <c r="K56" s="49"/>
      <c r="L56" s="49"/>
      <c r="M56" s="49"/>
      <c r="N56" s="49"/>
      <c r="O56" s="49"/>
    </row>
    <row r="57" spans="8:15" ht="14.25" customHeight="1" x14ac:dyDescent="0.25">
      <c r="H57" s="49"/>
      <c r="I57" s="49"/>
      <c r="J57" s="49"/>
      <c r="K57" s="49"/>
      <c r="L57" s="49"/>
      <c r="M57" s="49"/>
      <c r="N57" s="49"/>
      <c r="O57" s="49"/>
    </row>
    <row r="58" spans="8:15" ht="14.25" customHeight="1" x14ac:dyDescent="0.25">
      <c r="H58" s="49"/>
      <c r="I58" s="49"/>
      <c r="J58" s="49"/>
      <c r="K58" s="49"/>
      <c r="L58" s="49"/>
      <c r="M58" s="49"/>
      <c r="N58" s="49"/>
      <c r="O58" s="49"/>
    </row>
    <row r="59" spans="8:15" ht="14.25" customHeight="1" x14ac:dyDescent="0.25">
      <c r="H59" s="49"/>
      <c r="I59" s="49"/>
      <c r="J59" s="49"/>
      <c r="K59" s="49"/>
      <c r="L59" s="49"/>
      <c r="M59" s="49"/>
      <c r="N59" s="49"/>
      <c r="O59" s="49"/>
    </row>
    <row r="60" spans="8:15" ht="14.25" customHeight="1" x14ac:dyDescent="0.25">
      <c r="H60" s="49"/>
      <c r="I60" s="49"/>
      <c r="J60" s="49"/>
      <c r="K60" s="49"/>
      <c r="L60" s="49"/>
      <c r="M60" s="49"/>
      <c r="N60" s="49"/>
      <c r="O60" s="49"/>
    </row>
    <row r="61" spans="8:15" ht="14.25" customHeight="1" x14ac:dyDescent="0.25">
      <c r="H61" s="49"/>
      <c r="I61" s="49"/>
      <c r="J61" s="49"/>
      <c r="K61" s="49"/>
      <c r="L61" s="49"/>
      <c r="M61" s="49"/>
      <c r="N61" s="49"/>
      <c r="O61" s="49"/>
    </row>
    <row r="62" spans="8:15" ht="14.25" customHeight="1" x14ac:dyDescent="0.25">
      <c r="H62" s="49"/>
      <c r="I62" s="49"/>
      <c r="J62" s="49"/>
      <c r="K62" s="49"/>
      <c r="L62" s="49"/>
      <c r="M62" s="49"/>
      <c r="N62" s="49"/>
      <c r="O62" s="49"/>
    </row>
    <row r="63" spans="8:15" ht="14.25" customHeight="1" x14ac:dyDescent="0.25">
      <c r="H63" s="49"/>
      <c r="I63" s="49"/>
      <c r="J63" s="49"/>
      <c r="K63" s="49"/>
      <c r="L63" s="49"/>
      <c r="M63" s="49"/>
      <c r="N63" s="49"/>
      <c r="O63" s="49"/>
    </row>
    <row r="64" spans="8:15" ht="14.25" customHeight="1" x14ac:dyDescent="0.25">
      <c r="H64" s="49"/>
      <c r="I64" s="49"/>
      <c r="J64" s="49"/>
      <c r="K64" s="49"/>
      <c r="L64" s="49"/>
      <c r="M64" s="49"/>
      <c r="N64" s="49"/>
      <c r="O64" s="49"/>
    </row>
    <row r="65" spans="8:15" ht="14.25" customHeight="1" x14ac:dyDescent="0.25">
      <c r="H65" s="49"/>
      <c r="I65" s="49"/>
      <c r="J65" s="49"/>
      <c r="K65" s="49"/>
      <c r="L65" s="49"/>
      <c r="M65" s="49"/>
      <c r="N65" s="49"/>
      <c r="O65" s="49"/>
    </row>
    <row r="66" spans="8:15" ht="14.25" customHeight="1" x14ac:dyDescent="0.25">
      <c r="H66" s="49"/>
      <c r="I66" s="49"/>
      <c r="J66" s="49"/>
      <c r="K66" s="49"/>
      <c r="L66" s="49"/>
      <c r="M66" s="49"/>
      <c r="N66" s="49"/>
      <c r="O66" s="49"/>
    </row>
    <row r="67" spans="8:15" ht="14.25" customHeight="1" x14ac:dyDescent="0.25">
      <c r="H67" s="49"/>
      <c r="I67" s="49"/>
      <c r="J67" s="49"/>
      <c r="K67" s="49"/>
      <c r="L67" s="49"/>
      <c r="M67" s="49"/>
      <c r="N67" s="49"/>
      <c r="O67" s="49"/>
    </row>
    <row r="68" spans="8:15" ht="14.25" customHeight="1" x14ac:dyDescent="0.25">
      <c r="H68" s="49"/>
      <c r="I68" s="49"/>
      <c r="J68" s="49"/>
      <c r="K68" s="49"/>
      <c r="L68" s="49"/>
      <c r="M68" s="49"/>
      <c r="N68" s="49"/>
      <c r="O68" s="49"/>
    </row>
    <row r="69" spans="8:15" ht="14.25" customHeight="1" x14ac:dyDescent="0.25">
      <c r="H69" s="49"/>
      <c r="I69" s="49"/>
      <c r="J69" s="49"/>
      <c r="K69" s="49"/>
      <c r="L69" s="49"/>
      <c r="M69" s="49"/>
      <c r="N69" s="49"/>
      <c r="O69" s="49"/>
    </row>
    <row r="70" spans="8:15" ht="14.25" customHeight="1" x14ac:dyDescent="0.25">
      <c r="H70" s="49"/>
      <c r="I70" s="49"/>
      <c r="J70" s="49"/>
      <c r="K70" s="49"/>
      <c r="L70" s="49"/>
      <c r="M70" s="49"/>
      <c r="N70" s="49"/>
      <c r="O70" s="49"/>
    </row>
    <row r="71" spans="8:15" ht="14.25" customHeight="1" x14ac:dyDescent="0.25">
      <c r="H71" s="49"/>
      <c r="I71" s="49"/>
      <c r="J71" s="49"/>
      <c r="K71" s="49"/>
      <c r="L71" s="49"/>
      <c r="M71" s="49"/>
      <c r="N71" s="49"/>
      <c r="O71" s="49"/>
    </row>
    <row r="72" spans="8:15" ht="14.25" customHeight="1" x14ac:dyDescent="0.25">
      <c r="H72" s="49"/>
      <c r="I72" s="49"/>
      <c r="J72" s="49"/>
      <c r="K72" s="49"/>
      <c r="L72" s="49"/>
      <c r="M72" s="49"/>
      <c r="N72" s="49"/>
      <c r="O72" s="49"/>
    </row>
    <row r="73" spans="8:15" ht="14.25" customHeight="1" x14ac:dyDescent="0.25">
      <c r="H73" s="49"/>
      <c r="I73" s="49"/>
      <c r="J73" s="49"/>
      <c r="K73" s="49"/>
      <c r="L73" s="49"/>
      <c r="M73" s="49"/>
      <c r="N73" s="49"/>
      <c r="O73" s="49"/>
    </row>
    <row r="74" spans="8:15" ht="14.25" customHeight="1" x14ac:dyDescent="0.25">
      <c r="H74" s="49"/>
      <c r="I74" s="49"/>
      <c r="J74" s="49"/>
      <c r="K74" s="49"/>
      <c r="L74" s="49"/>
      <c r="M74" s="49"/>
      <c r="N74" s="49"/>
      <c r="O74" s="49"/>
    </row>
    <row r="75" spans="8:15" ht="14.25" customHeight="1" x14ac:dyDescent="0.25">
      <c r="H75" s="49"/>
      <c r="I75" s="49"/>
      <c r="J75" s="49"/>
      <c r="K75" s="49"/>
      <c r="L75" s="49"/>
      <c r="M75" s="49"/>
      <c r="N75" s="49"/>
      <c r="O75" s="49"/>
    </row>
    <row r="76" spans="8:15" ht="14.25" customHeight="1" x14ac:dyDescent="0.25">
      <c r="H76" s="49"/>
      <c r="I76" s="49"/>
      <c r="J76" s="49"/>
      <c r="K76" s="49"/>
      <c r="L76" s="49"/>
      <c r="M76" s="49"/>
      <c r="N76" s="49"/>
      <c r="O76" s="49"/>
    </row>
    <row r="77" spans="8:15" ht="14.25" customHeight="1" x14ac:dyDescent="0.25">
      <c r="H77" s="49"/>
      <c r="I77" s="49"/>
      <c r="J77" s="49"/>
      <c r="K77" s="49"/>
      <c r="L77" s="49"/>
      <c r="M77" s="49"/>
      <c r="N77" s="49"/>
      <c r="O77" s="49"/>
    </row>
    <row r="78" spans="8:15" ht="14.25" customHeight="1" x14ac:dyDescent="0.25">
      <c r="H78" s="49"/>
      <c r="I78" s="49"/>
      <c r="J78" s="49"/>
      <c r="K78" s="49"/>
      <c r="L78" s="49"/>
      <c r="M78" s="49"/>
      <c r="N78" s="49"/>
      <c r="O78" s="49"/>
    </row>
    <row r="79" spans="8:15" ht="14.25" customHeight="1" x14ac:dyDescent="0.25">
      <c r="H79" s="49"/>
      <c r="I79" s="49"/>
      <c r="J79" s="49"/>
      <c r="K79" s="49"/>
      <c r="L79" s="49"/>
      <c r="M79" s="49"/>
      <c r="N79" s="49"/>
      <c r="O79" s="49"/>
    </row>
    <row r="80" spans="8:15" ht="14.25" customHeight="1" x14ac:dyDescent="0.25">
      <c r="H80" s="49"/>
      <c r="I80" s="49"/>
      <c r="J80" s="49"/>
      <c r="K80" s="49"/>
      <c r="L80" s="49"/>
      <c r="M80" s="49"/>
      <c r="N80" s="49"/>
      <c r="O80" s="49"/>
    </row>
    <row r="81" spans="8:15" ht="14.25" customHeight="1" x14ac:dyDescent="0.25">
      <c r="H81" s="49"/>
      <c r="I81" s="49"/>
      <c r="J81" s="49"/>
      <c r="K81" s="49"/>
      <c r="L81" s="49"/>
      <c r="M81" s="49"/>
      <c r="N81" s="49"/>
      <c r="O81" s="49"/>
    </row>
    <row r="82" spans="8:15" ht="14.25" customHeight="1" x14ac:dyDescent="0.25">
      <c r="H82" s="49"/>
      <c r="I82" s="49"/>
      <c r="J82" s="49"/>
      <c r="K82" s="49"/>
      <c r="L82" s="49"/>
      <c r="M82" s="49"/>
      <c r="N82" s="49"/>
      <c r="O82" s="49"/>
    </row>
    <row r="83" spans="8:15" ht="14.25" customHeight="1" x14ac:dyDescent="0.25">
      <c r="H83" s="49"/>
      <c r="I83" s="49"/>
      <c r="J83" s="49"/>
      <c r="K83" s="49"/>
      <c r="L83" s="49"/>
      <c r="M83" s="49"/>
      <c r="N83" s="49"/>
      <c r="O83" s="49"/>
    </row>
    <row r="84" spans="8:15" ht="14.25" customHeight="1" x14ac:dyDescent="0.25">
      <c r="H84" s="49"/>
      <c r="I84" s="49"/>
      <c r="J84" s="49"/>
      <c r="K84" s="49"/>
      <c r="L84" s="49"/>
      <c r="M84" s="49"/>
      <c r="N84" s="49"/>
      <c r="O84" s="49"/>
    </row>
    <row r="85" spans="8:15" ht="14.25" customHeight="1" x14ac:dyDescent="0.25">
      <c r="H85" s="49"/>
      <c r="I85" s="49"/>
      <c r="J85" s="49"/>
      <c r="K85" s="49"/>
      <c r="L85" s="49"/>
      <c r="M85" s="49"/>
      <c r="N85" s="49"/>
      <c r="O85" s="49"/>
    </row>
    <row r="86" spans="8:15" ht="14.25" customHeight="1" x14ac:dyDescent="0.25">
      <c r="H86" s="49"/>
      <c r="I86" s="49"/>
      <c r="J86" s="49"/>
      <c r="K86" s="49"/>
      <c r="L86" s="49"/>
      <c r="M86" s="49"/>
      <c r="N86" s="49"/>
      <c r="O86" s="49"/>
    </row>
    <row r="87" spans="8:15" ht="14.25" customHeight="1" x14ac:dyDescent="0.25">
      <c r="H87" s="49"/>
      <c r="I87" s="49"/>
      <c r="J87" s="49"/>
      <c r="K87" s="49"/>
      <c r="L87" s="49"/>
      <c r="M87" s="49"/>
      <c r="N87" s="49"/>
      <c r="O87" s="49"/>
    </row>
    <row r="88" spans="8:15" ht="14.25" customHeight="1" x14ac:dyDescent="0.25">
      <c r="H88" s="49"/>
      <c r="I88" s="49"/>
      <c r="J88" s="49"/>
      <c r="K88" s="49"/>
      <c r="L88" s="49"/>
      <c r="M88" s="49"/>
      <c r="N88" s="49"/>
      <c r="O88" s="49"/>
    </row>
    <row r="89" spans="8:15" ht="14.25" customHeight="1" x14ac:dyDescent="0.25">
      <c r="H89" s="49"/>
      <c r="I89" s="49"/>
      <c r="J89" s="49"/>
      <c r="K89" s="49"/>
      <c r="L89" s="49"/>
      <c r="M89" s="49"/>
      <c r="N89" s="49"/>
      <c r="O89" s="49"/>
    </row>
    <row r="90" spans="8:15" ht="14.25" customHeight="1" x14ac:dyDescent="0.25">
      <c r="H90" s="49"/>
      <c r="I90" s="49"/>
      <c r="J90" s="49"/>
      <c r="K90" s="49"/>
      <c r="L90" s="49"/>
      <c r="M90" s="49"/>
      <c r="N90" s="49"/>
      <c r="O90" s="49"/>
    </row>
    <row r="91" spans="8:15" ht="14.25" customHeight="1" x14ac:dyDescent="0.25">
      <c r="H91" s="49"/>
      <c r="I91" s="49"/>
      <c r="J91" s="49"/>
      <c r="K91" s="49"/>
      <c r="L91" s="49"/>
      <c r="M91" s="49"/>
      <c r="N91" s="49"/>
      <c r="O91" s="49"/>
    </row>
    <row r="92" spans="8:15" ht="14.25" customHeight="1" x14ac:dyDescent="0.25">
      <c r="H92" s="49"/>
      <c r="I92" s="49"/>
      <c r="J92" s="49"/>
      <c r="K92" s="49"/>
      <c r="L92" s="49"/>
      <c r="M92" s="49"/>
      <c r="N92" s="49"/>
      <c r="O92" s="49"/>
    </row>
    <row r="93" spans="8:15" ht="14.25" customHeight="1" x14ac:dyDescent="0.25">
      <c r="H93" s="49"/>
      <c r="I93" s="49"/>
      <c r="J93" s="49"/>
      <c r="K93" s="49"/>
      <c r="L93" s="49"/>
      <c r="M93" s="49"/>
      <c r="N93" s="49"/>
      <c r="O93" s="49"/>
    </row>
    <row r="94" spans="8:15" ht="14.25" customHeight="1" x14ac:dyDescent="0.25">
      <c r="H94" s="49"/>
      <c r="I94" s="49"/>
      <c r="J94" s="49"/>
      <c r="K94" s="49"/>
      <c r="L94" s="49"/>
      <c r="M94" s="49"/>
      <c r="N94" s="49"/>
      <c r="O94" s="49"/>
    </row>
    <row r="95" spans="8:15" ht="14.25" customHeight="1" x14ac:dyDescent="0.25">
      <c r="H95" s="49"/>
      <c r="I95" s="49"/>
      <c r="J95" s="49"/>
      <c r="K95" s="49"/>
      <c r="L95" s="49"/>
      <c r="M95" s="49"/>
      <c r="N95" s="49"/>
      <c r="O95" s="49"/>
    </row>
    <row r="96" spans="8:15" ht="14.25" customHeight="1" x14ac:dyDescent="0.25">
      <c r="H96" s="49"/>
      <c r="I96" s="49"/>
      <c r="J96" s="49"/>
      <c r="K96" s="49"/>
      <c r="L96" s="49"/>
      <c r="M96" s="49"/>
      <c r="N96" s="49"/>
      <c r="O96" s="49"/>
    </row>
    <row r="97" spans="8:15" ht="14.25" customHeight="1" x14ac:dyDescent="0.25">
      <c r="H97" s="49"/>
      <c r="I97" s="49"/>
      <c r="J97" s="49"/>
      <c r="K97" s="49"/>
      <c r="L97" s="49"/>
      <c r="M97" s="49"/>
      <c r="N97" s="49"/>
      <c r="O97" s="49"/>
    </row>
    <row r="98" spans="8:15" ht="14.25" customHeight="1" x14ac:dyDescent="0.25">
      <c r="H98" s="49"/>
      <c r="I98" s="49"/>
      <c r="J98" s="49"/>
      <c r="K98" s="49"/>
      <c r="L98" s="49"/>
      <c r="M98" s="49"/>
      <c r="N98" s="49"/>
      <c r="O98" s="49"/>
    </row>
    <row r="99" spans="8:15" ht="14.25" customHeight="1" x14ac:dyDescent="0.25">
      <c r="H99" s="49"/>
      <c r="I99" s="49"/>
      <c r="J99" s="49"/>
      <c r="K99" s="49"/>
      <c r="L99" s="49"/>
      <c r="M99" s="49"/>
      <c r="N99" s="49"/>
      <c r="O99" s="49"/>
    </row>
    <row r="100" spans="8:15" ht="14.25" customHeight="1" x14ac:dyDescent="0.25">
      <c r="H100" s="49"/>
      <c r="I100" s="49"/>
      <c r="J100" s="49"/>
      <c r="K100" s="49"/>
      <c r="L100" s="49"/>
      <c r="M100" s="49"/>
      <c r="N100" s="49"/>
      <c r="O100" s="49"/>
    </row>
    <row r="101" spans="8:15" ht="14.25" customHeight="1" x14ac:dyDescent="0.25">
      <c r="H101" s="49"/>
      <c r="I101" s="49"/>
      <c r="J101" s="49"/>
      <c r="K101" s="49"/>
      <c r="L101" s="49"/>
      <c r="M101" s="49"/>
      <c r="N101" s="49"/>
      <c r="O101" s="49"/>
    </row>
    <row r="102" spans="8:15" ht="14.25" customHeight="1" x14ac:dyDescent="0.25">
      <c r="H102" s="49"/>
      <c r="I102" s="49"/>
      <c r="J102" s="49"/>
      <c r="K102" s="49"/>
      <c r="L102" s="49"/>
      <c r="M102" s="49"/>
      <c r="N102" s="49"/>
      <c r="O102" s="49"/>
    </row>
    <row r="103" spans="8:15" ht="14.25" customHeight="1" x14ac:dyDescent="0.25">
      <c r="H103" s="49"/>
      <c r="I103" s="49"/>
      <c r="J103" s="49"/>
      <c r="K103" s="49"/>
      <c r="L103" s="49"/>
      <c r="M103" s="49"/>
      <c r="N103" s="49"/>
      <c r="O103" s="49"/>
    </row>
    <row r="104" spans="8:15" ht="14.25" customHeight="1" x14ac:dyDescent="0.25">
      <c r="H104" s="49"/>
      <c r="I104" s="49"/>
      <c r="J104" s="49"/>
      <c r="K104" s="49"/>
      <c r="L104" s="49"/>
      <c r="M104" s="49"/>
      <c r="N104" s="49"/>
      <c r="O104" s="49"/>
    </row>
    <row r="105" spans="8:15" ht="14.25" customHeight="1" x14ac:dyDescent="0.25">
      <c r="H105" s="49"/>
      <c r="I105" s="49"/>
      <c r="J105" s="49"/>
      <c r="K105" s="49"/>
      <c r="L105" s="49"/>
      <c r="M105" s="49"/>
      <c r="N105" s="49"/>
      <c r="O105" s="49"/>
    </row>
    <row r="106" spans="8:15" ht="14.25" customHeight="1" x14ac:dyDescent="0.25">
      <c r="H106" s="49"/>
      <c r="I106" s="49"/>
      <c r="J106" s="49"/>
      <c r="K106" s="49"/>
      <c r="L106" s="49"/>
      <c r="M106" s="49"/>
      <c r="N106" s="49"/>
      <c r="O106" s="49"/>
    </row>
    <row r="107" spans="8:15" ht="14.25" customHeight="1" x14ac:dyDescent="0.25">
      <c r="H107" s="49"/>
      <c r="I107" s="49"/>
      <c r="J107" s="49"/>
      <c r="K107" s="49"/>
      <c r="L107" s="49"/>
      <c r="M107" s="49"/>
      <c r="N107" s="49"/>
      <c r="O107" s="49"/>
    </row>
    <row r="108" spans="8:15" ht="14.25" customHeight="1" x14ac:dyDescent="0.25">
      <c r="H108" s="49"/>
      <c r="I108" s="49"/>
      <c r="J108" s="49"/>
      <c r="K108" s="49"/>
      <c r="L108" s="49"/>
      <c r="M108" s="49"/>
      <c r="N108" s="49"/>
      <c r="O108" s="49"/>
    </row>
    <row r="109" spans="8:15" ht="14.25" customHeight="1" x14ac:dyDescent="0.25">
      <c r="H109" s="49"/>
      <c r="I109" s="49"/>
      <c r="J109" s="49"/>
      <c r="K109" s="49"/>
      <c r="L109" s="49"/>
      <c r="M109" s="49"/>
      <c r="N109" s="49"/>
      <c r="O109" s="49"/>
    </row>
    <row r="110" spans="8:15" ht="14.25" customHeight="1" x14ac:dyDescent="0.25">
      <c r="H110" s="49"/>
      <c r="I110" s="49"/>
      <c r="J110" s="49"/>
      <c r="K110" s="49"/>
      <c r="L110" s="49"/>
      <c r="M110" s="49"/>
      <c r="N110" s="49"/>
      <c r="O110" s="49"/>
    </row>
    <row r="111" spans="8:15" ht="14.25" customHeight="1" x14ac:dyDescent="0.25">
      <c r="H111" s="49"/>
      <c r="I111" s="49"/>
      <c r="J111" s="49"/>
      <c r="K111" s="49"/>
      <c r="L111" s="49"/>
      <c r="M111" s="49"/>
      <c r="N111" s="49"/>
      <c r="O111" s="49"/>
    </row>
    <row r="112" spans="8:15" ht="14.25" customHeight="1" x14ac:dyDescent="0.25">
      <c r="H112" s="49"/>
      <c r="I112" s="49"/>
      <c r="J112" s="49"/>
      <c r="K112" s="49"/>
      <c r="L112" s="49"/>
      <c r="M112" s="49"/>
      <c r="N112" s="49"/>
      <c r="O112" s="49"/>
    </row>
    <row r="113" spans="8:15" ht="14.25" customHeight="1" x14ac:dyDescent="0.25">
      <c r="H113" s="49"/>
      <c r="I113" s="49"/>
      <c r="J113" s="49"/>
      <c r="K113" s="49"/>
      <c r="L113" s="49"/>
      <c r="M113" s="49"/>
      <c r="N113" s="49"/>
      <c r="O113" s="49"/>
    </row>
    <row r="114" spans="8:15" ht="14.25" customHeight="1" x14ac:dyDescent="0.25">
      <c r="H114" s="49"/>
      <c r="I114" s="49"/>
      <c r="J114" s="49"/>
      <c r="K114" s="49"/>
      <c r="L114" s="49"/>
      <c r="M114" s="49"/>
      <c r="N114" s="49"/>
      <c r="O114" s="49"/>
    </row>
    <row r="115" spans="8:15" ht="14.25" customHeight="1" x14ac:dyDescent="0.25">
      <c r="H115" s="49"/>
      <c r="I115" s="49"/>
      <c r="J115" s="49"/>
      <c r="K115" s="49"/>
      <c r="L115" s="49"/>
      <c r="M115" s="49"/>
      <c r="N115" s="49"/>
      <c r="O115" s="49"/>
    </row>
    <row r="116" spans="8:15" ht="14.25" customHeight="1" x14ac:dyDescent="0.25">
      <c r="H116" s="49"/>
      <c r="I116" s="49"/>
      <c r="J116" s="49"/>
      <c r="K116" s="49"/>
      <c r="L116" s="49"/>
      <c r="M116" s="49"/>
      <c r="N116" s="49"/>
      <c r="O116" s="49"/>
    </row>
    <row r="117" spans="8:15" ht="14.25" customHeight="1" x14ac:dyDescent="0.25">
      <c r="H117" s="49"/>
      <c r="I117" s="49"/>
      <c r="J117" s="49"/>
      <c r="K117" s="49"/>
      <c r="L117" s="49"/>
      <c r="M117" s="49"/>
      <c r="N117" s="49"/>
      <c r="O117" s="49"/>
    </row>
    <row r="118" spans="8:15" ht="14.25" customHeight="1" x14ac:dyDescent="0.25">
      <c r="H118" s="49"/>
      <c r="I118" s="49"/>
      <c r="J118" s="49"/>
      <c r="K118" s="49"/>
      <c r="L118" s="49"/>
      <c r="M118" s="49"/>
      <c r="N118" s="49"/>
      <c r="O118" s="49"/>
    </row>
    <row r="119" spans="8:15" ht="14.25" customHeight="1" x14ac:dyDescent="0.25">
      <c r="H119" s="49"/>
      <c r="I119" s="49"/>
      <c r="J119" s="49"/>
      <c r="K119" s="49"/>
      <c r="L119" s="49"/>
      <c r="M119" s="49"/>
      <c r="N119" s="49"/>
      <c r="O119" s="49"/>
    </row>
    <row r="120" spans="8:15" ht="14.25" customHeight="1" x14ac:dyDescent="0.25">
      <c r="H120" s="49"/>
      <c r="I120" s="49"/>
      <c r="J120" s="49"/>
      <c r="K120" s="49"/>
      <c r="L120" s="49"/>
      <c r="M120" s="49"/>
      <c r="N120" s="49"/>
      <c r="O120" s="49"/>
    </row>
    <row r="121" spans="8:15" ht="14.25" customHeight="1" x14ac:dyDescent="0.25">
      <c r="H121" s="49"/>
      <c r="I121" s="49"/>
      <c r="J121" s="49"/>
      <c r="K121" s="49"/>
      <c r="L121" s="49"/>
      <c r="M121" s="49"/>
      <c r="N121" s="49"/>
      <c r="O121" s="49"/>
    </row>
    <row r="122" spans="8:15" ht="14.25" customHeight="1" x14ac:dyDescent="0.25">
      <c r="H122" s="49"/>
      <c r="I122" s="49"/>
      <c r="J122" s="49"/>
      <c r="K122" s="49"/>
      <c r="L122" s="49"/>
      <c r="M122" s="49"/>
      <c r="N122" s="49"/>
      <c r="O122" s="49"/>
    </row>
    <row r="123" spans="8:15" ht="14.25" customHeight="1" x14ac:dyDescent="0.25">
      <c r="H123" s="49"/>
      <c r="I123" s="49"/>
      <c r="J123" s="49"/>
      <c r="K123" s="49"/>
      <c r="L123" s="49"/>
      <c r="M123" s="49"/>
      <c r="N123" s="49"/>
      <c r="O123" s="49"/>
    </row>
    <row r="124" spans="8:15" ht="14.25" customHeight="1" x14ac:dyDescent="0.25">
      <c r="H124" s="49"/>
      <c r="I124" s="49"/>
      <c r="J124" s="49"/>
      <c r="K124" s="49"/>
      <c r="L124" s="49"/>
      <c r="M124" s="49"/>
      <c r="N124" s="49"/>
      <c r="O124" s="49"/>
    </row>
    <row r="125" spans="8:15" ht="14.25" customHeight="1" x14ac:dyDescent="0.25">
      <c r="H125" s="49"/>
      <c r="I125" s="49"/>
      <c r="J125" s="49"/>
      <c r="K125" s="49"/>
      <c r="L125" s="49"/>
      <c r="M125" s="49"/>
      <c r="N125" s="49"/>
      <c r="O125" s="49"/>
    </row>
    <row r="126" spans="8:15" ht="14.25" customHeight="1" x14ac:dyDescent="0.25">
      <c r="H126" s="49"/>
      <c r="I126" s="49"/>
      <c r="J126" s="49"/>
      <c r="K126" s="49"/>
      <c r="L126" s="49"/>
      <c r="M126" s="49"/>
      <c r="N126" s="49"/>
      <c r="O126" s="49"/>
    </row>
    <row r="127" spans="8:15" ht="14.25" customHeight="1" x14ac:dyDescent="0.25">
      <c r="H127" s="49"/>
      <c r="I127" s="49"/>
      <c r="J127" s="49"/>
      <c r="K127" s="49"/>
      <c r="L127" s="49"/>
      <c r="M127" s="49"/>
      <c r="N127" s="49"/>
      <c r="O127" s="49"/>
    </row>
    <row r="128" spans="8:15" ht="14.25" customHeight="1" x14ac:dyDescent="0.25">
      <c r="H128" s="49"/>
      <c r="I128" s="49"/>
      <c r="J128" s="49"/>
      <c r="K128" s="49"/>
      <c r="L128" s="49"/>
      <c r="M128" s="49"/>
      <c r="N128" s="49"/>
      <c r="O128" s="49"/>
    </row>
    <row r="129" spans="8:15" ht="14.25" customHeight="1" x14ac:dyDescent="0.25">
      <c r="H129" s="49"/>
      <c r="I129" s="49"/>
      <c r="J129" s="49"/>
      <c r="K129" s="49"/>
      <c r="L129" s="49"/>
      <c r="M129" s="49"/>
      <c r="N129" s="49"/>
      <c r="O129" s="49"/>
    </row>
    <row r="130" spans="8:15" ht="14.25" customHeight="1" x14ac:dyDescent="0.25">
      <c r="H130" s="49"/>
      <c r="I130" s="49"/>
      <c r="J130" s="49"/>
      <c r="K130" s="49"/>
      <c r="L130" s="49"/>
      <c r="M130" s="49"/>
      <c r="N130" s="49"/>
      <c r="O130" s="49"/>
    </row>
    <row r="131" spans="8:15" ht="14.25" customHeight="1" x14ac:dyDescent="0.25">
      <c r="H131" s="49"/>
      <c r="I131" s="49"/>
      <c r="J131" s="49"/>
      <c r="K131" s="49"/>
      <c r="L131" s="49"/>
      <c r="M131" s="49"/>
      <c r="N131" s="49"/>
      <c r="O131" s="49"/>
    </row>
    <row r="132" spans="8:15" ht="14.25" customHeight="1" x14ac:dyDescent="0.25">
      <c r="H132" s="49"/>
      <c r="I132" s="49"/>
      <c r="J132" s="49"/>
      <c r="K132" s="49"/>
      <c r="L132" s="49"/>
      <c r="M132" s="49"/>
      <c r="N132" s="49"/>
      <c r="O132" s="49"/>
    </row>
    <row r="133" spans="8:15" ht="14.25" customHeight="1" x14ac:dyDescent="0.25">
      <c r="H133" s="49"/>
      <c r="I133" s="49"/>
      <c r="J133" s="49"/>
      <c r="K133" s="49"/>
      <c r="L133" s="49"/>
      <c r="M133" s="49"/>
      <c r="N133" s="49"/>
      <c r="O133" s="49"/>
    </row>
    <row r="134" spans="8:15" ht="14.25" customHeight="1" x14ac:dyDescent="0.25">
      <c r="H134" s="49"/>
      <c r="I134" s="49"/>
      <c r="J134" s="49"/>
      <c r="K134" s="49"/>
      <c r="L134" s="49"/>
      <c r="M134" s="49"/>
      <c r="N134" s="49"/>
      <c r="O134" s="49"/>
    </row>
    <row r="135" spans="8:15" ht="14.25" customHeight="1" x14ac:dyDescent="0.25">
      <c r="H135" s="49"/>
      <c r="I135" s="49"/>
      <c r="J135" s="49"/>
      <c r="K135" s="49"/>
      <c r="L135" s="49"/>
      <c r="M135" s="49"/>
      <c r="N135" s="49"/>
      <c r="O135" s="49"/>
    </row>
    <row r="136" spans="8:15" ht="14.25" customHeight="1" x14ac:dyDescent="0.25">
      <c r="H136" s="49"/>
      <c r="I136" s="49"/>
      <c r="J136" s="49"/>
      <c r="K136" s="49"/>
      <c r="L136" s="49"/>
      <c r="M136" s="49"/>
      <c r="N136" s="49"/>
      <c r="O136" s="49"/>
    </row>
    <row r="137" spans="8:15" ht="14.25" customHeight="1" x14ac:dyDescent="0.25">
      <c r="H137" s="49"/>
      <c r="I137" s="49"/>
      <c r="J137" s="49"/>
      <c r="K137" s="49"/>
      <c r="L137" s="49"/>
      <c r="M137" s="49"/>
      <c r="N137" s="49"/>
      <c r="O137" s="49"/>
    </row>
    <row r="138" spans="8:15" ht="14.25" customHeight="1" x14ac:dyDescent="0.25">
      <c r="H138" s="49"/>
      <c r="I138" s="49"/>
      <c r="J138" s="49"/>
      <c r="K138" s="49"/>
      <c r="L138" s="49"/>
      <c r="M138" s="49"/>
      <c r="N138" s="49"/>
      <c r="O138" s="49"/>
    </row>
    <row r="139" spans="8:15" ht="14.25" customHeight="1" x14ac:dyDescent="0.25">
      <c r="H139" s="49"/>
      <c r="I139" s="49"/>
      <c r="J139" s="49"/>
      <c r="K139" s="49"/>
      <c r="L139" s="49"/>
      <c r="M139" s="49"/>
      <c r="N139" s="49"/>
      <c r="O139" s="49"/>
    </row>
    <row r="140" spans="8:15" ht="14.25" customHeight="1" x14ac:dyDescent="0.25">
      <c r="H140" s="49"/>
      <c r="I140" s="49"/>
      <c r="J140" s="49"/>
      <c r="K140" s="49"/>
      <c r="L140" s="49"/>
      <c r="M140" s="49"/>
      <c r="N140" s="49"/>
      <c r="O140" s="49"/>
    </row>
    <row r="141" spans="8:15" ht="14.25" customHeight="1" x14ac:dyDescent="0.25">
      <c r="H141" s="49"/>
      <c r="I141" s="49"/>
      <c r="J141" s="49"/>
      <c r="K141" s="49"/>
      <c r="L141" s="49"/>
      <c r="M141" s="49"/>
      <c r="N141" s="49"/>
      <c r="O141" s="49"/>
    </row>
    <row r="142" spans="8:15" ht="14.25" customHeight="1" x14ac:dyDescent="0.25">
      <c r="H142" s="49"/>
      <c r="I142" s="49"/>
      <c r="J142" s="49"/>
      <c r="K142" s="49"/>
      <c r="L142" s="49"/>
      <c r="M142" s="49"/>
      <c r="N142" s="49"/>
      <c r="O142" s="49"/>
    </row>
    <row r="143" spans="8:15" ht="14.25" customHeight="1" x14ac:dyDescent="0.25">
      <c r="H143" s="49"/>
      <c r="I143" s="49"/>
      <c r="J143" s="49"/>
      <c r="K143" s="49"/>
      <c r="L143" s="49"/>
      <c r="M143" s="49"/>
      <c r="N143" s="49"/>
      <c r="O143" s="49"/>
    </row>
    <row r="144" spans="8:15" ht="14.25" customHeight="1" x14ac:dyDescent="0.25">
      <c r="H144" s="49"/>
      <c r="I144" s="49"/>
      <c r="J144" s="49"/>
      <c r="K144" s="49"/>
      <c r="L144" s="49"/>
      <c r="M144" s="49"/>
      <c r="N144" s="49"/>
      <c r="O144" s="49"/>
    </row>
    <row r="145" spans="8:15" ht="14.25" customHeight="1" x14ac:dyDescent="0.25">
      <c r="H145" s="49"/>
      <c r="I145" s="49"/>
      <c r="J145" s="49"/>
      <c r="K145" s="49"/>
      <c r="L145" s="49"/>
      <c r="M145" s="49"/>
      <c r="N145" s="49"/>
      <c r="O145" s="49"/>
    </row>
    <row r="146" spans="8:15" ht="14.25" customHeight="1" x14ac:dyDescent="0.25">
      <c r="H146" s="49"/>
      <c r="I146" s="49"/>
      <c r="J146" s="49"/>
      <c r="K146" s="49"/>
      <c r="L146" s="49"/>
      <c r="M146" s="49"/>
      <c r="N146" s="49"/>
      <c r="O146" s="49"/>
    </row>
    <row r="147" spans="8:15" ht="14.25" customHeight="1" x14ac:dyDescent="0.25">
      <c r="H147" s="49"/>
      <c r="I147" s="49"/>
      <c r="J147" s="49"/>
      <c r="K147" s="49"/>
      <c r="L147" s="49"/>
      <c r="M147" s="49"/>
      <c r="N147" s="49"/>
      <c r="O147" s="49"/>
    </row>
    <row r="148" spans="8:15" ht="14.25" customHeight="1" x14ac:dyDescent="0.25">
      <c r="H148" s="49"/>
      <c r="I148" s="49"/>
      <c r="J148" s="49"/>
      <c r="K148" s="49"/>
      <c r="L148" s="49"/>
      <c r="M148" s="49"/>
      <c r="N148" s="49"/>
      <c r="O148" s="49"/>
    </row>
    <row r="149" spans="8:15" ht="14.25" customHeight="1" x14ac:dyDescent="0.25">
      <c r="H149" s="49"/>
      <c r="I149" s="49"/>
      <c r="J149" s="49"/>
      <c r="K149" s="49"/>
      <c r="L149" s="49"/>
      <c r="M149" s="49"/>
      <c r="N149" s="49"/>
      <c r="O149" s="49"/>
    </row>
    <row r="150" spans="8:15" ht="14.25" customHeight="1" x14ac:dyDescent="0.25">
      <c r="H150" s="49"/>
      <c r="I150" s="49"/>
      <c r="J150" s="49"/>
      <c r="K150" s="49"/>
      <c r="L150" s="49"/>
      <c r="M150" s="49"/>
      <c r="N150" s="49"/>
      <c r="O150" s="49"/>
    </row>
    <row r="151" spans="8:15" ht="14.25" customHeight="1" x14ac:dyDescent="0.25">
      <c r="H151" s="49"/>
      <c r="I151" s="49"/>
      <c r="J151" s="49"/>
      <c r="K151" s="49"/>
      <c r="L151" s="49"/>
      <c r="M151" s="49"/>
      <c r="N151" s="49"/>
      <c r="O151" s="49"/>
    </row>
    <row r="152" spans="8:15" ht="14.25" customHeight="1" x14ac:dyDescent="0.25">
      <c r="H152" s="49"/>
      <c r="I152" s="49"/>
      <c r="J152" s="49"/>
      <c r="K152" s="49"/>
      <c r="L152" s="49"/>
      <c r="M152" s="49"/>
      <c r="N152" s="49"/>
      <c r="O152" s="49"/>
    </row>
    <row r="153" spans="8:15" ht="14.25" customHeight="1" x14ac:dyDescent="0.25">
      <c r="H153" s="49"/>
      <c r="I153" s="49"/>
      <c r="J153" s="49"/>
      <c r="K153" s="49"/>
      <c r="L153" s="49"/>
      <c r="M153" s="49"/>
      <c r="N153" s="49"/>
      <c r="O153" s="49"/>
    </row>
    <row r="154" spans="8:15" ht="14.25" customHeight="1" x14ac:dyDescent="0.25">
      <c r="H154" s="49"/>
      <c r="I154" s="49"/>
      <c r="J154" s="49"/>
      <c r="K154" s="49"/>
      <c r="L154" s="49"/>
      <c r="M154" s="49"/>
      <c r="N154" s="49"/>
      <c r="O154" s="49"/>
    </row>
    <row r="155" spans="8:15" ht="14.25" customHeight="1" x14ac:dyDescent="0.25">
      <c r="H155" s="49"/>
      <c r="I155" s="49"/>
      <c r="J155" s="49"/>
      <c r="K155" s="49"/>
      <c r="L155" s="49"/>
      <c r="M155" s="49"/>
      <c r="N155" s="49"/>
      <c r="O155" s="49"/>
    </row>
    <row r="156" spans="8:15" ht="14.25" customHeight="1" x14ac:dyDescent="0.25">
      <c r="H156" s="49"/>
      <c r="I156" s="49"/>
      <c r="J156" s="49"/>
      <c r="K156" s="49"/>
      <c r="L156" s="49"/>
      <c r="M156" s="49"/>
      <c r="N156" s="49"/>
      <c r="O156" s="49"/>
    </row>
    <row r="157" spans="8:15" ht="14.25" customHeight="1" x14ac:dyDescent="0.25">
      <c r="H157" s="49"/>
      <c r="I157" s="49"/>
      <c r="J157" s="49"/>
      <c r="K157" s="49"/>
      <c r="L157" s="49"/>
      <c r="M157" s="49"/>
      <c r="N157" s="49"/>
      <c r="O157" s="49"/>
    </row>
    <row r="158" spans="8:15" ht="14.25" customHeight="1" x14ac:dyDescent="0.25">
      <c r="H158" s="49"/>
      <c r="I158" s="49"/>
      <c r="J158" s="49"/>
      <c r="K158" s="49"/>
      <c r="L158" s="49"/>
      <c r="M158" s="49"/>
      <c r="N158" s="49"/>
      <c r="O158" s="49"/>
    </row>
    <row r="159" spans="8:15" ht="14.25" customHeight="1" x14ac:dyDescent="0.25">
      <c r="H159" s="49"/>
      <c r="I159" s="49"/>
      <c r="J159" s="49"/>
      <c r="K159" s="49"/>
      <c r="L159" s="49"/>
      <c r="M159" s="49"/>
      <c r="N159" s="49"/>
      <c r="O159" s="49"/>
    </row>
    <row r="160" spans="8:15" ht="14.25" customHeight="1" x14ac:dyDescent="0.25">
      <c r="H160" s="49"/>
      <c r="I160" s="49"/>
      <c r="J160" s="49"/>
      <c r="K160" s="49"/>
      <c r="L160" s="49"/>
      <c r="M160" s="49"/>
      <c r="N160" s="49"/>
      <c r="O160" s="49"/>
    </row>
    <row r="161" spans="8:15" ht="14.25" customHeight="1" x14ac:dyDescent="0.25">
      <c r="H161" s="49"/>
      <c r="I161" s="49"/>
      <c r="J161" s="49"/>
      <c r="K161" s="49"/>
      <c r="L161" s="49"/>
      <c r="M161" s="49"/>
      <c r="N161" s="49"/>
      <c r="O161" s="49"/>
    </row>
    <row r="162" spans="8:15" ht="14.25" customHeight="1" x14ac:dyDescent="0.25">
      <c r="H162" s="49"/>
      <c r="I162" s="49"/>
      <c r="J162" s="49"/>
      <c r="K162" s="49"/>
      <c r="L162" s="49"/>
      <c r="M162" s="49"/>
      <c r="N162" s="49"/>
      <c r="O162" s="49"/>
    </row>
    <row r="163" spans="8:15" ht="14.25" customHeight="1" x14ac:dyDescent="0.25">
      <c r="H163" s="49"/>
      <c r="I163" s="49"/>
      <c r="J163" s="49"/>
      <c r="K163" s="49"/>
      <c r="L163" s="49"/>
      <c r="M163" s="49"/>
      <c r="N163" s="49"/>
      <c r="O163" s="49"/>
    </row>
    <row r="164" spans="8:15" ht="14.25" customHeight="1" x14ac:dyDescent="0.25">
      <c r="H164" s="49"/>
      <c r="I164" s="49"/>
      <c r="J164" s="49"/>
      <c r="K164" s="49"/>
      <c r="L164" s="49"/>
      <c r="M164" s="49"/>
      <c r="N164" s="49"/>
      <c r="O164" s="49"/>
    </row>
    <row r="165" spans="8:15" ht="14.25" customHeight="1" x14ac:dyDescent="0.25">
      <c r="H165" s="49"/>
      <c r="I165" s="49"/>
      <c r="J165" s="49"/>
      <c r="K165" s="49"/>
      <c r="L165" s="49"/>
      <c r="M165" s="49"/>
      <c r="N165" s="49"/>
      <c r="O165" s="49"/>
    </row>
    <row r="166" spans="8:15" ht="14.25" customHeight="1" x14ac:dyDescent="0.25">
      <c r="H166" s="49"/>
      <c r="I166" s="49"/>
      <c r="J166" s="49"/>
      <c r="K166" s="49"/>
      <c r="L166" s="49"/>
      <c r="M166" s="49"/>
      <c r="N166" s="49"/>
      <c r="O166" s="49"/>
    </row>
    <row r="167" spans="8:15" ht="14.25" customHeight="1" x14ac:dyDescent="0.25">
      <c r="H167" s="49"/>
      <c r="I167" s="49"/>
      <c r="J167" s="49"/>
      <c r="K167" s="49"/>
      <c r="L167" s="49"/>
      <c r="M167" s="49"/>
      <c r="N167" s="49"/>
      <c r="O167" s="49"/>
    </row>
    <row r="168" spans="8:15" ht="14.25" customHeight="1" x14ac:dyDescent="0.25">
      <c r="H168" s="49"/>
      <c r="I168" s="49"/>
      <c r="J168" s="49"/>
      <c r="K168" s="49"/>
      <c r="L168" s="49"/>
      <c r="M168" s="49"/>
      <c r="N168" s="49"/>
      <c r="O168" s="49"/>
    </row>
    <row r="169" spans="8:15" ht="14.25" customHeight="1" x14ac:dyDescent="0.25">
      <c r="H169" s="49"/>
      <c r="I169" s="49"/>
      <c r="J169" s="49"/>
      <c r="K169" s="49"/>
      <c r="L169" s="49"/>
      <c r="M169" s="49"/>
      <c r="N169" s="49"/>
      <c r="O169" s="49"/>
    </row>
    <row r="170" spans="8:15" ht="14.25" customHeight="1" x14ac:dyDescent="0.25">
      <c r="H170" s="49"/>
      <c r="I170" s="49"/>
      <c r="J170" s="49"/>
      <c r="K170" s="49"/>
      <c r="L170" s="49"/>
      <c r="M170" s="49"/>
      <c r="N170" s="49"/>
      <c r="O170" s="49"/>
    </row>
    <row r="171" spans="8:15" ht="14.25" customHeight="1" x14ac:dyDescent="0.25">
      <c r="H171" s="49"/>
      <c r="I171" s="49"/>
      <c r="J171" s="49"/>
      <c r="K171" s="49"/>
      <c r="L171" s="49"/>
      <c r="M171" s="49"/>
      <c r="N171" s="49"/>
      <c r="O171" s="49"/>
    </row>
    <row r="172" spans="8:15" ht="14.25" customHeight="1" x14ac:dyDescent="0.25">
      <c r="H172" s="49"/>
      <c r="I172" s="49"/>
      <c r="J172" s="49"/>
      <c r="K172" s="49"/>
      <c r="L172" s="49"/>
      <c r="M172" s="49"/>
      <c r="N172" s="49"/>
      <c r="O172" s="49"/>
    </row>
    <row r="173" spans="8:15" ht="14.25" customHeight="1" x14ac:dyDescent="0.25">
      <c r="H173" s="49"/>
      <c r="I173" s="49"/>
      <c r="J173" s="49"/>
      <c r="K173" s="49"/>
      <c r="L173" s="49"/>
      <c r="M173" s="49"/>
      <c r="N173" s="49"/>
      <c r="O173" s="49"/>
    </row>
    <row r="174" spans="8:15" ht="14.25" customHeight="1" x14ac:dyDescent="0.25">
      <c r="H174" s="49"/>
      <c r="I174" s="49"/>
      <c r="J174" s="49"/>
      <c r="K174" s="49"/>
      <c r="L174" s="49"/>
      <c r="M174" s="49"/>
      <c r="N174" s="49"/>
      <c r="O174" s="49"/>
    </row>
    <row r="175" spans="8:15" ht="14.25" customHeight="1" x14ac:dyDescent="0.25">
      <c r="H175" s="49"/>
      <c r="I175" s="49"/>
      <c r="J175" s="49"/>
      <c r="K175" s="49"/>
      <c r="L175" s="49"/>
      <c r="M175" s="49"/>
      <c r="N175" s="49"/>
      <c r="O175" s="49"/>
    </row>
    <row r="176" spans="8:15" ht="14.25" customHeight="1" x14ac:dyDescent="0.25">
      <c r="H176" s="49"/>
      <c r="I176" s="49"/>
      <c r="J176" s="49"/>
      <c r="K176" s="49"/>
      <c r="L176" s="49"/>
      <c r="M176" s="49"/>
      <c r="N176" s="49"/>
      <c r="O176" s="49"/>
    </row>
    <row r="177" spans="8:15" ht="14.25" customHeight="1" x14ac:dyDescent="0.25">
      <c r="H177" s="49"/>
      <c r="I177" s="49"/>
      <c r="J177" s="49"/>
      <c r="K177" s="49"/>
      <c r="L177" s="49"/>
      <c r="M177" s="49"/>
      <c r="N177" s="49"/>
      <c r="O177" s="49"/>
    </row>
    <row r="178" spans="8:15" ht="14.25" customHeight="1" x14ac:dyDescent="0.25">
      <c r="H178" s="49"/>
      <c r="I178" s="49"/>
      <c r="J178" s="49"/>
      <c r="K178" s="49"/>
      <c r="L178" s="49"/>
      <c r="M178" s="49"/>
      <c r="N178" s="49"/>
      <c r="O178" s="49"/>
    </row>
    <row r="179" spans="8:15" ht="14.25" customHeight="1" x14ac:dyDescent="0.25">
      <c r="H179" s="49"/>
      <c r="I179" s="49"/>
      <c r="J179" s="49"/>
      <c r="K179" s="49"/>
      <c r="L179" s="49"/>
      <c r="M179" s="49"/>
      <c r="N179" s="49"/>
      <c r="O179" s="49"/>
    </row>
    <row r="180" spans="8:15" ht="14.25" customHeight="1" x14ac:dyDescent="0.25">
      <c r="H180" s="49"/>
      <c r="I180" s="49"/>
      <c r="J180" s="49"/>
      <c r="K180" s="49"/>
      <c r="L180" s="49"/>
      <c r="M180" s="49"/>
      <c r="N180" s="49"/>
      <c r="O180" s="49"/>
    </row>
    <row r="181" spans="8:15" ht="14.25" customHeight="1" x14ac:dyDescent="0.25">
      <c r="H181" s="49"/>
      <c r="I181" s="49"/>
      <c r="J181" s="49"/>
      <c r="K181" s="49"/>
      <c r="L181" s="49"/>
      <c r="M181" s="49"/>
      <c r="N181" s="49"/>
      <c r="O181" s="49"/>
    </row>
    <row r="182" spans="8:15" ht="14.25" customHeight="1" x14ac:dyDescent="0.25">
      <c r="H182" s="49"/>
      <c r="I182" s="49"/>
      <c r="J182" s="49"/>
      <c r="K182" s="49"/>
      <c r="L182" s="49"/>
      <c r="M182" s="49"/>
      <c r="N182" s="49"/>
      <c r="O182" s="49"/>
    </row>
    <row r="183" spans="8:15" ht="14.25" customHeight="1" x14ac:dyDescent="0.25">
      <c r="H183" s="49"/>
      <c r="I183" s="49"/>
      <c r="J183" s="49"/>
      <c r="K183" s="49"/>
      <c r="L183" s="49"/>
      <c r="M183" s="49"/>
      <c r="N183" s="49"/>
      <c r="O183" s="49"/>
    </row>
    <row r="184" spans="8:15" ht="14.25" customHeight="1" x14ac:dyDescent="0.25">
      <c r="H184" s="49"/>
      <c r="I184" s="49"/>
      <c r="J184" s="49"/>
      <c r="K184" s="49"/>
      <c r="L184" s="49"/>
      <c r="M184" s="49"/>
      <c r="N184" s="49"/>
      <c r="O184" s="49"/>
    </row>
    <row r="185" spans="8:15" ht="14.25" customHeight="1" x14ac:dyDescent="0.25">
      <c r="H185" s="49"/>
      <c r="I185" s="49"/>
      <c r="J185" s="49"/>
      <c r="K185" s="49"/>
      <c r="L185" s="49"/>
      <c r="M185" s="49"/>
      <c r="N185" s="49"/>
      <c r="O185" s="49"/>
    </row>
    <row r="186" spans="8:15" ht="14.25" customHeight="1" x14ac:dyDescent="0.25">
      <c r="H186" s="49"/>
      <c r="I186" s="49"/>
      <c r="J186" s="49"/>
      <c r="K186" s="49"/>
      <c r="L186" s="49"/>
      <c r="M186" s="49"/>
      <c r="N186" s="49"/>
      <c r="O186" s="49"/>
    </row>
    <row r="187" spans="8:15" ht="14.25" customHeight="1" x14ac:dyDescent="0.25">
      <c r="H187" s="49"/>
      <c r="I187" s="49"/>
      <c r="J187" s="49"/>
      <c r="K187" s="49"/>
      <c r="L187" s="49"/>
      <c r="M187" s="49"/>
      <c r="N187" s="49"/>
      <c r="O187" s="49"/>
    </row>
    <row r="188" spans="8:15" ht="14.25" customHeight="1" x14ac:dyDescent="0.25">
      <c r="H188" s="49"/>
      <c r="I188" s="49"/>
      <c r="J188" s="49"/>
      <c r="K188" s="49"/>
      <c r="L188" s="49"/>
      <c r="M188" s="49"/>
      <c r="N188" s="49"/>
      <c r="O188" s="49"/>
    </row>
    <row r="189" spans="8:15" ht="14.25" customHeight="1" x14ac:dyDescent="0.25">
      <c r="H189" s="49"/>
      <c r="I189" s="49"/>
      <c r="J189" s="49"/>
      <c r="K189" s="49"/>
      <c r="L189" s="49"/>
      <c r="M189" s="49"/>
      <c r="N189" s="49"/>
      <c r="O189" s="49"/>
    </row>
    <row r="190" spans="8:15" ht="14.25" customHeight="1" x14ac:dyDescent="0.25">
      <c r="H190" s="49"/>
      <c r="I190" s="49"/>
      <c r="J190" s="49"/>
      <c r="K190" s="49"/>
      <c r="L190" s="49"/>
      <c r="M190" s="49"/>
      <c r="N190" s="49"/>
      <c r="O190" s="49"/>
    </row>
    <row r="191" spans="8:15" ht="14.25" customHeight="1" x14ac:dyDescent="0.25">
      <c r="H191" s="49"/>
      <c r="I191" s="49"/>
      <c r="J191" s="49"/>
      <c r="K191" s="49"/>
      <c r="L191" s="49"/>
      <c r="M191" s="49"/>
      <c r="N191" s="49"/>
      <c r="O191" s="49"/>
    </row>
    <row r="192" spans="8:15" ht="14.25" customHeight="1" x14ac:dyDescent="0.25">
      <c r="H192" s="49"/>
      <c r="I192" s="49"/>
      <c r="J192" s="49"/>
      <c r="K192" s="49"/>
      <c r="L192" s="49"/>
      <c r="M192" s="49"/>
      <c r="N192" s="49"/>
      <c r="O192" s="49"/>
    </row>
    <row r="193" spans="8:15" ht="14.25" customHeight="1" x14ac:dyDescent="0.25">
      <c r="H193" s="49"/>
      <c r="I193" s="49"/>
      <c r="J193" s="49"/>
      <c r="K193" s="49"/>
      <c r="L193" s="49"/>
      <c r="M193" s="49"/>
      <c r="N193" s="49"/>
      <c r="O193" s="49"/>
    </row>
    <row r="194" spans="8:15" ht="14.25" customHeight="1" x14ac:dyDescent="0.25">
      <c r="H194" s="49"/>
      <c r="I194" s="49"/>
      <c r="J194" s="49"/>
      <c r="K194" s="49"/>
      <c r="L194" s="49"/>
      <c r="M194" s="49"/>
      <c r="N194" s="49"/>
      <c r="O194" s="49"/>
    </row>
    <row r="195" spans="8:15" ht="14.25" customHeight="1" x14ac:dyDescent="0.25">
      <c r="H195" s="49"/>
      <c r="I195" s="49"/>
      <c r="J195" s="49"/>
      <c r="K195" s="49"/>
      <c r="L195" s="49"/>
      <c r="M195" s="49"/>
      <c r="N195" s="49"/>
      <c r="O195" s="49"/>
    </row>
    <row r="196" spans="8:15" ht="14.25" customHeight="1" x14ac:dyDescent="0.25">
      <c r="H196" s="49"/>
      <c r="I196" s="49"/>
      <c r="J196" s="49"/>
      <c r="K196" s="49"/>
      <c r="L196" s="49"/>
      <c r="M196" s="49"/>
      <c r="N196" s="49"/>
      <c r="O196" s="49"/>
    </row>
    <row r="197" spans="8:15" ht="14.25" customHeight="1" x14ac:dyDescent="0.25">
      <c r="H197" s="49"/>
      <c r="I197" s="49"/>
      <c r="J197" s="49"/>
      <c r="K197" s="49"/>
      <c r="L197" s="49"/>
      <c r="M197" s="49"/>
      <c r="N197" s="49"/>
      <c r="O197" s="49"/>
    </row>
    <row r="198" spans="8:15" ht="14.25" customHeight="1" x14ac:dyDescent="0.25">
      <c r="H198" s="49"/>
      <c r="I198" s="49"/>
      <c r="J198" s="49"/>
      <c r="K198" s="49"/>
      <c r="L198" s="49"/>
      <c r="M198" s="49"/>
      <c r="N198" s="49"/>
      <c r="O198" s="49"/>
    </row>
    <row r="199" spans="8:15" ht="14.25" customHeight="1" x14ac:dyDescent="0.25">
      <c r="H199" s="49"/>
      <c r="I199" s="49"/>
      <c r="J199" s="49"/>
      <c r="K199" s="49"/>
      <c r="L199" s="49"/>
      <c r="M199" s="49"/>
      <c r="N199" s="49"/>
      <c r="O199" s="49"/>
    </row>
    <row r="200" spans="8:15" ht="14.25" customHeight="1" x14ac:dyDescent="0.25">
      <c r="H200" s="49"/>
      <c r="I200" s="49"/>
      <c r="J200" s="49"/>
      <c r="K200" s="49"/>
      <c r="L200" s="49"/>
      <c r="M200" s="49"/>
      <c r="N200" s="49"/>
      <c r="O200" s="49"/>
    </row>
    <row r="201" spans="8:15" ht="14.25" customHeight="1" x14ac:dyDescent="0.25">
      <c r="H201" s="49"/>
      <c r="I201" s="49"/>
      <c r="J201" s="49"/>
      <c r="K201" s="49"/>
      <c r="L201" s="49"/>
      <c r="M201" s="49"/>
      <c r="N201" s="49"/>
      <c r="O201" s="49"/>
    </row>
    <row r="202" spans="8:15" ht="14.25" customHeight="1" x14ac:dyDescent="0.25">
      <c r="H202" s="49"/>
      <c r="I202" s="49"/>
      <c r="J202" s="49"/>
      <c r="K202" s="49"/>
      <c r="L202" s="49"/>
      <c r="M202" s="49"/>
      <c r="N202" s="49"/>
      <c r="O202" s="49"/>
    </row>
    <row r="203" spans="8:15" ht="14.25" customHeight="1" x14ac:dyDescent="0.25">
      <c r="H203" s="49"/>
      <c r="I203" s="49"/>
      <c r="J203" s="49"/>
      <c r="K203" s="49"/>
      <c r="L203" s="49"/>
      <c r="M203" s="49"/>
      <c r="N203" s="49"/>
      <c r="O203" s="49"/>
    </row>
    <row r="204" spans="8:15" ht="14.25" customHeight="1" x14ac:dyDescent="0.25">
      <c r="H204" s="49"/>
      <c r="I204" s="49"/>
      <c r="J204" s="49"/>
      <c r="K204" s="49"/>
      <c r="L204" s="49"/>
      <c r="M204" s="49"/>
      <c r="N204" s="49"/>
      <c r="O204" s="49"/>
    </row>
    <row r="205" spans="8:15" ht="14.25" customHeight="1" x14ac:dyDescent="0.25">
      <c r="H205" s="49"/>
      <c r="I205" s="49"/>
      <c r="J205" s="49"/>
      <c r="K205" s="49"/>
      <c r="L205" s="49"/>
      <c r="M205" s="49"/>
      <c r="N205" s="49"/>
      <c r="O205" s="49"/>
    </row>
    <row r="206" spans="8:15" ht="14.25" customHeight="1" x14ac:dyDescent="0.25">
      <c r="H206" s="49"/>
      <c r="I206" s="49"/>
      <c r="J206" s="49"/>
      <c r="K206" s="49"/>
      <c r="L206" s="49"/>
      <c r="M206" s="49"/>
      <c r="N206" s="49"/>
      <c r="O206" s="49"/>
    </row>
    <row r="207" spans="8:15" ht="14.25" customHeight="1" x14ac:dyDescent="0.25">
      <c r="H207" s="49"/>
      <c r="I207" s="49"/>
      <c r="J207" s="49"/>
      <c r="K207" s="49"/>
      <c r="L207" s="49"/>
      <c r="M207" s="49"/>
      <c r="N207" s="49"/>
      <c r="O207" s="49"/>
    </row>
    <row r="208" spans="8:15" ht="14.25" customHeight="1" x14ac:dyDescent="0.25">
      <c r="H208" s="49"/>
      <c r="I208" s="49"/>
      <c r="J208" s="49"/>
      <c r="K208" s="49"/>
      <c r="L208" s="49"/>
      <c r="M208" s="49"/>
      <c r="N208" s="49"/>
      <c r="O208" s="49"/>
    </row>
    <row r="209" spans="8:15" ht="14.25" customHeight="1" x14ac:dyDescent="0.25">
      <c r="H209" s="49"/>
      <c r="I209" s="49"/>
      <c r="J209" s="49"/>
      <c r="K209" s="49"/>
      <c r="L209" s="49"/>
      <c r="M209" s="49"/>
      <c r="N209" s="49"/>
      <c r="O209" s="49"/>
    </row>
    <row r="210" spans="8:15" ht="14.25" customHeight="1" x14ac:dyDescent="0.25">
      <c r="H210" s="49"/>
      <c r="I210" s="49"/>
      <c r="J210" s="49"/>
      <c r="K210" s="49"/>
      <c r="L210" s="49"/>
      <c r="M210" s="49"/>
      <c r="N210" s="49"/>
      <c r="O210" s="49"/>
    </row>
    <row r="211" spans="8:15" ht="14.25" customHeight="1" x14ac:dyDescent="0.25">
      <c r="H211" s="49"/>
      <c r="I211" s="49"/>
      <c r="J211" s="49"/>
      <c r="K211" s="49"/>
      <c r="L211" s="49"/>
      <c r="M211" s="49"/>
      <c r="N211" s="49"/>
      <c r="O211" s="49"/>
    </row>
    <row r="212" spans="8:15" ht="14.25" customHeight="1" x14ac:dyDescent="0.25">
      <c r="H212" s="49"/>
      <c r="I212" s="49"/>
      <c r="J212" s="49"/>
      <c r="K212" s="49"/>
      <c r="L212" s="49"/>
      <c r="M212" s="49"/>
      <c r="N212" s="49"/>
      <c r="O212" s="49"/>
    </row>
    <row r="213" spans="8:15" ht="14.25" customHeight="1" x14ac:dyDescent="0.25">
      <c r="H213" s="49"/>
      <c r="I213" s="49"/>
      <c r="J213" s="49"/>
      <c r="K213" s="49"/>
      <c r="L213" s="49"/>
      <c r="M213" s="49"/>
      <c r="N213" s="49"/>
      <c r="O213" s="49"/>
    </row>
    <row r="214" spans="8:15" ht="14.25" customHeight="1" x14ac:dyDescent="0.25">
      <c r="H214" s="49"/>
      <c r="I214" s="49"/>
      <c r="J214" s="49"/>
      <c r="K214" s="49"/>
      <c r="L214" s="49"/>
      <c r="M214" s="49"/>
      <c r="N214" s="49"/>
      <c r="O214" s="49"/>
    </row>
    <row r="215" spans="8:15" ht="14.25" customHeight="1" x14ac:dyDescent="0.25">
      <c r="H215" s="49"/>
      <c r="I215" s="49"/>
      <c r="J215" s="49"/>
      <c r="K215" s="49"/>
      <c r="L215" s="49"/>
      <c r="M215" s="49"/>
      <c r="N215" s="49"/>
      <c r="O215" s="49"/>
    </row>
    <row r="216" spans="8:15" ht="14.25" customHeight="1" x14ac:dyDescent="0.25">
      <c r="H216" s="49"/>
      <c r="I216" s="49"/>
      <c r="J216" s="49"/>
      <c r="K216" s="49"/>
      <c r="L216" s="49"/>
      <c r="M216" s="49"/>
      <c r="N216" s="49"/>
      <c r="O216" s="49"/>
    </row>
    <row r="217" spans="8:15" ht="14.25" customHeight="1" x14ac:dyDescent="0.25">
      <c r="H217" s="49"/>
      <c r="I217" s="49"/>
      <c r="J217" s="49"/>
      <c r="K217" s="49"/>
      <c r="L217" s="49"/>
      <c r="M217" s="49"/>
      <c r="N217" s="49"/>
      <c r="O217" s="49"/>
    </row>
    <row r="218" spans="8:15" ht="14.25" customHeight="1" x14ac:dyDescent="0.25">
      <c r="H218" s="49"/>
      <c r="I218" s="49"/>
      <c r="J218" s="49"/>
      <c r="K218" s="49"/>
      <c r="L218" s="49"/>
      <c r="M218" s="49"/>
      <c r="N218" s="49"/>
      <c r="O218" s="49"/>
    </row>
    <row r="219" spans="8:15" ht="14.25" customHeight="1" x14ac:dyDescent="0.25">
      <c r="H219" s="49"/>
      <c r="I219" s="49"/>
      <c r="J219" s="49"/>
      <c r="K219" s="49"/>
      <c r="L219" s="49"/>
      <c r="M219" s="49"/>
      <c r="N219" s="49"/>
      <c r="O219" s="49"/>
    </row>
    <row r="220" spans="8:15" ht="14.25" customHeight="1" x14ac:dyDescent="0.25">
      <c r="H220" s="49"/>
      <c r="I220" s="49"/>
      <c r="J220" s="49"/>
      <c r="K220" s="49"/>
      <c r="L220" s="49"/>
      <c r="M220" s="49"/>
      <c r="N220" s="49"/>
      <c r="O220" s="49"/>
    </row>
    <row r="221" spans="8:15" ht="14.25" customHeight="1" x14ac:dyDescent="0.25">
      <c r="H221" s="49"/>
      <c r="I221" s="49"/>
      <c r="J221" s="49"/>
      <c r="K221" s="49"/>
      <c r="L221" s="49"/>
      <c r="M221" s="49"/>
      <c r="N221" s="49"/>
      <c r="O221" s="49"/>
    </row>
    <row r="222" spans="8:15" ht="14.25" customHeight="1" x14ac:dyDescent="0.25">
      <c r="H222" s="49"/>
      <c r="I222" s="49"/>
      <c r="J222" s="49"/>
      <c r="K222" s="49"/>
      <c r="L222" s="49"/>
      <c r="M222" s="49"/>
      <c r="N222" s="49"/>
      <c r="O222" s="49"/>
    </row>
    <row r="223" spans="8:15" ht="14.25" customHeight="1" x14ac:dyDescent="0.25">
      <c r="H223" s="49"/>
      <c r="I223" s="49"/>
      <c r="J223" s="49"/>
      <c r="K223" s="49"/>
      <c r="L223" s="49"/>
      <c r="M223" s="49"/>
      <c r="N223" s="49"/>
      <c r="O223" s="49"/>
    </row>
    <row r="224" spans="8:15" ht="14.25" customHeight="1" x14ac:dyDescent="0.25">
      <c r="H224" s="49"/>
      <c r="I224" s="49"/>
      <c r="J224" s="49"/>
      <c r="K224" s="49"/>
      <c r="L224" s="49"/>
      <c r="M224" s="49"/>
      <c r="N224" s="49"/>
      <c r="O224" s="49"/>
    </row>
    <row r="225" spans="8:15" ht="14.25" customHeight="1" x14ac:dyDescent="0.25">
      <c r="H225" s="49"/>
      <c r="I225" s="49"/>
      <c r="J225" s="49"/>
      <c r="K225" s="49"/>
      <c r="L225" s="49"/>
      <c r="M225" s="49"/>
      <c r="N225" s="49"/>
      <c r="O225" s="49"/>
    </row>
    <row r="226" spans="8:15" ht="14.25" customHeight="1" x14ac:dyDescent="0.25">
      <c r="H226" s="49"/>
      <c r="I226" s="49"/>
      <c r="J226" s="49"/>
      <c r="K226" s="49"/>
      <c r="L226" s="49"/>
      <c r="M226" s="49"/>
      <c r="N226" s="49"/>
      <c r="O226" s="49"/>
    </row>
    <row r="227" spans="8:15" ht="14.25" customHeight="1" x14ac:dyDescent="0.25">
      <c r="H227" s="49"/>
      <c r="I227" s="49"/>
      <c r="J227" s="49"/>
      <c r="K227" s="49"/>
      <c r="L227" s="49"/>
      <c r="M227" s="49"/>
      <c r="N227" s="49"/>
      <c r="O227" s="49"/>
    </row>
    <row r="228" spans="8:15" ht="14.25" customHeight="1" x14ac:dyDescent="0.25">
      <c r="H228" s="49"/>
      <c r="I228" s="49"/>
      <c r="J228" s="49"/>
      <c r="K228" s="49"/>
      <c r="L228" s="49"/>
      <c r="M228" s="49"/>
      <c r="N228" s="49"/>
      <c r="O228" s="49"/>
    </row>
    <row r="229" spans="8:15" ht="14.25" customHeight="1" x14ac:dyDescent="0.25">
      <c r="H229" s="49"/>
      <c r="I229" s="49"/>
      <c r="J229" s="49"/>
      <c r="K229" s="49"/>
      <c r="L229" s="49"/>
      <c r="M229" s="49"/>
      <c r="N229" s="49"/>
      <c r="O229" s="49"/>
    </row>
    <row r="230" spans="8:15" ht="14.25" customHeight="1" x14ac:dyDescent="0.25">
      <c r="H230" s="49"/>
      <c r="I230" s="49"/>
      <c r="J230" s="49"/>
      <c r="K230" s="49"/>
      <c r="L230" s="49"/>
      <c r="M230" s="49"/>
      <c r="N230" s="49"/>
      <c r="O230" s="49"/>
    </row>
    <row r="231" spans="8:15" ht="14.25" customHeight="1" x14ac:dyDescent="0.25">
      <c r="H231" s="49"/>
      <c r="I231" s="49"/>
      <c r="J231" s="49"/>
      <c r="K231" s="49"/>
      <c r="L231" s="49"/>
      <c r="M231" s="49"/>
      <c r="N231" s="49"/>
      <c r="O231" s="49"/>
    </row>
    <row r="232" spans="8:15" ht="14.25" customHeight="1" x14ac:dyDescent="0.25">
      <c r="H232" s="49"/>
      <c r="I232" s="49"/>
      <c r="J232" s="49"/>
      <c r="K232" s="49"/>
      <c r="L232" s="49"/>
      <c r="M232" s="49"/>
      <c r="N232" s="49"/>
      <c r="O232" s="49"/>
    </row>
    <row r="233" spans="8:15" ht="14.25" customHeight="1" x14ac:dyDescent="0.25">
      <c r="H233" s="49"/>
      <c r="I233" s="49"/>
      <c r="J233" s="49"/>
      <c r="K233" s="49"/>
      <c r="L233" s="49"/>
      <c r="M233" s="49"/>
      <c r="N233" s="49"/>
      <c r="O233" s="49"/>
    </row>
    <row r="234" spans="8:15" ht="14.25" customHeight="1" x14ac:dyDescent="0.25">
      <c r="H234" s="49"/>
      <c r="I234" s="49"/>
      <c r="J234" s="49"/>
      <c r="K234" s="49"/>
      <c r="L234" s="49"/>
      <c r="M234" s="49"/>
      <c r="N234" s="49"/>
      <c r="O234" s="49"/>
    </row>
    <row r="235" spans="8:15" ht="14.25" customHeight="1" x14ac:dyDescent="0.25">
      <c r="H235" s="49"/>
      <c r="I235" s="49"/>
      <c r="J235" s="49"/>
      <c r="K235" s="49"/>
      <c r="L235" s="49"/>
      <c r="M235" s="49"/>
      <c r="N235" s="49"/>
      <c r="O235" s="49"/>
    </row>
    <row r="236" spans="8:15" ht="14.25" customHeight="1" x14ac:dyDescent="0.25">
      <c r="H236" s="49"/>
      <c r="I236" s="49"/>
      <c r="J236" s="49"/>
      <c r="K236" s="49"/>
      <c r="L236" s="49"/>
      <c r="M236" s="49"/>
      <c r="N236" s="49"/>
      <c r="O236" s="49"/>
    </row>
    <row r="237" spans="8:15" ht="14.25" customHeight="1" x14ac:dyDescent="0.25">
      <c r="H237" s="49"/>
      <c r="I237" s="49"/>
      <c r="J237" s="49"/>
      <c r="K237" s="49"/>
      <c r="L237" s="49"/>
      <c r="M237" s="49"/>
      <c r="N237" s="49"/>
      <c r="O237" s="49"/>
    </row>
    <row r="238" spans="8:15" ht="14.25" customHeight="1" x14ac:dyDescent="0.25">
      <c r="H238" s="49"/>
      <c r="I238" s="49"/>
      <c r="J238" s="49"/>
      <c r="K238" s="49"/>
      <c r="L238" s="49"/>
      <c r="M238" s="49"/>
      <c r="N238" s="49"/>
      <c r="O238" s="49"/>
    </row>
    <row r="239" spans="8:15" ht="14.25" customHeight="1" x14ac:dyDescent="0.25">
      <c r="H239" s="49"/>
      <c r="I239" s="49"/>
      <c r="J239" s="49"/>
      <c r="K239" s="49"/>
      <c r="L239" s="49"/>
      <c r="M239" s="49"/>
      <c r="N239" s="49"/>
      <c r="O239" s="49"/>
    </row>
    <row r="240" spans="8:15" ht="14.25" customHeight="1" x14ac:dyDescent="0.25">
      <c r="H240" s="49"/>
      <c r="I240" s="49"/>
      <c r="J240" s="49"/>
      <c r="K240" s="49"/>
      <c r="L240" s="49"/>
      <c r="M240" s="49"/>
      <c r="N240" s="49"/>
      <c r="O240" s="49"/>
    </row>
    <row r="241" spans="8:15" ht="14.25" customHeight="1" x14ac:dyDescent="0.25">
      <c r="H241" s="49"/>
      <c r="I241" s="49"/>
      <c r="J241" s="49"/>
      <c r="K241" s="49"/>
      <c r="L241" s="49"/>
      <c r="M241" s="49"/>
      <c r="N241" s="49"/>
      <c r="O241" s="49"/>
    </row>
    <row r="242" spans="8:15" ht="14.25" customHeight="1" x14ac:dyDescent="0.25">
      <c r="H242" s="49"/>
      <c r="I242" s="49"/>
      <c r="J242" s="49"/>
      <c r="K242" s="49"/>
      <c r="L242" s="49"/>
      <c r="M242" s="49"/>
      <c r="N242" s="49"/>
      <c r="O242" s="49"/>
    </row>
    <row r="243" spans="8:15" ht="14.25" customHeight="1" x14ac:dyDescent="0.25">
      <c r="H243" s="49"/>
      <c r="I243" s="49"/>
      <c r="J243" s="49"/>
      <c r="K243" s="49"/>
      <c r="L243" s="49"/>
      <c r="M243" s="49"/>
      <c r="N243" s="49"/>
      <c r="O243" s="49"/>
    </row>
    <row r="244" spans="8:15" ht="15.75" customHeight="1" x14ac:dyDescent="0.25"/>
    <row r="245" spans="8:15" ht="15.75" customHeight="1" x14ac:dyDescent="0.25"/>
    <row r="246" spans="8:15" ht="15.75" customHeight="1" x14ac:dyDescent="0.25"/>
    <row r="247" spans="8:15" ht="15.75" customHeight="1" x14ac:dyDescent="0.25"/>
    <row r="248" spans="8:15" ht="15.75" customHeight="1" x14ac:dyDescent="0.25"/>
    <row r="249" spans="8:15" ht="15.75" customHeight="1" x14ac:dyDescent="0.25"/>
    <row r="250" spans="8:15" ht="15.75" customHeight="1" x14ac:dyDescent="0.25"/>
    <row r="251" spans="8:15" ht="15.75" customHeight="1" x14ac:dyDescent="0.25"/>
    <row r="252" spans="8:15" ht="15.75" customHeight="1" x14ac:dyDescent="0.25"/>
    <row r="253" spans="8:15" ht="15.75" customHeight="1" x14ac:dyDescent="0.25"/>
    <row r="254" spans="8:15" ht="15.75" customHeight="1" x14ac:dyDescent="0.25"/>
    <row r="255" spans="8:15" ht="15.75" customHeight="1" x14ac:dyDescent="0.25"/>
    <row r="256" spans="8:1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H3:O3"/>
    <mergeCell ref="L5:O5"/>
    <mergeCell ref="H9:O9"/>
    <mergeCell ref="B13:B43"/>
    <mergeCell ref="H13:K13"/>
    <mergeCell ref="H15:K15"/>
    <mergeCell ref="H21:I21"/>
    <mergeCell ref="K29:L29"/>
    <mergeCell ref="J31:K31"/>
    <mergeCell ref="L31:N31"/>
    <mergeCell ref="L33:M33"/>
    <mergeCell ref="D35:D39"/>
    <mergeCell ref="H35:J35"/>
    <mergeCell ref="H37:J37"/>
    <mergeCell ref="H39:J39"/>
    <mergeCell ref="H17:J17"/>
    <mergeCell ref="H19:J19"/>
    <mergeCell ref="D17:D23"/>
    <mergeCell ref="D25:D33"/>
    <mergeCell ref="H25:I25"/>
    <mergeCell ref="H27:J27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21:A1000"/>
  <sheetViews>
    <sheetView workbookViewId="0"/>
  </sheetViews>
  <sheetFormatPr baseColWidth="10" defaultColWidth="14.42578125" defaultRowHeight="15" customHeight="1" x14ac:dyDescent="0.25"/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Q1000"/>
  <sheetViews>
    <sheetView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G10" sqref="G10"/>
    </sheetView>
  </sheetViews>
  <sheetFormatPr baseColWidth="10" defaultColWidth="14.42578125" defaultRowHeight="15" customHeight="1" x14ac:dyDescent="0.25"/>
  <cols>
    <col min="1" max="1" width="8.85546875" customWidth="1"/>
    <col min="2" max="2" width="24.85546875" customWidth="1"/>
    <col min="3" max="3" width="1.28515625" customWidth="1"/>
    <col min="4" max="4" width="24.7109375" customWidth="1"/>
    <col min="5" max="5" width="1.28515625" customWidth="1"/>
    <col min="6" max="6" width="23.7109375" customWidth="1"/>
    <col min="7" max="7" width="3.140625" customWidth="1"/>
    <col min="8" max="10" width="18.7109375" customWidth="1"/>
    <col min="11" max="11" width="2.7109375" customWidth="1"/>
    <col min="12" max="12" width="12.7109375" customWidth="1"/>
    <col min="13" max="23" width="10.7109375" customWidth="1"/>
    <col min="24" max="24" width="1.28515625" customWidth="1"/>
    <col min="25" max="36" width="10.7109375" customWidth="1"/>
    <col min="37" max="37" width="1.28515625" customWidth="1"/>
    <col min="38" max="43" width="8.85546875" customWidth="1"/>
  </cols>
  <sheetData>
    <row r="1" spans="2:43" ht="14.25" customHeight="1" x14ac:dyDescent="0.25">
      <c r="H1" s="49"/>
      <c r="I1" s="49"/>
      <c r="J1" s="4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2:43" ht="14.25" customHeight="1" x14ac:dyDescent="0.25">
      <c r="H2" s="49"/>
      <c r="I2" s="49"/>
      <c r="J2" s="4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2:43" ht="14.25" customHeight="1" x14ac:dyDescent="0.25">
      <c r="H3" s="49"/>
      <c r="I3" s="49"/>
      <c r="J3" s="4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2:43" ht="37.5" customHeight="1" x14ac:dyDescent="0.25">
      <c r="H4" s="895">
        <v>2024</v>
      </c>
      <c r="I4" s="568"/>
      <c r="J4" s="569"/>
      <c r="L4" s="896">
        <v>2025</v>
      </c>
      <c r="M4" s="568"/>
      <c r="N4" s="568"/>
      <c r="O4" s="568"/>
      <c r="P4" s="568"/>
      <c r="Q4" s="568"/>
      <c r="R4" s="568"/>
      <c r="S4" s="568"/>
      <c r="T4" s="568"/>
      <c r="U4" s="568"/>
      <c r="V4" s="568"/>
      <c r="W4" s="569"/>
      <c r="Y4" s="897">
        <v>2026</v>
      </c>
      <c r="Z4" s="568"/>
      <c r="AA4" s="568"/>
      <c r="AB4" s="568"/>
      <c r="AC4" s="568"/>
      <c r="AD4" s="568"/>
      <c r="AE4" s="568"/>
      <c r="AF4" s="568"/>
      <c r="AG4" s="568"/>
      <c r="AH4" s="568"/>
      <c r="AI4" s="568"/>
      <c r="AJ4" s="569"/>
      <c r="AL4" s="898">
        <v>2027</v>
      </c>
      <c r="AM4" s="568"/>
      <c r="AN4" s="568"/>
      <c r="AO4" s="568"/>
      <c r="AP4" s="568"/>
      <c r="AQ4" s="570"/>
    </row>
    <row r="5" spans="2:43" ht="6" customHeight="1" x14ac:dyDescent="0.25">
      <c r="H5" s="49"/>
      <c r="I5" s="49"/>
      <c r="J5" s="4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2:43" ht="24" customHeight="1" x14ac:dyDescent="0.25">
      <c r="B6" s="3" t="s">
        <v>758</v>
      </c>
      <c r="D6" s="3" t="s">
        <v>532</v>
      </c>
      <c r="F6" s="3" t="s">
        <v>759</v>
      </c>
      <c r="H6" s="167" t="s">
        <v>760</v>
      </c>
      <c r="I6" s="167" t="s">
        <v>673</v>
      </c>
      <c r="J6" s="167" t="s">
        <v>93</v>
      </c>
      <c r="L6" s="3" t="s">
        <v>761</v>
      </c>
      <c r="M6" s="3" t="s">
        <v>762</v>
      </c>
      <c r="N6" s="3" t="s">
        <v>763</v>
      </c>
      <c r="O6" s="3" t="s">
        <v>764</v>
      </c>
      <c r="P6" s="3" t="s">
        <v>765</v>
      </c>
      <c r="Q6" s="3" t="s">
        <v>766</v>
      </c>
      <c r="R6" s="3" t="s">
        <v>767</v>
      </c>
      <c r="S6" s="3" t="s">
        <v>768</v>
      </c>
      <c r="T6" s="3" t="s">
        <v>769</v>
      </c>
      <c r="U6" s="3" t="s">
        <v>760</v>
      </c>
      <c r="V6" s="3" t="s">
        <v>673</v>
      </c>
      <c r="W6" s="3" t="s">
        <v>93</v>
      </c>
      <c r="Y6" s="3" t="s">
        <v>761</v>
      </c>
      <c r="Z6" s="3" t="s">
        <v>762</v>
      </c>
      <c r="AA6" s="3" t="s">
        <v>763</v>
      </c>
      <c r="AB6" s="3" t="s">
        <v>764</v>
      </c>
      <c r="AC6" s="3" t="s">
        <v>765</v>
      </c>
      <c r="AD6" s="3" t="s">
        <v>766</v>
      </c>
      <c r="AE6" s="3" t="s">
        <v>767</v>
      </c>
      <c r="AF6" s="3" t="s">
        <v>768</v>
      </c>
      <c r="AG6" s="3" t="s">
        <v>769</v>
      </c>
      <c r="AH6" s="3" t="s">
        <v>760</v>
      </c>
      <c r="AI6" s="3" t="s">
        <v>673</v>
      </c>
      <c r="AJ6" s="3" t="s">
        <v>93</v>
      </c>
      <c r="AL6" s="3" t="s">
        <v>770</v>
      </c>
      <c r="AM6" s="3" t="s">
        <v>762</v>
      </c>
      <c r="AN6" s="3" t="s">
        <v>771</v>
      </c>
      <c r="AO6" s="3" t="s">
        <v>764</v>
      </c>
      <c r="AP6" s="3" t="s">
        <v>772</v>
      </c>
      <c r="AQ6" s="3" t="s">
        <v>766</v>
      </c>
    </row>
    <row r="7" spans="2:43" ht="6.75" customHeight="1" x14ac:dyDescent="0.25">
      <c r="B7" s="5"/>
      <c r="F7" s="5"/>
      <c r="H7" s="49"/>
      <c r="I7" s="49"/>
      <c r="J7" s="4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L7" s="5"/>
      <c r="AM7" s="5"/>
      <c r="AN7" s="5"/>
      <c r="AO7" s="5"/>
      <c r="AP7" s="5"/>
      <c r="AQ7" s="5"/>
    </row>
    <row r="8" spans="2:43" ht="24" customHeight="1" x14ac:dyDescent="0.25">
      <c r="B8" s="5"/>
      <c r="D8" s="5"/>
      <c r="F8" s="5"/>
      <c r="H8" s="899" t="s">
        <v>674</v>
      </c>
      <c r="I8" s="568"/>
      <c r="J8" s="569"/>
      <c r="L8" s="900" t="s">
        <v>773</v>
      </c>
      <c r="M8" s="568"/>
      <c r="N8" s="568"/>
      <c r="O8" s="568"/>
      <c r="P8" s="568"/>
      <c r="Q8" s="568"/>
      <c r="R8" s="568"/>
      <c r="S8" s="568"/>
      <c r="T8" s="568"/>
      <c r="U8" s="568"/>
      <c r="V8" s="568"/>
      <c r="W8" s="569"/>
      <c r="Y8" s="901" t="s">
        <v>774</v>
      </c>
      <c r="Z8" s="568"/>
      <c r="AA8" s="568"/>
      <c r="AB8" s="568"/>
      <c r="AC8" s="568"/>
      <c r="AD8" s="568"/>
      <c r="AE8" s="568"/>
      <c r="AF8" s="568"/>
      <c r="AG8" s="569"/>
      <c r="AH8" s="5"/>
      <c r="AI8" s="5"/>
      <c r="AJ8" s="5"/>
      <c r="AL8" s="5"/>
      <c r="AM8" s="5"/>
      <c r="AN8" s="5"/>
      <c r="AO8" s="5"/>
      <c r="AP8" s="5"/>
      <c r="AQ8" s="5"/>
    </row>
    <row r="9" spans="2:43" ht="6.75" customHeight="1" x14ac:dyDescent="0.25">
      <c r="B9" s="5"/>
      <c r="F9" s="5"/>
      <c r="H9" s="49"/>
      <c r="I9" s="49"/>
      <c r="J9" s="4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L9" s="5"/>
      <c r="AM9" s="5"/>
      <c r="AN9" s="5"/>
      <c r="AO9" s="5"/>
      <c r="AP9" s="5"/>
      <c r="AQ9" s="5"/>
    </row>
    <row r="10" spans="2:43" ht="24" customHeight="1" x14ac:dyDescent="0.25">
      <c r="B10" s="5"/>
      <c r="D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900" t="s">
        <v>775</v>
      </c>
      <c r="S10" s="568"/>
      <c r="T10" s="568"/>
      <c r="U10" s="568"/>
      <c r="V10" s="568"/>
      <c r="W10" s="569"/>
      <c r="Y10" s="901" t="s">
        <v>775</v>
      </c>
      <c r="Z10" s="568"/>
      <c r="AA10" s="568"/>
      <c r="AB10" s="568"/>
      <c r="AC10" s="568"/>
      <c r="AD10" s="568"/>
      <c r="AE10" s="568"/>
      <c r="AF10" s="568"/>
      <c r="AG10" s="568"/>
      <c r="AH10" s="568"/>
      <c r="AI10" s="568"/>
      <c r="AJ10" s="569"/>
      <c r="AL10" s="902" t="s">
        <v>775</v>
      </c>
      <c r="AM10" s="568"/>
      <c r="AN10" s="568"/>
      <c r="AO10" s="568"/>
      <c r="AP10" s="568"/>
      <c r="AQ10" s="569"/>
    </row>
    <row r="11" spans="2:43" ht="6.75" customHeight="1" x14ac:dyDescent="0.25">
      <c r="B11" s="5"/>
      <c r="F11" s="5"/>
      <c r="H11" s="49"/>
      <c r="I11" s="49"/>
      <c r="J11" s="4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L11" s="5"/>
      <c r="AM11" s="5"/>
      <c r="AN11" s="5"/>
      <c r="AO11" s="5"/>
      <c r="AP11" s="5"/>
      <c r="AQ11" s="5"/>
    </row>
    <row r="12" spans="2:43" ht="48" customHeight="1" x14ac:dyDescent="0.25">
      <c r="B12" s="903" t="s">
        <v>776</v>
      </c>
      <c r="D12" s="888" t="s">
        <v>717</v>
      </c>
      <c r="F12" s="889"/>
      <c r="H12" s="904" t="s">
        <v>777</v>
      </c>
      <c r="I12" s="568"/>
      <c r="J12" s="56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L12" s="5"/>
      <c r="AM12" s="5"/>
      <c r="AN12" s="5"/>
      <c r="AO12" s="5"/>
      <c r="AP12" s="5"/>
      <c r="AQ12" s="5"/>
    </row>
    <row r="13" spans="2:43" ht="6" customHeight="1" x14ac:dyDescent="0.25">
      <c r="B13" s="624"/>
      <c r="D13" s="624"/>
      <c r="F13" s="624"/>
      <c r="H13" s="49"/>
      <c r="I13" s="49"/>
      <c r="J13" s="49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2:43" ht="34.5" customHeight="1" x14ac:dyDescent="0.25">
      <c r="B14" s="624"/>
      <c r="D14" s="624"/>
      <c r="F14" s="624"/>
      <c r="H14" s="905" t="s">
        <v>778</v>
      </c>
      <c r="I14" s="568"/>
      <c r="J14" s="56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L14" s="5"/>
      <c r="AM14" s="5"/>
      <c r="AN14" s="5"/>
      <c r="AO14" s="5"/>
      <c r="AP14" s="5"/>
      <c r="AQ14" s="5"/>
    </row>
    <row r="15" spans="2:43" ht="6" customHeight="1" x14ac:dyDescent="0.25">
      <c r="B15" s="624"/>
      <c r="D15" s="624"/>
      <c r="F15" s="624"/>
      <c r="H15" s="49"/>
      <c r="I15" s="49"/>
      <c r="J15" s="4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2:43" ht="34.5" customHeight="1" x14ac:dyDescent="0.25">
      <c r="B16" s="624"/>
      <c r="D16" s="624"/>
      <c r="F16" s="624"/>
      <c r="H16" s="906" t="s">
        <v>779</v>
      </c>
      <c r="I16" s="568"/>
      <c r="J16" s="56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L16" s="5"/>
      <c r="AM16" s="5"/>
      <c r="AN16" s="5"/>
      <c r="AO16" s="5"/>
      <c r="AP16" s="5"/>
      <c r="AQ16" s="5"/>
    </row>
    <row r="17" spans="2:43" ht="6" customHeight="1" x14ac:dyDescent="0.25">
      <c r="B17" s="624"/>
      <c r="D17" s="624"/>
      <c r="F17" s="624"/>
      <c r="H17" s="49"/>
      <c r="I17" s="49"/>
      <c r="J17" s="4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2:43" ht="34.5" customHeight="1" x14ac:dyDescent="0.25">
      <c r="B18" s="593"/>
      <c r="D18" s="593"/>
      <c r="F18" s="593"/>
      <c r="H18" s="912" t="s">
        <v>780</v>
      </c>
      <c r="I18" s="568"/>
      <c r="J18" s="56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L18" s="5"/>
      <c r="AM18" s="5"/>
      <c r="AN18" s="5"/>
      <c r="AO18" s="5"/>
      <c r="AP18" s="5"/>
      <c r="AQ18" s="5"/>
    </row>
    <row r="19" spans="2:43" ht="15" customHeight="1" x14ac:dyDescent="0.25">
      <c r="H19" s="49"/>
      <c r="I19" s="49"/>
      <c r="J19" s="4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2:43" ht="15" customHeight="1" x14ac:dyDescent="0.25">
      <c r="H20" s="49"/>
      <c r="I20" s="49"/>
      <c r="J20" s="4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2:43" ht="15" customHeight="1" x14ac:dyDescent="0.25">
      <c r="H21" s="49"/>
      <c r="I21" s="49"/>
      <c r="J21" s="4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2:43" ht="9.75" customHeight="1" x14ac:dyDescent="0.25">
      <c r="B22" s="913"/>
      <c r="C22" s="568"/>
      <c r="D22" s="568"/>
      <c r="E22" s="568"/>
      <c r="F22" s="568"/>
      <c r="G22" s="568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8"/>
      <c r="W22" s="568"/>
      <c r="X22" s="568"/>
      <c r="Y22" s="568"/>
      <c r="Z22" s="568"/>
      <c r="AA22" s="568"/>
      <c r="AB22" s="568"/>
      <c r="AC22" s="568"/>
      <c r="AD22" s="568"/>
      <c r="AE22" s="568"/>
      <c r="AF22" s="568"/>
      <c r="AG22" s="568"/>
      <c r="AH22" s="568"/>
      <c r="AI22" s="568"/>
      <c r="AJ22" s="568"/>
      <c r="AK22" s="568"/>
      <c r="AL22" s="568"/>
      <c r="AM22" s="568"/>
      <c r="AN22" s="568"/>
      <c r="AO22" s="568"/>
      <c r="AP22" s="568"/>
      <c r="AQ22" s="569"/>
    </row>
    <row r="23" spans="2:43" ht="15" customHeight="1" x14ac:dyDescent="0.25">
      <c r="H23" s="49"/>
      <c r="I23" s="49"/>
      <c r="J23" s="4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2:43" ht="21" customHeight="1" x14ac:dyDescent="0.25">
      <c r="B24" s="887" t="s">
        <v>716</v>
      </c>
      <c r="D24" s="888" t="s">
        <v>717</v>
      </c>
      <c r="F24" s="889"/>
      <c r="H24" s="430" t="s">
        <v>781</v>
      </c>
      <c r="I24" s="430" t="s">
        <v>782</v>
      </c>
      <c r="J24" s="431" t="s">
        <v>783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2:43" ht="6" customHeight="1" x14ac:dyDescent="0.25">
      <c r="B25" s="624"/>
      <c r="D25" s="624"/>
      <c r="F25" s="624"/>
      <c r="H25" s="49"/>
      <c r="I25" s="49"/>
      <c r="J25" s="4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2:43" ht="88.5" customHeight="1" x14ac:dyDescent="0.25">
      <c r="B26" s="624"/>
      <c r="D26" s="624"/>
      <c r="F26" s="624"/>
      <c r="H26" s="432" t="s">
        <v>784</v>
      </c>
      <c r="I26" s="432" t="s">
        <v>785</v>
      </c>
      <c r="J26" s="432" t="s">
        <v>786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2:43" ht="6" customHeight="1" x14ac:dyDescent="0.2">
      <c r="B27" s="624"/>
      <c r="D27" s="624"/>
      <c r="F27" s="624"/>
      <c r="H27" s="49"/>
      <c r="I27" s="433"/>
      <c r="J27" s="4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2:43" ht="27" customHeight="1" x14ac:dyDescent="0.2">
      <c r="B28" s="624"/>
      <c r="D28" s="624"/>
      <c r="F28" s="624"/>
      <c r="H28" s="167"/>
      <c r="I28" s="434" t="s">
        <v>787</v>
      </c>
      <c r="J28" s="16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2:43" ht="43.5" customHeight="1" x14ac:dyDescent="0.25">
      <c r="B29" s="593"/>
      <c r="D29" s="593"/>
      <c r="F29" s="593"/>
      <c r="H29" s="435" t="s">
        <v>788</v>
      </c>
      <c r="I29" s="436" t="s">
        <v>789</v>
      </c>
      <c r="J29" s="435" t="s">
        <v>790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2:43" ht="6" customHeight="1" x14ac:dyDescent="0.25">
      <c r="H30" s="49"/>
      <c r="I30" s="412"/>
      <c r="J30" s="4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2:43" ht="30" customHeight="1" x14ac:dyDescent="0.25">
      <c r="B31" s="890" t="s">
        <v>725</v>
      </c>
      <c r="F31" s="5"/>
      <c r="H31" s="49"/>
      <c r="I31" s="412"/>
      <c r="J31" s="437" t="s">
        <v>791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2:43" ht="6" customHeight="1" x14ac:dyDescent="0.25">
      <c r="B32" s="714"/>
      <c r="H32" s="49"/>
      <c r="I32" s="412"/>
      <c r="J32" s="41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43" ht="51" customHeight="1" x14ac:dyDescent="0.25">
      <c r="B33" s="714"/>
      <c r="H33" s="49"/>
      <c r="I33" s="49"/>
      <c r="J33" s="436" t="s">
        <v>792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43" ht="6" customHeight="1" x14ac:dyDescent="0.25">
      <c r="B34" s="714"/>
      <c r="F34" s="5"/>
      <c r="H34" s="49"/>
      <c r="I34" s="49"/>
      <c r="J34" s="4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43" ht="30" customHeight="1" x14ac:dyDescent="0.25">
      <c r="B35" s="714"/>
      <c r="F35" s="5"/>
      <c r="H35" s="49"/>
      <c r="I35" s="49"/>
      <c r="J35" s="49"/>
      <c r="L35" s="907" t="s">
        <v>793</v>
      </c>
      <c r="M35" s="582"/>
      <c r="N35" s="582"/>
      <c r="O35" s="582"/>
      <c r="P35" s="582"/>
      <c r="Q35" s="582"/>
      <c r="R35" s="572"/>
      <c r="S35" s="907" t="s">
        <v>794</v>
      </c>
      <c r="T35" s="582"/>
      <c r="U35" s="582"/>
      <c r="V35" s="582"/>
      <c r="W35" s="582"/>
      <c r="X35" s="582"/>
      <c r="Y35" s="582"/>
      <c r="Z35" s="572"/>
      <c r="AA35" s="907" t="s">
        <v>795</v>
      </c>
      <c r="AB35" s="582"/>
      <c r="AC35" s="582"/>
      <c r="AD35" s="582"/>
      <c r="AE35" s="582"/>
      <c r="AF35" s="582"/>
      <c r="AG35" s="572"/>
      <c r="AH35" s="5"/>
      <c r="AI35" s="5"/>
      <c r="AJ35" s="5"/>
    </row>
    <row r="36" spans="1:43" ht="30" customHeight="1" x14ac:dyDescent="0.25">
      <c r="B36" s="714"/>
      <c r="F36" s="5"/>
      <c r="H36" s="49"/>
      <c r="I36" s="49"/>
      <c r="J36" s="49"/>
      <c r="L36" s="843" t="s">
        <v>731</v>
      </c>
      <c r="M36" s="582"/>
      <c r="N36" s="582"/>
      <c r="O36" s="582"/>
      <c r="P36" s="582"/>
      <c r="Q36" s="582"/>
      <c r="R36" s="572"/>
      <c r="S36" s="843" t="s">
        <v>732</v>
      </c>
      <c r="T36" s="582"/>
      <c r="U36" s="582"/>
      <c r="V36" s="582"/>
      <c r="W36" s="582"/>
      <c r="X36" s="582"/>
      <c r="Y36" s="582"/>
      <c r="Z36" s="572"/>
      <c r="AA36" s="843" t="s">
        <v>733</v>
      </c>
      <c r="AB36" s="582"/>
      <c r="AC36" s="582"/>
      <c r="AD36" s="582"/>
      <c r="AE36" s="582"/>
      <c r="AF36" s="582"/>
      <c r="AG36" s="572"/>
      <c r="AH36" s="5"/>
      <c r="AI36" s="5"/>
      <c r="AJ36" s="5"/>
    </row>
    <row r="37" spans="1:43" ht="30" customHeight="1" x14ac:dyDescent="0.25">
      <c r="B37" s="714"/>
      <c r="F37" s="5"/>
      <c r="H37" s="49"/>
      <c r="I37" s="49"/>
      <c r="J37" s="4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43" ht="30.75" customHeight="1" x14ac:dyDescent="0.25">
      <c r="B38" s="714"/>
      <c r="F38" s="5"/>
      <c r="H38" s="49"/>
      <c r="I38" s="49"/>
      <c r="J38" s="49"/>
      <c r="L38" s="911" t="s">
        <v>796</v>
      </c>
      <c r="M38" s="582"/>
      <c r="N38" s="582"/>
      <c r="O38" s="582"/>
      <c r="P38" s="582"/>
      <c r="Q38" s="582"/>
      <c r="R38" s="572"/>
      <c r="S38" s="5"/>
      <c r="T38" s="5"/>
      <c r="U38" s="5"/>
      <c r="V38" s="5"/>
      <c r="W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43" ht="30" customHeight="1" x14ac:dyDescent="0.25">
      <c r="B39" s="714"/>
      <c r="F39" s="5"/>
      <c r="H39" s="49"/>
      <c r="I39" s="49"/>
      <c r="J39" s="49"/>
      <c r="L39" s="843" t="s">
        <v>735</v>
      </c>
      <c r="M39" s="582"/>
      <c r="N39" s="582"/>
      <c r="O39" s="582"/>
      <c r="P39" s="582"/>
      <c r="Q39" s="582"/>
      <c r="R39" s="572"/>
      <c r="S39" s="5"/>
      <c r="T39" s="5"/>
      <c r="U39" s="5"/>
      <c r="V39" s="5"/>
      <c r="W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43" ht="30" customHeight="1" x14ac:dyDescent="0.25">
      <c r="B40" s="714"/>
      <c r="F40" s="5"/>
      <c r="H40" s="49"/>
      <c r="I40" s="49"/>
      <c r="J40" s="4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43" ht="15.75" customHeight="1" x14ac:dyDescent="0.25">
      <c r="A41" s="5"/>
      <c r="B41" s="714"/>
      <c r="C41" s="5"/>
      <c r="D41" s="5"/>
      <c r="E41" s="5"/>
      <c r="F41" s="5"/>
      <c r="G41" s="5"/>
      <c r="H41" s="49"/>
      <c r="I41" s="49"/>
      <c r="J41" s="49"/>
      <c r="K41" s="5"/>
      <c r="L41" s="5"/>
      <c r="M41" s="5"/>
      <c r="N41" s="5"/>
      <c r="O41" s="5"/>
      <c r="P41" s="5"/>
      <c r="Q41" s="5"/>
      <c r="R41" s="5"/>
      <c r="S41" s="908" t="s">
        <v>797</v>
      </c>
      <c r="T41" s="582"/>
      <c r="U41" s="582"/>
      <c r="V41" s="582"/>
      <c r="W41" s="582"/>
      <c r="X41" s="582"/>
      <c r="Y41" s="582"/>
      <c r="Z41" s="582"/>
      <c r="AA41" s="582"/>
      <c r="AB41" s="572"/>
      <c r="AC41" s="5"/>
      <c r="AD41" s="5"/>
      <c r="AE41" s="5"/>
      <c r="AF41" s="5"/>
      <c r="AG41" s="5"/>
      <c r="AH41" s="5"/>
      <c r="AI41" s="5"/>
      <c r="AJ41" s="5"/>
      <c r="AL41" s="5"/>
      <c r="AM41" s="5"/>
      <c r="AN41" s="5"/>
      <c r="AO41" s="5"/>
      <c r="AP41" s="5"/>
      <c r="AQ41" s="5"/>
    </row>
    <row r="42" spans="1:43" ht="30" customHeight="1" x14ac:dyDescent="0.25">
      <c r="B42" s="678"/>
      <c r="F42" s="5"/>
      <c r="H42" s="49"/>
      <c r="I42" s="49"/>
      <c r="J42" s="49"/>
      <c r="L42" s="5"/>
      <c r="M42" s="5"/>
      <c r="N42" s="5"/>
      <c r="O42" s="5"/>
      <c r="P42" s="5"/>
      <c r="Q42" s="5"/>
      <c r="R42" s="5"/>
      <c r="S42" s="909" t="s">
        <v>737</v>
      </c>
      <c r="T42" s="771"/>
      <c r="U42" s="771"/>
      <c r="V42" s="771"/>
      <c r="W42" s="910"/>
      <c r="Y42" s="909" t="s">
        <v>738</v>
      </c>
      <c r="Z42" s="910"/>
      <c r="AA42" s="909" t="s">
        <v>739</v>
      </c>
      <c r="AB42" s="910"/>
      <c r="AC42" s="5"/>
      <c r="AD42" s="5"/>
      <c r="AE42" s="5"/>
      <c r="AF42" s="5"/>
      <c r="AG42" s="5"/>
      <c r="AH42" s="5"/>
      <c r="AI42" s="5"/>
      <c r="AJ42" s="5"/>
    </row>
    <row r="43" spans="1:43" ht="6" customHeight="1" x14ac:dyDescent="0.25">
      <c r="H43" s="49"/>
      <c r="I43" s="49"/>
      <c r="J43" s="4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3" ht="64.5" customHeight="1" x14ac:dyDescent="0.25">
      <c r="B44" s="773" t="s">
        <v>654</v>
      </c>
      <c r="D44" s="426" t="s">
        <v>717</v>
      </c>
      <c r="F44" s="427" t="s">
        <v>740</v>
      </c>
      <c r="H44" s="894" t="s">
        <v>798</v>
      </c>
      <c r="I44" s="572"/>
      <c r="J44" s="428" t="s">
        <v>799</v>
      </c>
      <c r="L44" s="429" t="s">
        <v>743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3" ht="6" customHeight="1" x14ac:dyDescent="0.25">
      <c r="B45" s="714"/>
      <c r="H45" s="49"/>
      <c r="I45" s="49"/>
      <c r="J45" s="49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3" ht="64.5" customHeight="1" x14ac:dyDescent="0.25">
      <c r="B46" s="678"/>
      <c r="D46" s="426" t="s">
        <v>717</v>
      </c>
      <c r="F46" s="427" t="s">
        <v>744</v>
      </c>
      <c r="H46" s="894" t="s">
        <v>800</v>
      </c>
      <c r="I46" s="572"/>
      <c r="J46" s="428" t="s">
        <v>801</v>
      </c>
      <c r="L46" s="429" t="s">
        <v>747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3" ht="6" customHeight="1" x14ac:dyDescent="0.25">
      <c r="H47" s="49"/>
      <c r="I47" s="49"/>
      <c r="J47" s="49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3" ht="19.5" customHeight="1" x14ac:dyDescent="0.25">
      <c r="B48" s="22" t="s">
        <v>748</v>
      </c>
      <c r="D48" s="5"/>
      <c r="E48" s="5"/>
      <c r="F48" s="5"/>
      <c r="H48" s="13"/>
      <c r="I48" s="13"/>
      <c r="J48" s="49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8:36" ht="14.25" customHeight="1" x14ac:dyDescent="0.25">
      <c r="H49" s="49"/>
      <c r="I49" s="49"/>
      <c r="J49" s="4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8:36" ht="14.25" customHeight="1" x14ac:dyDescent="0.25">
      <c r="H50" s="49"/>
      <c r="I50" s="49"/>
      <c r="J50" s="4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8:36" ht="14.25" customHeight="1" x14ac:dyDescent="0.25">
      <c r="H51" s="49"/>
      <c r="I51" s="49"/>
      <c r="J51" s="4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8:36" ht="14.25" customHeight="1" x14ac:dyDescent="0.25">
      <c r="H52" s="49"/>
      <c r="I52" s="49"/>
      <c r="J52" s="4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8:36" ht="14.25" customHeight="1" x14ac:dyDescent="0.25">
      <c r="H53" s="49"/>
      <c r="I53" s="49"/>
      <c r="J53" s="4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8:36" ht="14.25" customHeight="1" x14ac:dyDescent="0.25">
      <c r="H54" s="49"/>
      <c r="I54" s="49"/>
      <c r="J54" s="4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8:36" ht="14.25" customHeight="1" x14ac:dyDescent="0.25">
      <c r="H55" s="49"/>
      <c r="I55" s="49"/>
      <c r="J55" s="4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8:36" ht="14.25" customHeight="1" x14ac:dyDescent="0.25">
      <c r="H56" s="49"/>
      <c r="I56" s="49"/>
      <c r="J56" s="4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8:36" ht="14.25" customHeight="1" x14ac:dyDescent="0.25">
      <c r="H57" s="49"/>
      <c r="I57" s="49"/>
      <c r="J57" s="4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8:36" ht="14.25" customHeight="1" x14ac:dyDescent="0.25">
      <c r="H58" s="49"/>
      <c r="I58" s="49"/>
      <c r="J58" s="4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8:36" ht="14.25" customHeight="1" x14ac:dyDescent="0.25">
      <c r="H59" s="49"/>
      <c r="I59" s="49"/>
      <c r="J59" s="4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8:36" ht="14.25" customHeight="1" x14ac:dyDescent="0.25">
      <c r="H60" s="49"/>
      <c r="I60" s="49"/>
      <c r="J60" s="49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8:36" ht="14.25" customHeight="1" x14ac:dyDescent="0.25">
      <c r="H61" s="49"/>
      <c r="I61" s="49"/>
      <c r="J61" s="49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8:36" ht="14.25" customHeight="1" x14ac:dyDescent="0.25">
      <c r="H62" s="49"/>
      <c r="I62" s="49"/>
      <c r="J62" s="49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8:36" ht="14.25" customHeight="1" x14ac:dyDescent="0.25">
      <c r="H63" s="49"/>
      <c r="I63" s="49"/>
      <c r="J63" s="49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8:36" ht="14.25" customHeight="1" x14ac:dyDescent="0.25">
      <c r="H64" s="49"/>
      <c r="I64" s="49"/>
      <c r="J64" s="49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8:36" ht="14.25" customHeight="1" x14ac:dyDescent="0.25">
      <c r="H65" s="49"/>
      <c r="I65" s="49"/>
      <c r="J65" s="49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8:36" ht="14.25" customHeight="1" x14ac:dyDescent="0.25">
      <c r="H66" s="49"/>
      <c r="I66" s="49"/>
      <c r="J66" s="49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8:36" ht="14.25" customHeight="1" x14ac:dyDescent="0.25">
      <c r="H67" s="49"/>
      <c r="I67" s="49"/>
      <c r="J67" s="49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8:36" ht="14.25" customHeight="1" x14ac:dyDescent="0.25">
      <c r="H68" s="49"/>
      <c r="I68" s="49"/>
      <c r="J68" s="49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8:36" ht="14.25" customHeight="1" x14ac:dyDescent="0.25">
      <c r="H69" s="49"/>
      <c r="I69" s="49"/>
      <c r="J69" s="4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8:36" ht="14.25" customHeight="1" x14ac:dyDescent="0.25">
      <c r="H70" s="49"/>
      <c r="I70" s="49"/>
      <c r="J70" s="49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8:36" ht="14.25" customHeight="1" x14ac:dyDescent="0.25">
      <c r="H71" s="49"/>
      <c r="I71" s="49"/>
      <c r="J71" s="49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8:36" ht="14.25" customHeight="1" x14ac:dyDescent="0.25">
      <c r="H72" s="49"/>
      <c r="I72" s="49"/>
      <c r="J72" s="49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8:36" ht="14.25" customHeight="1" x14ac:dyDescent="0.25">
      <c r="H73" s="49"/>
      <c r="I73" s="49"/>
      <c r="J73" s="49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8:36" ht="14.25" customHeight="1" x14ac:dyDescent="0.25">
      <c r="H74" s="49"/>
      <c r="I74" s="49"/>
      <c r="J74" s="49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8:36" ht="14.25" customHeight="1" x14ac:dyDescent="0.25">
      <c r="H75" s="49"/>
      <c r="I75" s="49"/>
      <c r="J75" s="49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8:36" ht="14.25" customHeight="1" x14ac:dyDescent="0.25">
      <c r="H76" s="49"/>
      <c r="I76" s="49"/>
      <c r="J76" s="49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8:36" ht="14.25" customHeight="1" x14ac:dyDescent="0.25">
      <c r="H77" s="49"/>
      <c r="I77" s="49"/>
      <c r="J77" s="49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8:36" ht="14.25" customHeight="1" x14ac:dyDescent="0.25">
      <c r="H78" s="49"/>
      <c r="I78" s="49"/>
      <c r="J78" s="49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8:36" ht="14.25" customHeight="1" x14ac:dyDescent="0.25">
      <c r="H79" s="49"/>
      <c r="I79" s="49"/>
      <c r="J79" s="4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8:36" ht="14.25" customHeight="1" x14ac:dyDescent="0.25">
      <c r="H80" s="49"/>
      <c r="I80" s="49"/>
      <c r="J80" s="49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8:36" ht="14.25" customHeight="1" x14ac:dyDescent="0.25">
      <c r="H81" s="49"/>
      <c r="I81" s="49"/>
      <c r="J81" s="49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8:36" ht="14.25" customHeight="1" x14ac:dyDescent="0.25">
      <c r="H82" s="49"/>
      <c r="I82" s="49"/>
      <c r="J82" s="49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8:36" ht="14.25" customHeight="1" x14ac:dyDescent="0.25">
      <c r="H83" s="49"/>
      <c r="I83" s="49"/>
      <c r="J83" s="49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8:36" ht="14.25" customHeight="1" x14ac:dyDescent="0.25">
      <c r="H84" s="49"/>
      <c r="I84" s="49"/>
      <c r="J84" s="49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8:36" ht="14.25" customHeight="1" x14ac:dyDescent="0.25">
      <c r="H85" s="49"/>
      <c r="I85" s="49"/>
      <c r="J85" s="49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8:36" ht="14.25" customHeight="1" x14ac:dyDescent="0.25">
      <c r="H86" s="49"/>
      <c r="I86" s="49"/>
      <c r="J86" s="49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8:36" ht="14.25" customHeight="1" x14ac:dyDescent="0.25">
      <c r="H87" s="49"/>
      <c r="I87" s="49"/>
      <c r="J87" s="49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8:36" ht="14.25" customHeight="1" x14ac:dyDescent="0.25">
      <c r="H88" s="49"/>
      <c r="I88" s="49"/>
      <c r="J88" s="49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8:36" ht="14.25" customHeight="1" x14ac:dyDescent="0.25">
      <c r="H89" s="49"/>
      <c r="I89" s="49"/>
      <c r="J89" s="4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8:36" ht="14.25" customHeight="1" x14ac:dyDescent="0.25">
      <c r="H90" s="49"/>
      <c r="I90" s="49"/>
      <c r="J90" s="49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8:36" ht="14.25" customHeight="1" x14ac:dyDescent="0.25">
      <c r="H91" s="49"/>
      <c r="I91" s="49"/>
      <c r="J91" s="49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8:36" ht="14.25" customHeight="1" x14ac:dyDescent="0.25">
      <c r="H92" s="49"/>
      <c r="I92" s="49"/>
      <c r="J92" s="49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8:36" ht="14.25" customHeight="1" x14ac:dyDescent="0.25">
      <c r="H93" s="49"/>
      <c r="I93" s="49"/>
      <c r="J93" s="49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8:36" ht="14.25" customHeight="1" x14ac:dyDescent="0.25">
      <c r="H94" s="49"/>
      <c r="I94" s="49"/>
      <c r="J94" s="49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8:36" ht="14.25" customHeight="1" x14ac:dyDescent="0.25">
      <c r="H95" s="49"/>
      <c r="I95" s="49"/>
      <c r="J95" s="49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8:36" ht="14.25" customHeight="1" x14ac:dyDescent="0.25">
      <c r="H96" s="49"/>
      <c r="I96" s="49"/>
      <c r="J96" s="49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8:36" ht="14.25" customHeight="1" x14ac:dyDescent="0.25">
      <c r="H97" s="49"/>
      <c r="I97" s="49"/>
      <c r="J97" s="49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spans="8:36" ht="14.25" customHeight="1" x14ac:dyDescent="0.25">
      <c r="H98" s="49"/>
      <c r="I98" s="49"/>
      <c r="J98" s="49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8:36" ht="14.25" customHeight="1" x14ac:dyDescent="0.25">
      <c r="H99" s="49"/>
      <c r="I99" s="49"/>
      <c r="J99" s="4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spans="8:36" ht="14.25" customHeight="1" x14ac:dyDescent="0.25">
      <c r="H100" s="49"/>
      <c r="I100" s="49"/>
      <c r="J100" s="49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spans="8:36" ht="14.25" customHeight="1" x14ac:dyDescent="0.25">
      <c r="H101" s="49"/>
      <c r="I101" s="49"/>
      <c r="J101" s="49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8:36" ht="14.25" customHeight="1" x14ac:dyDescent="0.25">
      <c r="H102" s="49"/>
      <c r="I102" s="49"/>
      <c r="J102" s="49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8:36" ht="14.25" customHeight="1" x14ac:dyDescent="0.25">
      <c r="H103" s="49"/>
      <c r="I103" s="49"/>
      <c r="J103" s="49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8:36" ht="14.25" customHeight="1" x14ac:dyDescent="0.25">
      <c r="H104" s="49"/>
      <c r="I104" s="49"/>
      <c r="J104" s="49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8:36" ht="14.25" customHeight="1" x14ac:dyDescent="0.25">
      <c r="H105" s="49"/>
      <c r="I105" s="49"/>
      <c r="J105" s="49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8:36" ht="14.25" customHeight="1" x14ac:dyDescent="0.25">
      <c r="H106" s="49"/>
      <c r="I106" s="49"/>
      <c r="J106" s="49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spans="8:36" ht="14.25" customHeight="1" x14ac:dyDescent="0.25">
      <c r="H107" s="49"/>
      <c r="I107" s="49"/>
      <c r="J107" s="49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spans="8:36" ht="14.25" customHeight="1" x14ac:dyDescent="0.25">
      <c r="H108" s="49"/>
      <c r="I108" s="49"/>
      <c r="J108" s="49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spans="8:36" ht="14.25" customHeight="1" x14ac:dyDescent="0.25">
      <c r="H109" s="49"/>
      <c r="I109" s="49"/>
      <c r="J109" s="49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spans="8:36" ht="14.25" customHeight="1" x14ac:dyDescent="0.25">
      <c r="H110" s="49"/>
      <c r="I110" s="49"/>
      <c r="J110" s="49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spans="8:36" ht="14.25" customHeight="1" x14ac:dyDescent="0.25">
      <c r="H111" s="49"/>
      <c r="I111" s="49"/>
      <c r="J111" s="49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spans="8:36" ht="14.25" customHeight="1" x14ac:dyDescent="0.25">
      <c r="H112" s="49"/>
      <c r="I112" s="49"/>
      <c r="J112" s="49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spans="8:36" ht="14.25" customHeight="1" x14ac:dyDescent="0.25">
      <c r="H113" s="49"/>
      <c r="I113" s="49"/>
      <c r="J113" s="49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spans="8:36" ht="14.25" customHeight="1" x14ac:dyDescent="0.25">
      <c r="H114" s="49"/>
      <c r="I114" s="49"/>
      <c r="J114" s="49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spans="8:36" ht="14.25" customHeight="1" x14ac:dyDescent="0.25">
      <c r="H115" s="49"/>
      <c r="I115" s="49"/>
      <c r="J115" s="49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spans="8:36" ht="14.25" customHeight="1" x14ac:dyDescent="0.25">
      <c r="H116" s="49"/>
      <c r="I116" s="49"/>
      <c r="J116" s="49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8:36" ht="14.25" customHeight="1" x14ac:dyDescent="0.25">
      <c r="H117" s="49"/>
      <c r="I117" s="49"/>
      <c r="J117" s="49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8:36" ht="14.25" customHeight="1" x14ac:dyDescent="0.25">
      <c r="H118" s="49"/>
      <c r="I118" s="49"/>
      <c r="J118" s="49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spans="8:36" ht="14.25" customHeight="1" x14ac:dyDescent="0.25">
      <c r="H119" s="49"/>
      <c r="I119" s="49"/>
      <c r="J119" s="49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spans="8:36" ht="14.25" customHeight="1" x14ac:dyDescent="0.25">
      <c r="H120" s="49"/>
      <c r="I120" s="49"/>
      <c r="J120" s="49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spans="8:36" ht="14.25" customHeight="1" x14ac:dyDescent="0.25">
      <c r="H121" s="49"/>
      <c r="I121" s="49"/>
      <c r="J121" s="49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spans="8:36" ht="14.25" customHeight="1" x14ac:dyDescent="0.25">
      <c r="H122" s="49"/>
      <c r="I122" s="49"/>
      <c r="J122" s="49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spans="8:36" ht="14.25" customHeight="1" x14ac:dyDescent="0.25">
      <c r="H123" s="49"/>
      <c r="I123" s="49"/>
      <c r="J123" s="49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spans="8:36" ht="14.25" customHeight="1" x14ac:dyDescent="0.25">
      <c r="H124" s="49"/>
      <c r="I124" s="49"/>
      <c r="J124" s="49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spans="8:36" ht="14.25" customHeight="1" x14ac:dyDescent="0.25">
      <c r="H125" s="49"/>
      <c r="I125" s="49"/>
      <c r="J125" s="49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spans="8:36" ht="14.25" customHeight="1" x14ac:dyDescent="0.25">
      <c r="H126" s="49"/>
      <c r="I126" s="49"/>
      <c r="J126" s="49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spans="8:36" ht="14.25" customHeight="1" x14ac:dyDescent="0.25">
      <c r="H127" s="49"/>
      <c r="I127" s="49"/>
      <c r="J127" s="49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spans="8:36" ht="14.25" customHeight="1" x14ac:dyDescent="0.25">
      <c r="H128" s="49"/>
      <c r="I128" s="49"/>
      <c r="J128" s="49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spans="8:36" ht="14.25" customHeight="1" x14ac:dyDescent="0.25">
      <c r="H129" s="49"/>
      <c r="I129" s="49"/>
      <c r="J129" s="49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spans="8:36" ht="14.25" customHeight="1" x14ac:dyDescent="0.25">
      <c r="H130" s="49"/>
      <c r="I130" s="49"/>
      <c r="J130" s="49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spans="8:36" ht="14.25" customHeight="1" x14ac:dyDescent="0.25">
      <c r="H131" s="49"/>
      <c r="I131" s="49"/>
      <c r="J131" s="49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spans="8:36" ht="14.25" customHeight="1" x14ac:dyDescent="0.25">
      <c r="H132" s="49"/>
      <c r="I132" s="49"/>
      <c r="J132" s="49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spans="8:36" ht="14.25" customHeight="1" x14ac:dyDescent="0.25">
      <c r="H133" s="49"/>
      <c r="I133" s="49"/>
      <c r="J133" s="49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spans="8:36" ht="14.25" customHeight="1" x14ac:dyDescent="0.25">
      <c r="H134" s="49"/>
      <c r="I134" s="49"/>
      <c r="J134" s="49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spans="8:36" ht="14.25" customHeight="1" x14ac:dyDescent="0.25">
      <c r="H135" s="49"/>
      <c r="I135" s="49"/>
      <c r="J135" s="49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spans="8:36" ht="14.25" customHeight="1" x14ac:dyDescent="0.25">
      <c r="H136" s="49"/>
      <c r="I136" s="49"/>
      <c r="J136" s="49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spans="8:36" ht="14.25" customHeight="1" x14ac:dyDescent="0.25">
      <c r="H137" s="49"/>
      <c r="I137" s="49"/>
      <c r="J137" s="49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spans="8:36" ht="14.25" customHeight="1" x14ac:dyDescent="0.25">
      <c r="H138" s="49"/>
      <c r="I138" s="49"/>
      <c r="J138" s="49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spans="8:36" ht="14.25" customHeight="1" x14ac:dyDescent="0.25">
      <c r="H139" s="49"/>
      <c r="I139" s="49"/>
      <c r="J139" s="49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spans="8:36" ht="14.25" customHeight="1" x14ac:dyDescent="0.25">
      <c r="H140" s="49"/>
      <c r="I140" s="49"/>
      <c r="J140" s="49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spans="8:36" ht="14.25" customHeight="1" x14ac:dyDescent="0.25">
      <c r="H141" s="49"/>
      <c r="I141" s="49"/>
      <c r="J141" s="49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spans="8:36" ht="14.25" customHeight="1" x14ac:dyDescent="0.25">
      <c r="H142" s="49"/>
      <c r="I142" s="49"/>
      <c r="J142" s="49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spans="8:36" ht="14.25" customHeight="1" x14ac:dyDescent="0.25">
      <c r="H143" s="49"/>
      <c r="I143" s="49"/>
      <c r="J143" s="49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spans="8:36" ht="14.25" customHeight="1" x14ac:dyDescent="0.25">
      <c r="H144" s="49"/>
      <c r="I144" s="49"/>
      <c r="J144" s="49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spans="8:36" ht="14.25" customHeight="1" x14ac:dyDescent="0.25">
      <c r="H145" s="49"/>
      <c r="I145" s="49"/>
      <c r="J145" s="49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spans="8:36" ht="14.25" customHeight="1" x14ac:dyDescent="0.25">
      <c r="H146" s="49"/>
      <c r="I146" s="49"/>
      <c r="J146" s="49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spans="8:36" ht="14.25" customHeight="1" x14ac:dyDescent="0.25">
      <c r="H147" s="49"/>
      <c r="I147" s="49"/>
      <c r="J147" s="49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spans="8:36" ht="14.25" customHeight="1" x14ac:dyDescent="0.25">
      <c r="H148" s="49"/>
      <c r="I148" s="49"/>
      <c r="J148" s="49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spans="8:36" ht="14.25" customHeight="1" x14ac:dyDescent="0.25">
      <c r="H149" s="49"/>
      <c r="I149" s="49"/>
      <c r="J149" s="49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spans="8:36" ht="14.25" customHeight="1" x14ac:dyDescent="0.25">
      <c r="H150" s="49"/>
      <c r="I150" s="49"/>
      <c r="J150" s="49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spans="8:36" ht="14.25" customHeight="1" x14ac:dyDescent="0.25">
      <c r="H151" s="49"/>
      <c r="I151" s="49"/>
      <c r="J151" s="49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spans="8:36" ht="14.25" customHeight="1" x14ac:dyDescent="0.25">
      <c r="H152" s="49"/>
      <c r="I152" s="49"/>
      <c r="J152" s="49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spans="8:36" ht="14.25" customHeight="1" x14ac:dyDescent="0.25">
      <c r="H153" s="49"/>
      <c r="I153" s="49"/>
      <c r="J153" s="49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spans="8:36" ht="14.25" customHeight="1" x14ac:dyDescent="0.25">
      <c r="H154" s="49"/>
      <c r="I154" s="49"/>
      <c r="J154" s="49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spans="8:36" ht="14.25" customHeight="1" x14ac:dyDescent="0.25">
      <c r="H155" s="49"/>
      <c r="I155" s="49"/>
      <c r="J155" s="49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spans="8:36" ht="14.25" customHeight="1" x14ac:dyDescent="0.25">
      <c r="H156" s="49"/>
      <c r="I156" s="49"/>
      <c r="J156" s="49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spans="8:36" ht="14.25" customHeight="1" x14ac:dyDescent="0.25">
      <c r="H157" s="49"/>
      <c r="I157" s="49"/>
      <c r="J157" s="49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spans="8:36" ht="14.25" customHeight="1" x14ac:dyDescent="0.25">
      <c r="H158" s="49"/>
      <c r="I158" s="49"/>
      <c r="J158" s="49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spans="8:36" ht="14.25" customHeight="1" x14ac:dyDescent="0.25">
      <c r="H159" s="49"/>
      <c r="I159" s="49"/>
      <c r="J159" s="49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spans="8:36" ht="14.25" customHeight="1" x14ac:dyDescent="0.25">
      <c r="H160" s="49"/>
      <c r="I160" s="49"/>
      <c r="J160" s="49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spans="8:36" ht="14.25" customHeight="1" x14ac:dyDescent="0.25">
      <c r="H161" s="49"/>
      <c r="I161" s="49"/>
      <c r="J161" s="49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spans="8:36" ht="14.25" customHeight="1" x14ac:dyDescent="0.25">
      <c r="H162" s="49"/>
      <c r="I162" s="49"/>
      <c r="J162" s="49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spans="8:36" ht="14.25" customHeight="1" x14ac:dyDescent="0.25">
      <c r="H163" s="49"/>
      <c r="I163" s="49"/>
      <c r="J163" s="49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spans="8:36" ht="14.25" customHeight="1" x14ac:dyDescent="0.25">
      <c r="H164" s="49"/>
      <c r="I164" s="49"/>
      <c r="J164" s="49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spans="8:36" ht="14.25" customHeight="1" x14ac:dyDescent="0.25">
      <c r="H165" s="49"/>
      <c r="I165" s="49"/>
      <c r="J165" s="49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spans="8:36" ht="14.25" customHeight="1" x14ac:dyDescent="0.25">
      <c r="H166" s="49"/>
      <c r="I166" s="49"/>
      <c r="J166" s="49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spans="8:36" ht="14.25" customHeight="1" x14ac:dyDescent="0.25">
      <c r="H167" s="49"/>
      <c r="I167" s="49"/>
      <c r="J167" s="49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spans="8:36" ht="14.25" customHeight="1" x14ac:dyDescent="0.25">
      <c r="H168" s="49"/>
      <c r="I168" s="49"/>
      <c r="J168" s="49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spans="8:36" ht="14.25" customHeight="1" x14ac:dyDescent="0.25">
      <c r="H169" s="49"/>
      <c r="I169" s="49"/>
      <c r="J169" s="49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spans="8:36" ht="14.25" customHeight="1" x14ac:dyDescent="0.25">
      <c r="H170" s="49"/>
      <c r="I170" s="49"/>
      <c r="J170" s="49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spans="8:36" ht="14.25" customHeight="1" x14ac:dyDescent="0.25">
      <c r="H171" s="49"/>
      <c r="I171" s="49"/>
      <c r="J171" s="49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spans="8:36" ht="14.25" customHeight="1" x14ac:dyDescent="0.25">
      <c r="H172" s="49"/>
      <c r="I172" s="49"/>
      <c r="J172" s="49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spans="8:36" ht="14.25" customHeight="1" x14ac:dyDescent="0.25">
      <c r="H173" s="49"/>
      <c r="I173" s="49"/>
      <c r="J173" s="49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spans="8:36" ht="14.25" customHeight="1" x14ac:dyDescent="0.25">
      <c r="H174" s="49"/>
      <c r="I174" s="49"/>
      <c r="J174" s="49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spans="8:36" ht="14.25" customHeight="1" x14ac:dyDescent="0.25">
      <c r="H175" s="49"/>
      <c r="I175" s="49"/>
      <c r="J175" s="49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spans="8:36" ht="14.25" customHeight="1" x14ac:dyDescent="0.25">
      <c r="H176" s="49"/>
      <c r="I176" s="49"/>
      <c r="J176" s="49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spans="8:36" ht="14.25" customHeight="1" x14ac:dyDescent="0.25">
      <c r="H177" s="49"/>
      <c r="I177" s="49"/>
      <c r="J177" s="49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spans="8:36" ht="14.25" customHeight="1" x14ac:dyDescent="0.25">
      <c r="H178" s="49"/>
      <c r="I178" s="49"/>
      <c r="J178" s="49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spans="8:36" ht="14.25" customHeight="1" x14ac:dyDescent="0.25">
      <c r="H179" s="49"/>
      <c r="I179" s="49"/>
      <c r="J179" s="49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spans="8:36" ht="14.25" customHeight="1" x14ac:dyDescent="0.25">
      <c r="H180" s="49"/>
      <c r="I180" s="49"/>
      <c r="J180" s="49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spans="8:36" ht="14.25" customHeight="1" x14ac:dyDescent="0.25">
      <c r="H181" s="49"/>
      <c r="I181" s="49"/>
      <c r="J181" s="49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spans="8:36" ht="14.25" customHeight="1" x14ac:dyDescent="0.25">
      <c r="H182" s="49"/>
      <c r="I182" s="49"/>
      <c r="J182" s="49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spans="8:36" ht="14.25" customHeight="1" x14ac:dyDescent="0.25">
      <c r="H183" s="49"/>
      <c r="I183" s="49"/>
      <c r="J183" s="49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spans="8:36" ht="14.25" customHeight="1" x14ac:dyDescent="0.25">
      <c r="H184" s="49"/>
      <c r="I184" s="49"/>
      <c r="J184" s="49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spans="8:36" ht="14.25" customHeight="1" x14ac:dyDescent="0.25">
      <c r="H185" s="49"/>
      <c r="I185" s="49"/>
      <c r="J185" s="49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spans="8:36" ht="14.25" customHeight="1" x14ac:dyDescent="0.25">
      <c r="H186" s="49"/>
      <c r="I186" s="49"/>
      <c r="J186" s="49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spans="8:36" ht="14.25" customHeight="1" x14ac:dyDescent="0.25">
      <c r="H187" s="49"/>
      <c r="I187" s="49"/>
      <c r="J187" s="49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spans="8:36" ht="14.25" customHeight="1" x14ac:dyDescent="0.25">
      <c r="H188" s="49"/>
      <c r="I188" s="49"/>
      <c r="J188" s="49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spans="8:36" ht="14.25" customHeight="1" x14ac:dyDescent="0.25">
      <c r="H189" s="49"/>
      <c r="I189" s="49"/>
      <c r="J189" s="49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spans="8:36" ht="14.25" customHeight="1" x14ac:dyDescent="0.25">
      <c r="H190" s="49"/>
      <c r="I190" s="49"/>
      <c r="J190" s="49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spans="8:36" ht="14.25" customHeight="1" x14ac:dyDescent="0.25">
      <c r="H191" s="49"/>
      <c r="I191" s="49"/>
      <c r="J191" s="49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spans="8:36" ht="14.25" customHeight="1" x14ac:dyDescent="0.25">
      <c r="H192" s="49"/>
      <c r="I192" s="49"/>
      <c r="J192" s="49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spans="8:36" ht="14.25" customHeight="1" x14ac:dyDescent="0.25">
      <c r="H193" s="49"/>
      <c r="I193" s="49"/>
      <c r="J193" s="49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spans="8:36" ht="14.25" customHeight="1" x14ac:dyDescent="0.25">
      <c r="H194" s="49"/>
      <c r="I194" s="49"/>
      <c r="J194" s="49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spans="8:36" ht="14.25" customHeight="1" x14ac:dyDescent="0.25">
      <c r="H195" s="49"/>
      <c r="I195" s="49"/>
      <c r="J195" s="49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spans="8:36" ht="14.25" customHeight="1" x14ac:dyDescent="0.25">
      <c r="H196" s="49"/>
      <c r="I196" s="49"/>
      <c r="J196" s="49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spans="8:36" ht="14.25" customHeight="1" x14ac:dyDescent="0.25">
      <c r="H197" s="49"/>
      <c r="I197" s="49"/>
      <c r="J197" s="49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spans="8:36" ht="14.25" customHeight="1" x14ac:dyDescent="0.25">
      <c r="H198" s="49"/>
      <c r="I198" s="49"/>
      <c r="J198" s="49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spans="8:36" ht="14.25" customHeight="1" x14ac:dyDescent="0.25">
      <c r="H199" s="49"/>
      <c r="I199" s="49"/>
      <c r="J199" s="49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spans="8:36" ht="14.25" customHeight="1" x14ac:dyDescent="0.25">
      <c r="H200" s="49"/>
      <c r="I200" s="49"/>
      <c r="J200" s="49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spans="8:36" ht="14.25" customHeight="1" x14ac:dyDescent="0.25">
      <c r="H201" s="49"/>
      <c r="I201" s="49"/>
      <c r="J201" s="49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spans="8:36" ht="14.25" customHeight="1" x14ac:dyDescent="0.25">
      <c r="H202" s="49"/>
      <c r="I202" s="49"/>
      <c r="J202" s="49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spans="8:36" ht="14.25" customHeight="1" x14ac:dyDescent="0.25">
      <c r="H203" s="49"/>
      <c r="I203" s="49"/>
      <c r="J203" s="49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spans="8:36" ht="14.25" customHeight="1" x14ac:dyDescent="0.25">
      <c r="H204" s="49"/>
      <c r="I204" s="49"/>
      <c r="J204" s="49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spans="8:36" ht="14.25" customHeight="1" x14ac:dyDescent="0.25">
      <c r="H205" s="49"/>
      <c r="I205" s="49"/>
      <c r="J205" s="49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spans="8:36" ht="14.25" customHeight="1" x14ac:dyDescent="0.25">
      <c r="H206" s="49"/>
      <c r="I206" s="49"/>
      <c r="J206" s="49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spans="8:36" ht="14.25" customHeight="1" x14ac:dyDescent="0.25">
      <c r="H207" s="49"/>
      <c r="I207" s="49"/>
      <c r="J207" s="49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spans="8:36" ht="14.25" customHeight="1" x14ac:dyDescent="0.25">
      <c r="H208" s="49"/>
      <c r="I208" s="49"/>
      <c r="J208" s="49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spans="8:36" ht="14.25" customHeight="1" x14ac:dyDescent="0.25">
      <c r="H209" s="49"/>
      <c r="I209" s="49"/>
      <c r="J209" s="49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spans="8:36" ht="14.25" customHeight="1" x14ac:dyDescent="0.25">
      <c r="H210" s="49"/>
      <c r="I210" s="49"/>
      <c r="J210" s="49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spans="8:36" ht="14.25" customHeight="1" x14ac:dyDescent="0.25">
      <c r="H211" s="49"/>
      <c r="I211" s="49"/>
      <c r="J211" s="49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 spans="8:36" ht="14.25" customHeight="1" x14ac:dyDescent="0.25">
      <c r="H212" s="49"/>
      <c r="I212" s="49"/>
      <c r="J212" s="49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spans="8:36" ht="14.25" customHeight="1" x14ac:dyDescent="0.25">
      <c r="H213" s="49"/>
      <c r="I213" s="49"/>
      <c r="J213" s="49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spans="8:36" ht="14.25" customHeight="1" x14ac:dyDescent="0.25">
      <c r="H214" s="49"/>
      <c r="I214" s="49"/>
      <c r="J214" s="49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 spans="8:36" ht="14.25" customHeight="1" x14ac:dyDescent="0.25">
      <c r="H215" s="49"/>
      <c r="I215" s="49"/>
      <c r="J215" s="49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 spans="8:36" ht="14.25" customHeight="1" x14ac:dyDescent="0.25">
      <c r="H216" s="49"/>
      <c r="I216" s="49"/>
      <c r="J216" s="49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 spans="8:36" ht="14.25" customHeight="1" x14ac:dyDescent="0.25">
      <c r="H217" s="49"/>
      <c r="I217" s="49"/>
      <c r="J217" s="49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 spans="8:36" ht="14.25" customHeight="1" x14ac:dyDescent="0.25">
      <c r="H218" s="49"/>
      <c r="I218" s="49"/>
      <c r="J218" s="49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 spans="8:36" ht="14.25" customHeight="1" x14ac:dyDescent="0.25">
      <c r="H219" s="49"/>
      <c r="I219" s="49"/>
      <c r="J219" s="49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 spans="8:36" ht="14.25" customHeight="1" x14ac:dyDescent="0.25">
      <c r="H220" s="49"/>
      <c r="I220" s="49"/>
      <c r="J220" s="49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spans="8:36" ht="14.25" customHeight="1" x14ac:dyDescent="0.25">
      <c r="H221" s="49"/>
      <c r="I221" s="49"/>
      <c r="J221" s="49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 spans="8:36" ht="14.25" customHeight="1" x14ac:dyDescent="0.25">
      <c r="H222" s="49"/>
      <c r="I222" s="49"/>
      <c r="J222" s="49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 spans="8:36" ht="14.25" customHeight="1" x14ac:dyDescent="0.25">
      <c r="H223" s="49"/>
      <c r="I223" s="49"/>
      <c r="J223" s="49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 spans="8:36" ht="14.25" customHeight="1" x14ac:dyDescent="0.25">
      <c r="H224" s="49"/>
      <c r="I224" s="49"/>
      <c r="J224" s="49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</row>
    <row r="225" spans="8:36" ht="14.25" customHeight="1" x14ac:dyDescent="0.25">
      <c r="H225" s="49"/>
      <c r="I225" s="49"/>
      <c r="J225" s="49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</row>
    <row r="226" spans="8:36" ht="14.25" customHeight="1" x14ac:dyDescent="0.25">
      <c r="H226" s="49"/>
      <c r="I226" s="49"/>
      <c r="J226" s="49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</row>
    <row r="227" spans="8:36" ht="14.25" customHeight="1" x14ac:dyDescent="0.25">
      <c r="H227" s="49"/>
      <c r="I227" s="49"/>
      <c r="J227" s="49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</row>
    <row r="228" spans="8:36" ht="14.25" customHeight="1" x14ac:dyDescent="0.25">
      <c r="H228" s="49"/>
      <c r="I228" s="49"/>
      <c r="J228" s="49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</row>
    <row r="229" spans="8:36" ht="14.25" customHeight="1" x14ac:dyDescent="0.25">
      <c r="H229" s="49"/>
      <c r="I229" s="49"/>
      <c r="J229" s="49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</row>
    <row r="230" spans="8:36" ht="14.25" customHeight="1" x14ac:dyDescent="0.25">
      <c r="H230" s="49"/>
      <c r="I230" s="49"/>
      <c r="J230" s="49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</row>
    <row r="231" spans="8:36" ht="14.25" customHeight="1" x14ac:dyDescent="0.25">
      <c r="H231" s="49"/>
      <c r="I231" s="49"/>
      <c r="J231" s="49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</row>
    <row r="232" spans="8:36" ht="14.25" customHeight="1" x14ac:dyDescent="0.25">
      <c r="H232" s="49"/>
      <c r="I232" s="49"/>
      <c r="J232" s="49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</row>
    <row r="233" spans="8:36" ht="14.25" customHeight="1" x14ac:dyDescent="0.25">
      <c r="H233" s="49"/>
      <c r="I233" s="49"/>
      <c r="J233" s="49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</row>
    <row r="234" spans="8:36" ht="14.25" customHeight="1" x14ac:dyDescent="0.25">
      <c r="H234" s="49"/>
      <c r="I234" s="49"/>
      <c r="J234" s="49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</row>
    <row r="235" spans="8:36" ht="14.25" customHeight="1" x14ac:dyDescent="0.25">
      <c r="H235" s="49"/>
      <c r="I235" s="49"/>
      <c r="J235" s="49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</row>
    <row r="236" spans="8:36" ht="14.25" customHeight="1" x14ac:dyDescent="0.25">
      <c r="H236" s="49"/>
      <c r="I236" s="49"/>
      <c r="J236" s="49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</row>
    <row r="237" spans="8:36" ht="14.25" customHeight="1" x14ac:dyDescent="0.25">
      <c r="H237" s="49"/>
      <c r="I237" s="49"/>
      <c r="J237" s="49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</row>
    <row r="238" spans="8:36" ht="14.25" customHeight="1" x14ac:dyDescent="0.25">
      <c r="H238" s="49"/>
      <c r="I238" s="49"/>
      <c r="J238" s="49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</row>
    <row r="239" spans="8:36" ht="14.25" customHeight="1" x14ac:dyDescent="0.25">
      <c r="H239" s="49"/>
      <c r="I239" s="49"/>
      <c r="J239" s="49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</row>
    <row r="240" spans="8:36" ht="14.25" customHeight="1" x14ac:dyDescent="0.25">
      <c r="H240" s="49"/>
      <c r="I240" s="49"/>
      <c r="J240" s="49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</row>
    <row r="241" spans="8:36" ht="14.25" customHeight="1" x14ac:dyDescent="0.25">
      <c r="H241" s="49"/>
      <c r="I241" s="49"/>
      <c r="J241" s="49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</row>
    <row r="242" spans="8:36" ht="14.25" customHeight="1" x14ac:dyDescent="0.25">
      <c r="H242" s="49"/>
      <c r="I242" s="49"/>
      <c r="J242" s="49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</row>
    <row r="243" spans="8:36" ht="14.25" customHeight="1" x14ac:dyDescent="0.25">
      <c r="H243" s="49"/>
      <c r="I243" s="49"/>
      <c r="J243" s="49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</row>
    <row r="244" spans="8:36" ht="14.25" customHeight="1" x14ac:dyDescent="0.25">
      <c r="H244" s="49"/>
      <c r="I244" s="49"/>
      <c r="J244" s="49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</row>
    <row r="245" spans="8:36" ht="14.25" customHeight="1" x14ac:dyDescent="0.25">
      <c r="H245" s="49"/>
      <c r="I245" s="49"/>
      <c r="J245" s="49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</row>
    <row r="246" spans="8:36" ht="14.25" customHeight="1" x14ac:dyDescent="0.25">
      <c r="H246" s="49"/>
      <c r="I246" s="49"/>
      <c r="J246" s="49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</row>
    <row r="247" spans="8:36" ht="14.25" customHeight="1" x14ac:dyDescent="0.25">
      <c r="H247" s="49"/>
      <c r="I247" s="49"/>
      <c r="J247" s="49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</row>
    <row r="248" spans="8:36" ht="14.25" customHeight="1" x14ac:dyDescent="0.25">
      <c r="H248" s="49"/>
      <c r="I248" s="49"/>
      <c r="J248" s="49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</row>
    <row r="249" spans="8:36" ht="15.75" customHeight="1" x14ac:dyDescent="0.25"/>
    <row r="250" spans="8:36" ht="15.75" customHeight="1" x14ac:dyDescent="0.25"/>
    <row r="251" spans="8:36" ht="15.75" customHeight="1" x14ac:dyDescent="0.25"/>
    <row r="252" spans="8:36" ht="15.75" customHeight="1" x14ac:dyDescent="0.25"/>
    <row r="253" spans="8:36" ht="15.75" customHeight="1" x14ac:dyDescent="0.25"/>
    <row r="254" spans="8:36" ht="15.75" customHeight="1" x14ac:dyDescent="0.25"/>
    <row r="255" spans="8:36" ht="15.75" customHeight="1" x14ac:dyDescent="0.25"/>
    <row r="256" spans="8:3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7">
    <mergeCell ref="L35:R35"/>
    <mergeCell ref="L39:R39"/>
    <mergeCell ref="H44:I44"/>
    <mergeCell ref="H46:I46"/>
    <mergeCell ref="B31:B42"/>
    <mergeCell ref="B44:B46"/>
    <mergeCell ref="B24:B29"/>
    <mergeCell ref="D24:D29"/>
    <mergeCell ref="F24:F29"/>
    <mergeCell ref="H18:J18"/>
    <mergeCell ref="B22:AQ22"/>
    <mergeCell ref="S42:W42"/>
    <mergeCell ref="Y42:Z42"/>
    <mergeCell ref="AA42:AB42"/>
    <mergeCell ref="L36:R36"/>
    <mergeCell ref="L38:R38"/>
    <mergeCell ref="S35:Z35"/>
    <mergeCell ref="AA35:AG35"/>
    <mergeCell ref="S36:Z36"/>
    <mergeCell ref="AA36:AG36"/>
    <mergeCell ref="S41:AB41"/>
    <mergeCell ref="R10:W10"/>
    <mergeCell ref="Y10:AJ10"/>
    <mergeCell ref="AL10:AQ10"/>
    <mergeCell ref="B12:B18"/>
    <mergeCell ref="D12:D18"/>
    <mergeCell ref="F12:F18"/>
    <mergeCell ref="H12:J12"/>
    <mergeCell ref="H14:J14"/>
    <mergeCell ref="H16:J16"/>
    <mergeCell ref="H4:J4"/>
    <mergeCell ref="L4:W4"/>
    <mergeCell ref="Y4:AJ4"/>
    <mergeCell ref="AL4:AQ4"/>
    <mergeCell ref="H8:J8"/>
    <mergeCell ref="L8:W8"/>
    <mergeCell ref="Y8:AG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</vt:i4>
      </vt:variant>
    </vt:vector>
  </HeadingPairs>
  <TitlesOfParts>
    <vt:vector size="22" baseType="lpstr">
      <vt:lpstr>LISTA DE LLENADAS</vt:lpstr>
      <vt:lpstr>COMPLETO 13 MODULOS</vt:lpstr>
      <vt:lpstr>GENERAL 11-06</vt:lpstr>
      <vt:lpstr>MODULO 10-11-12 271025 1° TRIM </vt:lpstr>
      <vt:lpstr>MODULO 10 Y 11 | 090625</vt:lpstr>
      <vt:lpstr>MODULO 12 09-06</vt:lpstr>
      <vt:lpstr>MODULO 10-11-12 271025</vt:lpstr>
      <vt:lpstr>RESUMEN ALBAÑILERIA</vt:lpstr>
      <vt:lpstr>MODULOS 4-5-6-7-8-9-13</vt:lpstr>
      <vt:lpstr>PLAN SEMANAL 02122025</vt:lpstr>
      <vt:lpstr>PLAN SEMANAL</vt:lpstr>
      <vt:lpstr> PRODUCCION 3004</vt:lpstr>
      <vt:lpstr>GENERAL</vt:lpstr>
      <vt:lpstr> PRODUCCION 2702</vt:lpstr>
      <vt:lpstr> PRODUCCION 0502</vt:lpstr>
      <vt:lpstr> PRODUCCION 1812</vt:lpstr>
      <vt:lpstr>ESQUEMA DE TRABAJO</vt:lpstr>
      <vt:lpstr> PRODU</vt:lpstr>
      <vt:lpstr>PRODUCCION</vt:lpstr>
      <vt:lpstr>LISTADO FALTANTES</vt:lpstr>
      <vt:lpstr>SUPERADO</vt:lpstr>
      <vt:lpstr>'LISTA DE LLENADAS'!Área_de_impresión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ARROBA</dc:creator>
  <cp:lastModifiedBy>ARROBA</cp:lastModifiedBy>
  <cp:lastPrinted>2026-06-24T18:21:13Z</cp:lastPrinted>
  <dcterms:created xsi:type="dcterms:W3CDTF">2024-09-27T15:32:00Z</dcterms:created>
  <dcterms:modified xsi:type="dcterms:W3CDTF">2026-07-06T20:15:57Z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7CF774437E7B49FEAA093B3B23BC9F52_11</vt:lpwstr>
  </property>
  <property fmtid="{D5CDD505-2E9C-101B-9397-08002B2CF9AE}" pid="3" name="KSOProductBuildVer">
    <vt:lpwstr>3082-12.2.0.18911</vt:lpwstr>
  </property>
</Properties>
</file>