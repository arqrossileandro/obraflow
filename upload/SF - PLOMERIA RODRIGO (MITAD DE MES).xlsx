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Unidades compartidas\CERO\5. PRODUCCION\1. MANO DE OBRA\3. PLANILLA DE AVANCES\1. SERENA FOLK\"/>
    </mc:Choice>
  </mc:AlternateContent>
  <xr:revisionPtr revIDLastSave="0" documentId="13_ncr:1_{C74DEAEF-BAF5-4F2E-B764-7923B7B75A0C}" xr6:coauthVersionLast="47" xr6:coauthVersionMax="47" xr10:uidLastSave="{00000000-0000-0000-0000-000000000000}"/>
  <bookViews>
    <workbookView xWindow="-120" yWindow="-120" windowWidth="29040" windowHeight="15720" tabRatio="823" activeTab="2" xr2:uid="{00000000-000D-0000-FFFF-FFFF00000000}"/>
  </bookViews>
  <sheets>
    <sheet name="RESUMEN" sheetId="24" r:id="rId1"/>
    <sheet name="PAGOS QUINCENALES" sheetId="26" r:id="rId2"/>
    <sheet name="CASH FLOW 12,11,10,9,8" sheetId="6" r:id="rId3"/>
    <sheet name="CASH FLOW 13,7,6,5,4,3,2,1" sheetId="23" r:id="rId4"/>
    <sheet name="PRUEBAS" sheetId="25" r:id="rId5"/>
    <sheet name="M12" sheetId="11" r:id="rId6"/>
    <sheet name="M11" sheetId="12" r:id="rId7"/>
    <sheet name="M10" sheetId="13" r:id="rId8"/>
    <sheet name="M09" sheetId="14" r:id="rId9"/>
    <sheet name="M08" sheetId="15" r:id="rId10"/>
    <sheet name="M07" sheetId="16" r:id="rId11"/>
    <sheet name="M06" sheetId="17" r:id="rId12"/>
    <sheet name="M05" sheetId="18" r:id="rId13"/>
    <sheet name="M13" sheetId="10" r:id="rId14"/>
    <sheet name="M04" sheetId="19" r:id="rId15"/>
    <sheet name="M03" sheetId="20" r:id="rId16"/>
    <sheet name="M02" sheetId="21" r:id="rId17"/>
    <sheet name="M01" sheetId="22" r:id="rId18"/>
  </sheets>
  <definedNames>
    <definedName name="A" localSheetId="2">#REF!</definedName>
    <definedName name="A" localSheetId="3">#REF!</definedName>
    <definedName name="A" localSheetId="17">#REF!</definedName>
    <definedName name="A" localSheetId="16">#REF!</definedName>
    <definedName name="A" localSheetId="15">#REF!</definedName>
    <definedName name="A" localSheetId="14">#REF!</definedName>
    <definedName name="A" localSheetId="12">#REF!</definedName>
    <definedName name="A" localSheetId="11">#REF!</definedName>
    <definedName name="A" localSheetId="10">#REF!</definedName>
    <definedName name="A" localSheetId="9">#REF!</definedName>
    <definedName name="A" localSheetId="8">#REF!</definedName>
    <definedName name="A" localSheetId="7">#REF!</definedName>
    <definedName name="A" localSheetId="6">#REF!</definedName>
    <definedName name="A" localSheetId="5">#REF!</definedName>
    <definedName name="A" localSheetId="13">#REF!</definedName>
    <definedName name="A" localSheetId="4">#REF!</definedName>
    <definedName name="A">#REF!</definedName>
    <definedName name="B" localSheetId="2">#REF!</definedName>
    <definedName name="B" localSheetId="3">#REF!</definedName>
    <definedName name="B" localSheetId="17">#REF!</definedName>
    <definedName name="B" localSheetId="16">#REF!</definedName>
    <definedName name="B" localSheetId="15">#REF!</definedName>
    <definedName name="B" localSheetId="14">#REF!</definedName>
    <definedName name="B" localSheetId="12">#REF!</definedName>
    <definedName name="B" localSheetId="11">#REF!</definedName>
    <definedName name="B" localSheetId="10">#REF!</definedName>
    <definedName name="B" localSheetId="9">#REF!</definedName>
    <definedName name="B" localSheetId="8">#REF!</definedName>
    <definedName name="B" localSheetId="7">#REF!</definedName>
    <definedName name="B" localSheetId="6">#REF!</definedName>
    <definedName name="B" localSheetId="5">#REF!</definedName>
    <definedName name="B" localSheetId="13">#REF!</definedName>
    <definedName name="B" localSheetId="4">#REF!</definedName>
    <definedName name="B">#REF!</definedName>
    <definedName name="FECHAINGRESO" localSheetId="2">#REF!</definedName>
    <definedName name="FECHAINGRESO" localSheetId="3">#REF!</definedName>
    <definedName name="FECHAINGRESO" localSheetId="17">#REF!</definedName>
    <definedName name="FECHAINGRESO" localSheetId="16">#REF!</definedName>
    <definedName name="FECHAINGRESO" localSheetId="15">#REF!</definedName>
    <definedName name="FECHAINGRESO" localSheetId="14">#REF!</definedName>
    <definedName name="FECHAINGRESO" localSheetId="12">#REF!</definedName>
    <definedName name="FECHAINGRESO" localSheetId="11">#REF!</definedName>
    <definedName name="FECHAINGRESO" localSheetId="10">#REF!</definedName>
    <definedName name="FECHAINGRESO" localSheetId="9">#REF!</definedName>
    <definedName name="FECHAINGRESO" localSheetId="8">#REF!</definedName>
    <definedName name="FECHAINGRESO" localSheetId="7">#REF!</definedName>
    <definedName name="FECHAINGRESO" localSheetId="6">#REF!</definedName>
    <definedName name="FECHAINGRESO" localSheetId="5">#REF!</definedName>
    <definedName name="FECHAINGRESO" localSheetId="13">#REF!</definedName>
    <definedName name="FECHAINGRESO" localSheetId="4">#REF!</definedName>
    <definedName name="FECHAINGRESO">#REF!</definedName>
    <definedName name="FECHAPAGO_MAT" localSheetId="2">#REF!</definedName>
    <definedName name="FECHAPAGO_MAT" localSheetId="3">#REF!</definedName>
    <definedName name="FECHAPAGO_MAT" localSheetId="17">#REF!</definedName>
    <definedName name="FECHAPAGO_MAT" localSheetId="16">#REF!</definedName>
    <definedName name="FECHAPAGO_MAT" localSheetId="15">#REF!</definedName>
    <definedName name="FECHAPAGO_MAT" localSheetId="14">#REF!</definedName>
    <definedName name="FECHAPAGO_MAT" localSheetId="12">#REF!</definedName>
    <definedName name="FECHAPAGO_MAT" localSheetId="11">#REF!</definedName>
    <definedName name="FECHAPAGO_MAT" localSheetId="10">#REF!</definedName>
    <definedName name="FECHAPAGO_MAT" localSheetId="9">#REF!</definedName>
    <definedName name="FECHAPAGO_MAT" localSheetId="8">#REF!</definedName>
    <definedName name="FECHAPAGO_MAT" localSheetId="7">#REF!</definedName>
    <definedName name="FECHAPAGO_MAT" localSheetId="6">#REF!</definedName>
    <definedName name="FECHAPAGO_MAT" localSheetId="5">#REF!</definedName>
    <definedName name="FECHAPAGO_MAT" localSheetId="13">#REF!</definedName>
    <definedName name="FECHAPAGO_MAT" localSheetId="4">#REF!</definedName>
    <definedName name="FECHAPAGO_MAT">#REF!</definedName>
    <definedName name="FECHAPAGO_MO" localSheetId="2">#REF!</definedName>
    <definedName name="FECHAPAGO_MO" localSheetId="3">#REF!</definedName>
    <definedName name="FECHAPAGO_MO" localSheetId="17">#REF!</definedName>
    <definedName name="FECHAPAGO_MO" localSheetId="16">#REF!</definedName>
    <definedName name="FECHAPAGO_MO" localSheetId="15">#REF!</definedName>
    <definedName name="FECHAPAGO_MO" localSheetId="14">#REF!</definedName>
    <definedName name="FECHAPAGO_MO" localSheetId="12">#REF!</definedName>
    <definedName name="FECHAPAGO_MO" localSheetId="11">#REF!</definedName>
    <definedName name="FECHAPAGO_MO" localSheetId="10">#REF!</definedName>
    <definedName name="FECHAPAGO_MO" localSheetId="9">#REF!</definedName>
    <definedName name="FECHAPAGO_MO" localSheetId="8">#REF!</definedName>
    <definedName name="FECHAPAGO_MO" localSheetId="7">#REF!</definedName>
    <definedName name="FECHAPAGO_MO" localSheetId="6">#REF!</definedName>
    <definedName name="FECHAPAGO_MO" localSheetId="5">#REF!</definedName>
    <definedName name="FECHAPAGO_MO" localSheetId="13">#REF!</definedName>
    <definedName name="FECHAPAGO_MO" localSheetId="4">#REF!</definedName>
    <definedName name="FECHAPAGO_MO">#REF!</definedName>
    <definedName name="GASTOSMAT" localSheetId="2">#REF!</definedName>
    <definedName name="GASTOSMAT" localSheetId="3">#REF!</definedName>
    <definedName name="GASTOSMAT" localSheetId="17">#REF!</definedName>
    <definedName name="GASTOSMAT" localSheetId="16">#REF!</definedName>
    <definedName name="GASTOSMAT" localSheetId="15">#REF!</definedName>
    <definedName name="GASTOSMAT" localSheetId="14">#REF!</definedName>
    <definedName name="GASTOSMAT" localSheetId="12">#REF!</definedName>
    <definedName name="GASTOSMAT" localSheetId="11">#REF!</definedName>
    <definedName name="GASTOSMAT" localSheetId="10">#REF!</definedName>
    <definedName name="GASTOSMAT" localSheetId="9">#REF!</definedName>
    <definedName name="GASTOSMAT" localSheetId="8">#REF!</definedName>
    <definedName name="GASTOSMAT" localSheetId="7">#REF!</definedName>
    <definedName name="GASTOSMAT" localSheetId="6">#REF!</definedName>
    <definedName name="GASTOSMAT" localSheetId="5">#REF!</definedName>
    <definedName name="GASTOSMAT" localSheetId="13">#REF!</definedName>
    <definedName name="GASTOSMAT" localSheetId="4">#REF!</definedName>
    <definedName name="GASTOSMAT">#REF!</definedName>
    <definedName name="GASTOSMO" localSheetId="2">#REF!</definedName>
    <definedName name="GASTOSMO" localSheetId="3">#REF!</definedName>
    <definedName name="GASTOSMO" localSheetId="17">#REF!</definedName>
    <definedName name="GASTOSMO" localSheetId="16">#REF!</definedName>
    <definedName name="GASTOSMO" localSheetId="15">#REF!</definedName>
    <definedName name="GASTOSMO" localSheetId="14">#REF!</definedName>
    <definedName name="GASTOSMO" localSheetId="12">#REF!</definedName>
    <definedName name="GASTOSMO" localSheetId="11">#REF!</definedName>
    <definedName name="GASTOSMO" localSheetId="10">#REF!</definedName>
    <definedName name="GASTOSMO" localSheetId="9">#REF!</definedName>
    <definedName name="GASTOSMO" localSheetId="8">#REF!</definedName>
    <definedName name="GASTOSMO" localSheetId="7">#REF!</definedName>
    <definedName name="GASTOSMO" localSheetId="6">#REF!</definedName>
    <definedName name="GASTOSMO" localSheetId="5">#REF!</definedName>
    <definedName name="GASTOSMO" localSheetId="13">#REF!</definedName>
    <definedName name="GASTOSMO" localSheetId="4">#REF!</definedName>
    <definedName name="GASTOSMO">#REF!</definedName>
    <definedName name="ITEMMAT" localSheetId="2">#REF!</definedName>
    <definedName name="ITEMMAT" localSheetId="3">#REF!</definedName>
    <definedName name="ITEMMAT" localSheetId="17">#REF!</definedName>
    <definedName name="ITEMMAT" localSheetId="16">#REF!</definedName>
    <definedName name="ITEMMAT" localSheetId="15">#REF!</definedName>
    <definedName name="ITEMMAT" localSheetId="14">#REF!</definedName>
    <definedName name="ITEMMAT" localSheetId="12">#REF!</definedName>
    <definedName name="ITEMMAT" localSheetId="11">#REF!</definedName>
    <definedName name="ITEMMAT" localSheetId="10">#REF!</definedName>
    <definedName name="ITEMMAT" localSheetId="9">#REF!</definedName>
    <definedName name="ITEMMAT" localSheetId="8">#REF!</definedName>
    <definedName name="ITEMMAT" localSheetId="7">#REF!</definedName>
    <definedName name="ITEMMAT" localSheetId="6">#REF!</definedName>
    <definedName name="ITEMMAT" localSheetId="5">#REF!</definedName>
    <definedName name="ITEMMAT" localSheetId="13">#REF!</definedName>
    <definedName name="ITEMMAT" localSheetId="4">#REF!</definedName>
    <definedName name="ITEMMAT">#REF!</definedName>
    <definedName name="ITEMMO" localSheetId="2">#REF!</definedName>
    <definedName name="ITEMMO" localSheetId="3">#REF!</definedName>
    <definedName name="ITEMMO" localSheetId="17">#REF!</definedName>
    <definedName name="ITEMMO" localSheetId="16">#REF!</definedName>
    <definedName name="ITEMMO" localSheetId="15">#REF!</definedName>
    <definedName name="ITEMMO" localSheetId="14">#REF!</definedName>
    <definedName name="ITEMMO" localSheetId="12">#REF!</definedName>
    <definedName name="ITEMMO" localSheetId="11">#REF!</definedName>
    <definedName name="ITEMMO" localSheetId="10">#REF!</definedName>
    <definedName name="ITEMMO" localSheetId="9">#REF!</definedName>
    <definedName name="ITEMMO" localSheetId="8">#REF!</definedName>
    <definedName name="ITEMMO" localSheetId="7">#REF!</definedName>
    <definedName name="ITEMMO" localSheetId="6">#REF!</definedName>
    <definedName name="ITEMMO" localSheetId="5">#REF!</definedName>
    <definedName name="ITEMMO" localSheetId="13">#REF!</definedName>
    <definedName name="ITEMMO" localSheetId="4">#REF!</definedName>
    <definedName name="ITEMMO">#REF!</definedName>
    <definedName name="LISTA_DATOS" localSheetId="2">#REF!</definedName>
    <definedName name="LISTA_DATOS" localSheetId="3">#REF!</definedName>
    <definedName name="LISTA_DATOS" localSheetId="17">#REF!</definedName>
    <definedName name="LISTA_DATOS" localSheetId="16">#REF!</definedName>
    <definedName name="LISTA_DATOS" localSheetId="15">#REF!</definedName>
    <definedName name="LISTA_DATOS" localSheetId="14">#REF!</definedName>
    <definedName name="LISTA_DATOS" localSheetId="12">#REF!</definedName>
    <definedName name="LISTA_DATOS" localSheetId="11">#REF!</definedName>
    <definedName name="LISTA_DATOS" localSheetId="10">#REF!</definedName>
    <definedName name="LISTA_DATOS" localSheetId="9">#REF!</definedName>
    <definedName name="LISTA_DATOS" localSheetId="8">#REF!</definedName>
    <definedName name="LISTA_DATOS" localSheetId="7">#REF!</definedName>
    <definedName name="LISTA_DATOS" localSheetId="6">#REF!</definedName>
    <definedName name="LISTA_DATOS" localSheetId="5">#REF!</definedName>
    <definedName name="LISTA_DATOS" localSheetId="13">#REF!</definedName>
    <definedName name="LISTA_DATOS" localSheetId="4">#REF!</definedName>
    <definedName name="LISTA_DATOS">#REF!</definedName>
    <definedName name="MESES" localSheetId="2">#REF!</definedName>
    <definedName name="MESES" localSheetId="3">#REF!</definedName>
    <definedName name="MESES" localSheetId="17">#REF!</definedName>
    <definedName name="MESES" localSheetId="16">#REF!</definedName>
    <definedName name="MESES" localSheetId="15">#REF!</definedName>
    <definedName name="MESES" localSheetId="14">#REF!</definedName>
    <definedName name="MESES" localSheetId="12">#REF!</definedName>
    <definedName name="MESES" localSheetId="11">#REF!</definedName>
    <definedName name="MESES" localSheetId="10">#REF!</definedName>
    <definedName name="MESES" localSheetId="9">#REF!</definedName>
    <definedName name="MESES" localSheetId="8">#REF!</definedName>
    <definedName name="MESES" localSheetId="7">#REF!</definedName>
    <definedName name="MESES" localSheetId="6">#REF!</definedName>
    <definedName name="MESES" localSheetId="5">#REF!</definedName>
    <definedName name="MESES" localSheetId="13">#REF!</definedName>
    <definedName name="MESES" localSheetId="4">#REF!</definedName>
    <definedName name="MESES">#REF!</definedName>
    <definedName name="PAGO" localSheetId="2">#REF!</definedName>
    <definedName name="PAGO" localSheetId="3">#REF!</definedName>
    <definedName name="PAGO" localSheetId="17">#REF!</definedName>
    <definedName name="PAGO" localSheetId="16">#REF!</definedName>
    <definedName name="PAGO" localSheetId="15">#REF!</definedName>
    <definedName name="PAGO" localSheetId="14">#REF!</definedName>
    <definedName name="PAGO" localSheetId="12">#REF!</definedName>
    <definedName name="PAGO" localSheetId="11">#REF!</definedName>
    <definedName name="PAGO" localSheetId="10">#REF!</definedName>
    <definedName name="PAGO" localSheetId="9">#REF!</definedName>
    <definedName name="PAGO" localSheetId="8">#REF!</definedName>
    <definedName name="PAGO" localSheetId="7">#REF!</definedName>
    <definedName name="PAGO" localSheetId="6">#REF!</definedName>
    <definedName name="PAGO" localSheetId="5">#REF!</definedName>
    <definedName name="PAGO" localSheetId="13">#REF!</definedName>
    <definedName name="PAGO" localSheetId="4">#REF!</definedName>
    <definedName name="PAGO">#REF!</definedName>
    <definedName name="pedrero" localSheetId="2">#REF!</definedName>
    <definedName name="pedrero" localSheetId="3">#REF!</definedName>
    <definedName name="pedrero" localSheetId="17">#REF!</definedName>
    <definedName name="pedrero" localSheetId="16">#REF!</definedName>
    <definedName name="pedrero" localSheetId="15">#REF!</definedName>
    <definedName name="pedrero" localSheetId="14">#REF!</definedName>
    <definedName name="pedrero" localSheetId="12">#REF!</definedName>
    <definedName name="pedrero" localSheetId="11">#REF!</definedName>
    <definedName name="pedrero" localSheetId="10">#REF!</definedName>
    <definedName name="pedrero" localSheetId="9">#REF!</definedName>
    <definedName name="pedrero" localSheetId="8">#REF!</definedName>
    <definedName name="pedrero" localSheetId="7">#REF!</definedName>
    <definedName name="pedrero" localSheetId="6">#REF!</definedName>
    <definedName name="pedrero" localSheetId="5">#REF!</definedName>
    <definedName name="pedrero" localSheetId="13">#REF!</definedName>
    <definedName name="pedrero" localSheetId="4">#REF!</definedName>
    <definedName name="pedrero">#REF!</definedName>
    <definedName name="prueba" localSheetId="2">#REF!</definedName>
    <definedName name="prueba" localSheetId="3">#REF!</definedName>
    <definedName name="prueba" localSheetId="17">#REF!</definedName>
    <definedName name="prueba" localSheetId="16">#REF!</definedName>
    <definedName name="prueba" localSheetId="15">#REF!</definedName>
    <definedName name="prueba" localSheetId="14">#REF!</definedName>
    <definedName name="prueba" localSheetId="12">#REF!</definedName>
    <definedName name="prueba" localSheetId="11">#REF!</definedName>
    <definedName name="prueba" localSheetId="10">#REF!</definedName>
    <definedName name="prueba" localSheetId="9">#REF!</definedName>
    <definedName name="prueba" localSheetId="8">#REF!</definedName>
    <definedName name="prueba" localSheetId="7">#REF!</definedName>
    <definedName name="prueba" localSheetId="6">#REF!</definedName>
    <definedName name="prueba" localSheetId="5">#REF!</definedName>
    <definedName name="prueba" localSheetId="13">#REF!</definedName>
    <definedName name="prueba" localSheetId="4">#REF!</definedName>
    <definedName name="prueba">#REF!</definedName>
    <definedName name="RUBROMAT" localSheetId="2">#REF!</definedName>
    <definedName name="RUBROMAT" localSheetId="3">#REF!</definedName>
    <definedName name="RUBROMAT" localSheetId="17">#REF!</definedName>
    <definedName name="RUBROMAT" localSheetId="16">#REF!</definedName>
    <definedName name="RUBROMAT" localSheetId="15">#REF!</definedName>
    <definedName name="RUBROMAT" localSheetId="14">#REF!</definedName>
    <definedName name="RUBROMAT" localSheetId="12">#REF!</definedName>
    <definedName name="RUBROMAT" localSheetId="11">#REF!</definedName>
    <definedName name="RUBROMAT" localSheetId="10">#REF!</definedName>
    <definedName name="RUBROMAT" localSheetId="9">#REF!</definedName>
    <definedName name="RUBROMAT" localSheetId="8">#REF!</definedName>
    <definedName name="RUBROMAT" localSheetId="7">#REF!</definedName>
    <definedName name="RUBROMAT" localSheetId="6">#REF!</definedName>
    <definedName name="RUBROMAT" localSheetId="5">#REF!</definedName>
    <definedName name="RUBROMAT" localSheetId="13">#REF!</definedName>
    <definedName name="RUBROMAT" localSheetId="4">#REF!</definedName>
    <definedName name="RUBROMAT">#REF!</definedName>
    <definedName name="RUBROMO" localSheetId="2">#REF!</definedName>
    <definedName name="RUBROMO" localSheetId="3">#REF!</definedName>
    <definedName name="RUBROMO" localSheetId="17">#REF!</definedName>
    <definedName name="RUBROMO" localSheetId="16">#REF!</definedName>
    <definedName name="RUBROMO" localSheetId="15">#REF!</definedName>
    <definedName name="RUBROMO" localSheetId="14">#REF!</definedName>
    <definedName name="RUBROMO" localSheetId="12">#REF!</definedName>
    <definedName name="RUBROMO" localSheetId="11">#REF!</definedName>
    <definedName name="RUBROMO" localSheetId="10">#REF!</definedName>
    <definedName name="RUBROMO" localSheetId="9">#REF!</definedName>
    <definedName name="RUBROMO" localSheetId="8">#REF!</definedName>
    <definedName name="RUBROMO" localSheetId="7">#REF!</definedName>
    <definedName name="RUBROMO" localSheetId="6">#REF!</definedName>
    <definedName name="RUBROMO" localSheetId="5">#REF!</definedName>
    <definedName name="RUBROMO" localSheetId="13">#REF!</definedName>
    <definedName name="RUBROMO" localSheetId="4">#REF!</definedName>
    <definedName name="RUBROMO">#REF!</definedName>
    <definedName name="RUBROS_OBRA" localSheetId="2">#REF!</definedName>
    <definedName name="RUBROS_OBRA" localSheetId="3">#REF!</definedName>
    <definedName name="RUBROS_OBRA" localSheetId="17">#REF!</definedName>
    <definedName name="RUBROS_OBRA" localSheetId="16">#REF!</definedName>
    <definedName name="RUBROS_OBRA" localSheetId="15">#REF!</definedName>
    <definedName name="RUBROS_OBRA" localSheetId="14">#REF!</definedName>
    <definedName name="RUBROS_OBRA" localSheetId="12">#REF!</definedName>
    <definedName name="RUBROS_OBRA" localSheetId="11">#REF!</definedName>
    <definedName name="RUBROS_OBRA" localSheetId="10">#REF!</definedName>
    <definedName name="RUBROS_OBRA" localSheetId="9">#REF!</definedName>
    <definedName name="RUBROS_OBRA" localSheetId="8">#REF!</definedName>
    <definedName name="RUBROS_OBRA" localSheetId="7">#REF!</definedName>
    <definedName name="RUBROS_OBRA" localSheetId="6">#REF!</definedName>
    <definedName name="RUBROS_OBRA" localSheetId="5">#REF!</definedName>
    <definedName name="RUBROS_OBRA" localSheetId="13">#REF!</definedName>
    <definedName name="RUBROS_OBRA" localSheetId="4">#REF!</definedName>
    <definedName name="RUBROS_OBR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yd65Iaia0HgtMSZ0YttLOOy6RWJNWGQhIzjVthwm1EA="/>
    </ext>
  </extLst>
</workbook>
</file>

<file path=xl/calcChain.xml><?xml version="1.0" encoding="utf-8"?>
<calcChain xmlns="http://schemas.openxmlformats.org/spreadsheetml/2006/main">
  <c r="M14" i="26" l="1"/>
  <c r="E7" i="26"/>
  <c r="F7" i="26"/>
  <c r="D7" i="26"/>
  <c r="D7" i="24" l="1"/>
  <c r="D14" i="24"/>
  <c r="D3" i="24"/>
  <c r="G69" i="6" l="1"/>
  <c r="E48" i="22" l="1"/>
  <c r="E47" i="22"/>
  <c r="E46" i="22"/>
  <c r="E43" i="22"/>
  <c r="E42" i="22"/>
  <c r="E41" i="22"/>
  <c r="E40" i="22"/>
  <c r="E39" i="22"/>
  <c r="E36" i="22"/>
  <c r="E33" i="22"/>
  <c r="E32" i="22"/>
  <c r="E31" i="22"/>
  <c r="E30" i="22"/>
  <c r="E29" i="22"/>
  <c r="E26" i="22"/>
  <c r="E25" i="22"/>
  <c r="E24" i="22"/>
  <c r="E23" i="22"/>
  <c r="E22" i="22"/>
  <c r="E19" i="22"/>
  <c r="E18" i="22"/>
  <c r="E17" i="22"/>
  <c r="E16" i="22"/>
  <c r="E15" i="22"/>
  <c r="E12" i="22"/>
  <c r="E11" i="22"/>
  <c r="E10" i="22"/>
  <c r="E9" i="22"/>
  <c r="E8" i="22"/>
  <c r="E48" i="21"/>
  <c r="E47" i="21"/>
  <c r="E46" i="21"/>
  <c r="E43" i="21"/>
  <c r="E42" i="21"/>
  <c r="E41" i="21"/>
  <c r="E40" i="21"/>
  <c r="E39" i="21"/>
  <c r="E36" i="21"/>
  <c r="E33" i="21"/>
  <c r="E32" i="21"/>
  <c r="E31" i="21"/>
  <c r="E30" i="21"/>
  <c r="E29" i="21"/>
  <c r="E26" i="21"/>
  <c r="E25" i="21"/>
  <c r="E24" i="21"/>
  <c r="E23" i="21"/>
  <c r="E22" i="21"/>
  <c r="E19" i="21"/>
  <c r="E18" i="21"/>
  <c r="E17" i="21"/>
  <c r="E16" i="21"/>
  <c r="E15" i="21"/>
  <c r="E12" i="21"/>
  <c r="E11" i="21"/>
  <c r="E10" i="21"/>
  <c r="E9" i="21"/>
  <c r="E8" i="21"/>
  <c r="E48" i="20"/>
  <c r="E47" i="20"/>
  <c r="E46" i="20"/>
  <c r="E43" i="20"/>
  <c r="E42" i="20"/>
  <c r="E41" i="20"/>
  <c r="E40" i="20"/>
  <c r="E39" i="20"/>
  <c r="E36" i="20"/>
  <c r="E33" i="20"/>
  <c r="E32" i="20"/>
  <c r="E31" i="20"/>
  <c r="E30" i="20"/>
  <c r="E29" i="20"/>
  <c r="E26" i="20"/>
  <c r="E25" i="20"/>
  <c r="E24" i="20"/>
  <c r="E23" i="20"/>
  <c r="E22" i="20"/>
  <c r="E19" i="20"/>
  <c r="E18" i="20"/>
  <c r="E17" i="20"/>
  <c r="E16" i="20"/>
  <c r="E15" i="20"/>
  <c r="E12" i="20"/>
  <c r="E11" i="20"/>
  <c r="E10" i="20"/>
  <c r="E9" i="20"/>
  <c r="E8" i="20"/>
  <c r="E48" i="19"/>
  <c r="E47" i="19"/>
  <c r="E46" i="19"/>
  <c r="E43" i="19"/>
  <c r="E42" i="19"/>
  <c r="E41" i="19"/>
  <c r="E40" i="19"/>
  <c r="E39" i="19"/>
  <c r="E36" i="19"/>
  <c r="E33" i="19"/>
  <c r="E32" i="19"/>
  <c r="E31" i="19"/>
  <c r="E30" i="19"/>
  <c r="E29" i="19"/>
  <c r="E26" i="19"/>
  <c r="E25" i="19"/>
  <c r="E24" i="19"/>
  <c r="E23" i="19"/>
  <c r="E22" i="19"/>
  <c r="E19" i="19"/>
  <c r="E18" i="19"/>
  <c r="E17" i="19"/>
  <c r="E16" i="19"/>
  <c r="E15" i="19"/>
  <c r="E12" i="19"/>
  <c r="E11" i="19"/>
  <c r="E10" i="19"/>
  <c r="E9" i="19"/>
  <c r="E8" i="19"/>
  <c r="E48" i="10"/>
  <c r="E47" i="10"/>
  <c r="E46" i="10"/>
  <c r="E43" i="10"/>
  <c r="E42" i="10"/>
  <c r="E41" i="10"/>
  <c r="E40" i="10"/>
  <c r="E39" i="10"/>
  <c r="E36" i="10"/>
  <c r="E33" i="10"/>
  <c r="E32" i="10"/>
  <c r="E31" i="10"/>
  <c r="E30" i="10"/>
  <c r="E29" i="10"/>
  <c r="E26" i="10"/>
  <c r="E25" i="10"/>
  <c r="E24" i="10"/>
  <c r="E23" i="10"/>
  <c r="E22" i="10"/>
  <c r="E19" i="10"/>
  <c r="E18" i="10"/>
  <c r="E17" i="10"/>
  <c r="E16" i="10"/>
  <c r="E15" i="10"/>
  <c r="E12" i="10"/>
  <c r="E11" i="10"/>
  <c r="E10" i="10"/>
  <c r="E9" i="10"/>
  <c r="E8" i="10"/>
  <c r="E48" i="18"/>
  <c r="E47" i="18"/>
  <c r="E46" i="18"/>
  <c r="E43" i="18"/>
  <c r="E42" i="18"/>
  <c r="E41" i="18"/>
  <c r="E40" i="18"/>
  <c r="E39" i="18"/>
  <c r="E36" i="18"/>
  <c r="E33" i="18"/>
  <c r="E32" i="18"/>
  <c r="E31" i="18"/>
  <c r="E30" i="18"/>
  <c r="E29" i="18"/>
  <c r="E26" i="18"/>
  <c r="E25" i="18"/>
  <c r="E24" i="18"/>
  <c r="E23" i="18"/>
  <c r="E22" i="18"/>
  <c r="E19" i="18"/>
  <c r="E18" i="18"/>
  <c r="E17" i="18"/>
  <c r="E16" i="18"/>
  <c r="E15" i="18"/>
  <c r="E12" i="18"/>
  <c r="E11" i="18"/>
  <c r="E10" i="18"/>
  <c r="E9" i="18"/>
  <c r="E8" i="18"/>
  <c r="E48" i="17"/>
  <c r="E47" i="17"/>
  <c r="E46" i="17"/>
  <c r="E43" i="17"/>
  <c r="E42" i="17"/>
  <c r="E41" i="17"/>
  <c r="E40" i="17"/>
  <c r="E39" i="17"/>
  <c r="E36" i="17"/>
  <c r="E33" i="17"/>
  <c r="E32" i="17"/>
  <c r="E31" i="17"/>
  <c r="E30" i="17"/>
  <c r="E29" i="17"/>
  <c r="E26" i="17"/>
  <c r="E25" i="17"/>
  <c r="E24" i="17"/>
  <c r="E23" i="17"/>
  <c r="E22" i="17"/>
  <c r="E19" i="17"/>
  <c r="E18" i="17"/>
  <c r="E17" i="17"/>
  <c r="E16" i="17"/>
  <c r="E15" i="17"/>
  <c r="E12" i="17"/>
  <c r="E11" i="17"/>
  <c r="E10" i="17"/>
  <c r="E9" i="17"/>
  <c r="E8" i="17"/>
  <c r="E48" i="16"/>
  <c r="E47" i="16"/>
  <c r="E46" i="16"/>
  <c r="E43" i="16"/>
  <c r="E42" i="16"/>
  <c r="E41" i="16"/>
  <c r="E40" i="16"/>
  <c r="E39" i="16"/>
  <c r="E36" i="16"/>
  <c r="E33" i="16"/>
  <c r="E32" i="16"/>
  <c r="E31" i="16"/>
  <c r="E30" i="16"/>
  <c r="E29" i="16"/>
  <c r="E26" i="16"/>
  <c r="E25" i="16"/>
  <c r="E24" i="16"/>
  <c r="E23" i="16"/>
  <c r="E22" i="16"/>
  <c r="E19" i="16"/>
  <c r="E18" i="16"/>
  <c r="E17" i="16"/>
  <c r="E16" i="16"/>
  <c r="E15" i="16"/>
  <c r="E12" i="16"/>
  <c r="E11" i="16"/>
  <c r="E10" i="16"/>
  <c r="E9" i="16"/>
  <c r="E8" i="16"/>
  <c r="E48" i="15"/>
  <c r="E47" i="15"/>
  <c r="E46" i="15"/>
  <c r="E43" i="15"/>
  <c r="E42" i="15"/>
  <c r="E41" i="15"/>
  <c r="E40" i="15"/>
  <c r="E39" i="15"/>
  <c r="E36" i="15"/>
  <c r="E33" i="15"/>
  <c r="E32" i="15"/>
  <c r="E31" i="15"/>
  <c r="E30" i="15"/>
  <c r="E29" i="15"/>
  <c r="E26" i="15"/>
  <c r="E25" i="15"/>
  <c r="E24" i="15"/>
  <c r="E23" i="15"/>
  <c r="E22" i="15"/>
  <c r="E19" i="15"/>
  <c r="E18" i="15"/>
  <c r="E17" i="15"/>
  <c r="E16" i="15"/>
  <c r="E15" i="15"/>
  <c r="E12" i="15"/>
  <c r="E11" i="15"/>
  <c r="E10" i="15"/>
  <c r="E9" i="15"/>
  <c r="E8" i="15"/>
  <c r="E48" i="14"/>
  <c r="E47" i="14"/>
  <c r="E46" i="14"/>
  <c r="E43" i="14"/>
  <c r="E42" i="14"/>
  <c r="E41" i="14"/>
  <c r="E40" i="14"/>
  <c r="E39" i="14"/>
  <c r="E36" i="14"/>
  <c r="E33" i="14"/>
  <c r="E32" i="14"/>
  <c r="E31" i="14"/>
  <c r="E30" i="14"/>
  <c r="E29" i="14"/>
  <c r="E26" i="14"/>
  <c r="E25" i="14"/>
  <c r="E24" i="14"/>
  <c r="E23" i="14"/>
  <c r="E22" i="14"/>
  <c r="E19" i="14"/>
  <c r="E18" i="14"/>
  <c r="E17" i="14"/>
  <c r="E16" i="14"/>
  <c r="E15" i="14"/>
  <c r="E12" i="14"/>
  <c r="E11" i="14"/>
  <c r="E10" i="14"/>
  <c r="E9" i="14"/>
  <c r="E8" i="14"/>
  <c r="E48" i="13"/>
  <c r="E47" i="13"/>
  <c r="E46" i="13"/>
  <c r="E43" i="13"/>
  <c r="E42" i="13"/>
  <c r="E41" i="13"/>
  <c r="E40" i="13"/>
  <c r="E39" i="13"/>
  <c r="E36" i="13"/>
  <c r="E33" i="13"/>
  <c r="E32" i="13"/>
  <c r="E31" i="13"/>
  <c r="E30" i="13"/>
  <c r="E29" i="13"/>
  <c r="E26" i="13"/>
  <c r="E25" i="13"/>
  <c r="E24" i="13"/>
  <c r="E23" i="13"/>
  <c r="E22" i="13"/>
  <c r="E19" i="13"/>
  <c r="E18" i="13"/>
  <c r="E17" i="13"/>
  <c r="E16" i="13"/>
  <c r="E15" i="13"/>
  <c r="E12" i="13"/>
  <c r="E11" i="13"/>
  <c r="E10" i="13"/>
  <c r="E9" i="13"/>
  <c r="E8" i="13"/>
  <c r="E48" i="12"/>
  <c r="E47" i="12"/>
  <c r="E46" i="12"/>
  <c r="E43" i="12"/>
  <c r="E42" i="12"/>
  <c r="E41" i="12"/>
  <c r="E40" i="12"/>
  <c r="E39" i="12"/>
  <c r="E36" i="12"/>
  <c r="E33" i="12"/>
  <c r="E32" i="12"/>
  <c r="E31" i="12"/>
  <c r="E30" i="12"/>
  <c r="E29" i="12"/>
  <c r="E26" i="12"/>
  <c r="E25" i="12"/>
  <c r="E24" i="12"/>
  <c r="E23" i="12"/>
  <c r="E22" i="12"/>
  <c r="E19" i="12"/>
  <c r="E18" i="12"/>
  <c r="E17" i="12"/>
  <c r="E16" i="12"/>
  <c r="E15" i="12"/>
  <c r="E12" i="12"/>
  <c r="E11" i="12"/>
  <c r="E10" i="12"/>
  <c r="E9" i="12"/>
  <c r="E8" i="12"/>
  <c r="E48" i="11"/>
  <c r="E47" i="11"/>
  <c r="E46" i="11"/>
  <c r="E43" i="11"/>
  <c r="E42" i="11"/>
  <c r="E41" i="11"/>
  <c r="E40" i="11"/>
  <c r="E39" i="11"/>
  <c r="E36" i="11"/>
  <c r="E33" i="11"/>
  <c r="E32" i="11"/>
  <c r="E31" i="11"/>
  <c r="E30" i="11"/>
  <c r="E29" i="11"/>
  <c r="E26" i="11"/>
  <c r="E25" i="11"/>
  <c r="E24" i="11"/>
  <c r="E23" i="11"/>
  <c r="E22" i="11"/>
  <c r="E19" i="11"/>
  <c r="E18" i="11"/>
  <c r="E17" i="11"/>
  <c r="E16" i="11"/>
  <c r="E15" i="11"/>
  <c r="E12" i="11"/>
  <c r="E11" i="11"/>
  <c r="E10" i="11"/>
  <c r="E9" i="11"/>
  <c r="E8" i="11"/>
  <c r="G50" i="23" l="1"/>
  <c r="H50" i="23"/>
  <c r="I50" i="23"/>
  <c r="J50" i="23"/>
  <c r="K50" i="23"/>
  <c r="L50" i="23"/>
  <c r="M50" i="23"/>
  <c r="N50" i="23"/>
  <c r="O50" i="23"/>
  <c r="P50" i="23"/>
  <c r="Q50" i="23"/>
  <c r="R50" i="23"/>
  <c r="S50" i="23"/>
  <c r="T50" i="23"/>
  <c r="U50" i="23"/>
  <c r="V50" i="23"/>
  <c r="W50" i="23"/>
  <c r="X50" i="23"/>
  <c r="Y50" i="23"/>
  <c r="Z50" i="23"/>
  <c r="AA50" i="23"/>
  <c r="AB50" i="23"/>
  <c r="AC50" i="23"/>
  <c r="AD50" i="23"/>
  <c r="AE50" i="23"/>
  <c r="AF50" i="23"/>
  <c r="AG50" i="23"/>
  <c r="E48" i="23"/>
  <c r="E47" i="23"/>
  <c r="E46" i="23"/>
  <c r="E43" i="23"/>
  <c r="E42" i="23"/>
  <c r="E41" i="23"/>
  <c r="E40" i="23"/>
  <c r="E39" i="23"/>
  <c r="E36" i="23"/>
  <c r="E33" i="23"/>
  <c r="E32" i="23"/>
  <c r="E31" i="23"/>
  <c r="E30" i="23"/>
  <c r="E29" i="23"/>
  <c r="E26" i="23"/>
  <c r="E25" i="23"/>
  <c r="E24" i="23"/>
  <c r="E23" i="23"/>
  <c r="E22" i="23"/>
  <c r="E19" i="23"/>
  <c r="E18" i="23"/>
  <c r="E17" i="23"/>
  <c r="E16" i="23"/>
  <c r="E15" i="23"/>
  <c r="E9" i="23"/>
  <c r="E10" i="23"/>
  <c r="E11" i="23"/>
  <c r="E12" i="23"/>
  <c r="E8" i="23"/>
  <c r="E48" i="25"/>
  <c r="E47" i="25"/>
  <c r="E46" i="25"/>
  <c r="E43" i="25"/>
  <c r="E42" i="25"/>
  <c r="E41" i="25"/>
  <c r="E40" i="25"/>
  <c r="E39" i="25"/>
  <c r="E36" i="25"/>
  <c r="E33" i="25"/>
  <c r="E32" i="25"/>
  <c r="E31" i="25"/>
  <c r="E30" i="25"/>
  <c r="E29" i="25"/>
  <c r="E26" i="25"/>
  <c r="E25" i="25"/>
  <c r="E24" i="25"/>
  <c r="E23" i="25"/>
  <c r="E22" i="25"/>
  <c r="E19" i="25"/>
  <c r="E18" i="25"/>
  <c r="E17" i="25"/>
  <c r="E16" i="25"/>
  <c r="E15" i="25"/>
  <c r="E9" i="25"/>
  <c r="E10" i="25"/>
  <c r="E11" i="25"/>
  <c r="E12" i="25"/>
  <c r="E8" i="25"/>
  <c r="G50" i="22"/>
  <c r="H50" i="22"/>
  <c r="I50" i="22"/>
  <c r="J50" i="22"/>
  <c r="K50" i="22"/>
  <c r="L50" i="22"/>
  <c r="M50" i="22"/>
  <c r="N50" i="22"/>
  <c r="O50" i="22"/>
  <c r="P50" i="22"/>
  <c r="Q50" i="22"/>
  <c r="R50" i="22"/>
  <c r="S50" i="22"/>
  <c r="T50" i="22"/>
  <c r="U50" i="22"/>
  <c r="V50" i="22"/>
  <c r="W50" i="22"/>
  <c r="X50" i="22"/>
  <c r="Y50" i="22"/>
  <c r="Z50" i="22"/>
  <c r="AA50" i="22"/>
  <c r="AB50" i="22"/>
  <c r="AC50" i="22"/>
  <c r="AD50" i="22"/>
  <c r="AE50" i="22"/>
  <c r="AF50" i="22"/>
  <c r="AG50" i="22"/>
  <c r="F50" i="22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F50" i="21"/>
  <c r="G50" i="20"/>
  <c r="H50" i="20"/>
  <c r="I50" i="20"/>
  <c r="J50" i="20"/>
  <c r="K50" i="20"/>
  <c r="L50" i="20"/>
  <c r="M50" i="20"/>
  <c r="N50" i="20"/>
  <c r="O50" i="20"/>
  <c r="P50" i="20"/>
  <c r="Q50" i="20"/>
  <c r="R50" i="20"/>
  <c r="S50" i="20"/>
  <c r="T50" i="20"/>
  <c r="U50" i="20"/>
  <c r="V50" i="20"/>
  <c r="W50" i="20"/>
  <c r="X50" i="20"/>
  <c r="Y50" i="20"/>
  <c r="Z50" i="20"/>
  <c r="AA50" i="20"/>
  <c r="AB50" i="20"/>
  <c r="AC50" i="20"/>
  <c r="AD50" i="20"/>
  <c r="AE50" i="20"/>
  <c r="AF50" i="20"/>
  <c r="AG50" i="20"/>
  <c r="F50" i="20"/>
  <c r="G50" i="19"/>
  <c r="H50" i="19"/>
  <c r="I50" i="19"/>
  <c r="J50" i="19"/>
  <c r="K50" i="19"/>
  <c r="L50" i="19"/>
  <c r="M50" i="19"/>
  <c r="N50" i="19"/>
  <c r="O50" i="19"/>
  <c r="P50" i="19"/>
  <c r="Q50" i="19"/>
  <c r="R50" i="19"/>
  <c r="S50" i="19"/>
  <c r="T50" i="19"/>
  <c r="U50" i="19"/>
  <c r="V50" i="19"/>
  <c r="W50" i="19"/>
  <c r="X50" i="19"/>
  <c r="Y50" i="19"/>
  <c r="Z50" i="19"/>
  <c r="AA50" i="19"/>
  <c r="AB50" i="19"/>
  <c r="AC50" i="19"/>
  <c r="AD50" i="19"/>
  <c r="AE50" i="19"/>
  <c r="AF50" i="19"/>
  <c r="AG50" i="19"/>
  <c r="F50" i="19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F50" i="10"/>
  <c r="G50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T50" i="18"/>
  <c r="U50" i="18"/>
  <c r="V50" i="18"/>
  <c r="W50" i="18"/>
  <c r="X50" i="18"/>
  <c r="Y50" i="18"/>
  <c r="Z50" i="18"/>
  <c r="AA50" i="18"/>
  <c r="AB50" i="18"/>
  <c r="AC50" i="18"/>
  <c r="AD50" i="18"/>
  <c r="AE50" i="18"/>
  <c r="AF50" i="18"/>
  <c r="AG50" i="18"/>
  <c r="F50" i="18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Y50" i="17"/>
  <c r="Z50" i="17"/>
  <c r="AA50" i="17"/>
  <c r="AB50" i="17"/>
  <c r="AC50" i="17"/>
  <c r="AD50" i="17"/>
  <c r="AE50" i="17"/>
  <c r="AF50" i="17"/>
  <c r="AG50" i="17"/>
  <c r="F50" i="17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F50" i="16"/>
  <c r="G50" i="15"/>
  <c r="H50" i="15"/>
  <c r="I50" i="15"/>
  <c r="J50" i="15"/>
  <c r="K50" i="15"/>
  <c r="L50" i="15"/>
  <c r="M50" i="15"/>
  <c r="N50" i="15"/>
  <c r="O50" i="15"/>
  <c r="P50" i="15"/>
  <c r="Q50" i="15"/>
  <c r="R50" i="15"/>
  <c r="S50" i="15"/>
  <c r="T50" i="15"/>
  <c r="U50" i="15"/>
  <c r="V50" i="15"/>
  <c r="W50" i="15"/>
  <c r="X50" i="15"/>
  <c r="Y50" i="15"/>
  <c r="Z50" i="15"/>
  <c r="AA50" i="15"/>
  <c r="AB50" i="15"/>
  <c r="AC50" i="15"/>
  <c r="AD50" i="15"/>
  <c r="AE50" i="15"/>
  <c r="AF50" i="15"/>
  <c r="AG50" i="15"/>
  <c r="F50" i="15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F50" i="14"/>
  <c r="G50" i="13"/>
  <c r="H50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F50" i="13"/>
  <c r="G50" i="12"/>
  <c r="H50" i="12"/>
  <c r="I50" i="12"/>
  <c r="J50" i="12"/>
  <c r="K50" i="12"/>
  <c r="L50" i="12"/>
  <c r="M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F50" i="12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F50" i="11"/>
  <c r="F50" i="23"/>
  <c r="G50" i="25"/>
  <c r="H50" i="25"/>
  <c r="I50" i="25"/>
  <c r="J50" i="25"/>
  <c r="K50" i="25"/>
  <c r="L50" i="25"/>
  <c r="M50" i="25"/>
  <c r="N50" i="25"/>
  <c r="O50" i="25"/>
  <c r="P50" i="25"/>
  <c r="Q50" i="25"/>
  <c r="R50" i="25"/>
  <c r="S50" i="25"/>
  <c r="T50" i="25"/>
  <c r="U50" i="25"/>
  <c r="V50" i="25"/>
  <c r="W50" i="25"/>
  <c r="X50" i="25"/>
  <c r="Y50" i="25"/>
  <c r="Z50" i="25"/>
  <c r="AA50" i="25"/>
  <c r="AB50" i="25"/>
  <c r="AC50" i="25"/>
  <c r="AD50" i="25"/>
  <c r="AE50" i="25"/>
  <c r="AF50" i="25"/>
  <c r="AG50" i="25"/>
  <c r="F50" i="25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F50" i="6"/>
  <c r="E9" i="6"/>
  <c r="E10" i="6"/>
  <c r="E11" i="6"/>
  <c r="E12" i="6"/>
  <c r="E15" i="6"/>
  <c r="E16" i="6"/>
  <c r="E17" i="6"/>
  <c r="E18" i="6"/>
  <c r="E19" i="6"/>
  <c r="E22" i="6"/>
  <c r="E23" i="6"/>
  <c r="E24" i="6"/>
  <c r="E25" i="6"/>
  <c r="E26" i="6"/>
  <c r="E29" i="6"/>
  <c r="E30" i="6"/>
  <c r="E31" i="6"/>
  <c r="E32" i="6"/>
  <c r="E33" i="6"/>
  <c r="E36" i="6"/>
  <c r="E39" i="6"/>
  <c r="E40" i="6"/>
  <c r="E41" i="6"/>
  <c r="E42" i="6"/>
  <c r="E43" i="6"/>
  <c r="E46" i="6"/>
  <c r="E47" i="6"/>
  <c r="E48" i="6"/>
  <c r="E8" i="6"/>
  <c r="E50" i="23" l="1"/>
  <c r="E50" i="22"/>
  <c r="E50" i="21"/>
  <c r="E50" i="20"/>
  <c r="E50" i="19"/>
  <c r="E50" i="10"/>
  <c r="E50" i="18"/>
  <c r="E50" i="17"/>
  <c r="E50" i="16"/>
  <c r="E50" i="15"/>
  <c r="E50" i="14"/>
  <c r="E50" i="6"/>
  <c r="E50" i="12"/>
  <c r="E50" i="25"/>
  <c r="E50" i="11"/>
  <c r="E50" i="13"/>
  <c r="C45" i="25"/>
  <c r="C38" i="25"/>
  <c r="C35" i="25"/>
  <c r="C28" i="25"/>
  <c r="C21" i="25"/>
  <c r="C14" i="25"/>
  <c r="C7" i="25"/>
  <c r="F6" i="24" l="1"/>
  <c r="H6" i="24" s="1"/>
  <c r="C10" i="24"/>
  <c r="D10" i="24" s="1"/>
  <c r="C3" i="15" s="1"/>
  <c r="F54" i="15" s="1"/>
  <c r="G54" i="15" s="1"/>
  <c r="H54" i="15" s="1"/>
  <c r="C11" i="24"/>
  <c r="D11" i="24" s="1"/>
  <c r="C3" i="23" s="1"/>
  <c r="C50" i="25"/>
  <c r="C45" i="23"/>
  <c r="C38" i="23"/>
  <c r="C35" i="23"/>
  <c r="C28" i="23"/>
  <c r="C21" i="23"/>
  <c r="C14" i="23"/>
  <c r="C7" i="23"/>
  <c r="C45" i="22"/>
  <c r="C38" i="22"/>
  <c r="C35" i="22"/>
  <c r="C28" i="22"/>
  <c r="C21" i="22"/>
  <c r="C14" i="22"/>
  <c r="C7" i="22"/>
  <c r="C45" i="21"/>
  <c r="C38" i="21"/>
  <c r="C35" i="21"/>
  <c r="C28" i="21"/>
  <c r="C21" i="21"/>
  <c r="C14" i="21"/>
  <c r="C7" i="21"/>
  <c r="C45" i="20"/>
  <c r="C38" i="20"/>
  <c r="C35" i="20"/>
  <c r="C28" i="20"/>
  <c r="C21" i="20"/>
  <c r="C14" i="20"/>
  <c r="C7" i="20"/>
  <c r="C45" i="19"/>
  <c r="C38" i="19"/>
  <c r="C35" i="19"/>
  <c r="C28" i="19"/>
  <c r="C21" i="19"/>
  <c r="C14" i="19"/>
  <c r="C7" i="19"/>
  <c r="C45" i="18"/>
  <c r="C38" i="18"/>
  <c r="C35" i="18"/>
  <c r="C28" i="18"/>
  <c r="C21" i="18"/>
  <c r="C14" i="18"/>
  <c r="C7" i="18"/>
  <c r="C45" i="17"/>
  <c r="C38" i="17"/>
  <c r="C35" i="17"/>
  <c r="C28" i="17"/>
  <c r="C21" i="17"/>
  <c r="C14" i="17"/>
  <c r="C7" i="17"/>
  <c r="C45" i="16"/>
  <c r="C38" i="16"/>
  <c r="C35" i="16"/>
  <c r="C28" i="16"/>
  <c r="C21" i="16"/>
  <c r="C14" i="16"/>
  <c r="C7" i="16"/>
  <c r="C45" i="15"/>
  <c r="C38" i="15"/>
  <c r="C35" i="15"/>
  <c r="C28" i="15"/>
  <c r="C21" i="15"/>
  <c r="C14" i="15"/>
  <c r="C7" i="15"/>
  <c r="C45" i="14"/>
  <c r="C38" i="14"/>
  <c r="C35" i="14"/>
  <c r="C28" i="14"/>
  <c r="C21" i="14"/>
  <c r="C14" i="14"/>
  <c r="C7" i="14"/>
  <c r="C45" i="13"/>
  <c r="C38" i="13"/>
  <c r="C35" i="13"/>
  <c r="C28" i="13"/>
  <c r="C21" i="13"/>
  <c r="C14" i="13"/>
  <c r="C7" i="13"/>
  <c r="C45" i="12"/>
  <c r="C38" i="12"/>
  <c r="C35" i="12"/>
  <c r="C28" i="12"/>
  <c r="C21" i="12"/>
  <c r="C14" i="12"/>
  <c r="C7" i="12"/>
  <c r="C45" i="11"/>
  <c r="C38" i="11"/>
  <c r="C35" i="11"/>
  <c r="C28" i="11"/>
  <c r="C21" i="11"/>
  <c r="C14" i="11"/>
  <c r="C7" i="11"/>
  <c r="C45" i="10"/>
  <c r="C38" i="10"/>
  <c r="C35" i="10"/>
  <c r="C28" i="10"/>
  <c r="C21" i="10"/>
  <c r="C14" i="10"/>
  <c r="C7" i="10"/>
  <c r="C3" i="11" l="1"/>
  <c r="F54" i="11" s="1"/>
  <c r="G54" i="11" s="1"/>
  <c r="G56" i="11" s="1"/>
  <c r="C3" i="12"/>
  <c r="D4" i="12" s="1"/>
  <c r="C3" i="14"/>
  <c r="D7" i="14" s="1"/>
  <c r="D7" i="15"/>
  <c r="C3" i="6"/>
  <c r="F54" i="6" s="1"/>
  <c r="C3" i="25"/>
  <c r="C3" i="13"/>
  <c r="D45" i="13" s="1"/>
  <c r="C3" i="16"/>
  <c r="D21" i="16" s="1"/>
  <c r="C3" i="17"/>
  <c r="D45" i="17" s="1"/>
  <c r="C3" i="18"/>
  <c r="F54" i="18" s="1"/>
  <c r="G54" i="18" s="1"/>
  <c r="G56" i="18" s="1"/>
  <c r="C3" i="19"/>
  <c r="D45" i="19" s="1"/>
  <c r="C3" i="20"/>
  <c r="D21" i="20" s="1"/>
  <c r="C3" i="21"/>
  <c r="D28" i="21" s="1"/>
  <c r="C3" i="10"/>
  <c r="D45" i="10" s="1"/>
  <c r="C3" i="22"/>
  <c r="F54" i="22" s="1"/>
  <c r="G54" i="22" s="1"/>
  <c r="H54" i="22" s="1"/>
  <c r="I54" i="22" s="1"/>
  <c r="J54" i="22" s="1"/>
  <c r="K54" i="22" s="1"/>
  <c r="D4" i="15"/>
  <c r="D4" i="11"/>
  <c r="D14" i="15"/>
  <c r="D21" i="15"/>
  <c r="D28" i="15"/>
  <c r="D35" i="15"/>
  <c r="D38" i="15"/>
  <c r="D45" i="15"/>
  <c r="F56" i="15"/>
  <c r="G56" i="15"/>
  <c r="D4" i="23"/>
  <c r="F54" i="23"/>
  <c r="G54" i="23" s="1"/>
  <c r="H54" i="23" s="1"/>
  <c r="I54" i="23" s="1"/>
  <c r="I56" i="23" s="1"/>
  <c r="D45" i="23"/>
  <c r="D38" i="23"/>
  <c r="D14" i="23"/>
  <c r="D21" i="23"/>
  <c r="D28" i="23"/>
  <c r="D35" i="23"/>
  <c r="C50" i="22"/>
  <c r="C50" i="13"/>
  <c r="C50" i="12"/>
  <c r="C50" i="20"/>
  <c r="C50" i="19"/>
  <c r="C50" i="17"/>
  <c r="C50" i="16"/>
  <c r="C50" i="14"/>
  <c r="C50" i="11"/>
  <c r="C50" i="10"/>
  <c r="C50" i="23"/>
  <c r="D7" i="23"/>
  <c r="C50" i="21"/>
  <c r="C50" i="18"/>
  <c r="I54" i="15"/>
  <c r="J54" i="15" s="1"/>
  <c r="K54" i="15" s="1"/>
  <c r="L54" i="15" s="1"/>
  <c r="M54" i="15" s="1"/>
  <c r="N54" i="15" s="1"/>
  <c r="O54" i="15" s="1"/>
  <c r="P54" i="15" s="1"/>
  <c r="Q54" i="15" s="1"/>
  <c r="R54" i="15" s="1"/>
  <c r="H56" i="15"/>
  <c r="C50" i="15"/>
  <c r="C45" i="6"/>
  <c r="C38" i="6"/>
  <c r="C35" i="6"/>
  <c r="C28" i="6"/>
  <c r="C21" i="6"/>
  <c r="C14" i="6"/>
  <c r="C7" i="6"/>
  <c r="H54" i="11" l="1"/>
  <c r="I54" i="11" s="1"/>
  <c r="D14" i="12"/>
  <c r="D28" i="11"/>
  <c r="F54" i="12"/>
  <c r="F56" i="12" s="1"/>
  <c r="F58" i="12" s="1"/>
  <c r="F60" i="12" s="1"/>
  <c r="D45" i="11"/>
  <c r="D7" i="11"/>
  <c r="D21" i="11"/>
  <c r="D14" i="11"/>
  <c r="D45" i="12"/>
  <c r="F56" i="11"/>
  <c r="D38" i="12"/>
  <c r="D35" i="12"/>
  <c r="D7" i="12"/>
  <c r="D35" i="11"/>
  <c r="D38" i="11"/>
  <c r="D28" i="12"/>
  <c r="H58" i="15"/>
  <c r="G58" i="15"/>
  <c r="D21" i="12"/>
  <c r="G58" i="11"/>
  <c r="D7" i="22"/>
  <c r="D35" i="20"/>
  <c r="D28" i="20"/>
  <c r="D7" i="20"/>
  <c r="D28" i="19"/>
  <c r="D21" i="19"/>
  <c r="D14" i="10"/>
  <c r="D45" i="18"/>
  <c r="D35" i="18"/>
  <c r="D7" i="17"/>
  <c r="D14" i="16"/>
  <c r="D7" i="16"/>
  <c r="D38" i="16"/>
  <c r="D28" i="16"/>
  <c r="D35" i="16"/>
  <c r="D45" i="16"/>
  <c r="F58" i="15"/>
  <c r="F60" i="15" s="1"/>
  <c r="D35" i="14"/>
  <c r="D28" i="14"/>
  <c r="D45" i="14"/>
  <c r="D38" i="14"/>
  <c r="D21" i="14"/>
  <c r="D14" i="14"/>
  <c r="D21" i="13"/>
  <c r="D14" i="13"/>
  <c r="D7" i="13"/>
  <c r="D38" i="13"/>
  <c r="D35" i="13"/>
  <c r="D28" i="13"/>
  <c r="F56" i="23"/>
  <c r="F58" i="23" s="1"/>
  <c r="F60" i="23" s="1"/>
  <c r="D14" i="6"/>
  <c r="F56" i="22"/>
  <c r="D21" i="6"/>
  <c r="D28" i="6"/>
  <c r="D35" i="6"/>
  <c r="D7" i="19"/>
  <c r="D28" i="17"/>
  <c r="D38" i="6"/>
  <c r="F58" i="11"/>
  <c r="D14" i="22"/>
  <c r="D35" i="10"/>
  <c r="D21" i="10"/>
  <c r="D38" i="22"/>
  <c r="D4" i="6"/>
  <c r="I58" i="23"/>
  <c r="D35" i="19"/>
  <c r="D14" i="19"/>
  <c r="F54" i="14"/>
  <c r="D4" i="14"/>
  <c r="D45" i="6"/>
  <c r="D7" i="6"/>
  <c r="D7" i="10"/>
  <c r="D21" i="17"/>
  <c r="F54" i="13"/>
  <c r="D4" i="13"/>
  <c r="F54" i="25"/>
  <c r="D28" i="25"/>
  <c r="D35" i="25"/>
  <c r="D21" i="25"/>
  <c r="D38" i="25"/>
  <c r="D45" i="25"/>
  <c r="D4" i="25"/>
  <c r="D7" i="25"/>
  <c r="D14" i="25"/>
  <c r="H56" i="23"/>
  <c r="H58" i="23" s="1"/>
  <c r="G56" i="23"/>
  <c r="G58" i="23" s="1"/>
  <c r="G56" i="22"/>
  <c r="I56" i="22"/>
  <c r="J56" i="22"/>
  <c r="J54" i="23"/>
  <c r="J56" i="23" s="1"/>
  <c r="J58" i="23" s="1"/>
  <c r="D38" i="18"/>
  <c r="F54" i="20"/>
  <c r="D4" i="20"/>
  <c r="D45" i="20"/>
  <c r="H54" i="18"/>
  <c r="I54" i="18" s="1"/>
  <c r="D28" i="18"/>
  <c r="D35" i="21"/>
  <c r="D38" i="20"/>
  <c r="D21" i="18"/>
  <c r="F54" i="21"/>
  <c r="D4" i="21"/>
  <c r="D38" i="21"/>
  <c r="H56" i="22"/>
  <c r="D7" i="18"/>
  <c r="D14" i="21"/>
  <c r="D28" i="10"/>
  <c r="F54" i="17"/>
  <c r="D4" i="17"/>
  <c r="D21" i="21"/>
  <c r="D4" i="18"/>
  <c r="G58" i="18" s="1"/>
  <c r="D35" i="22"/>
  <c r="D14" i="18"/>
  <c r="D14" i="20"/>
  <c r="F56" i="18"/>
  <c r="D28" i="22"/>
  <c r="F54" i="10"/>
  <c r="D4" i="10"/>
  <c r="D45" i="22"/>
  <c r="D21" i="22"/>
  <c r="D35" i="17"/>
  <c r="F54" i="19"/>
  <c r="D4" i="19"/>
  <c r="F54" i="16"/>
  <c r="D4" i="16"/>
  <c r="D38" i="19"/>
  <c r="D45" i="21"/>
  <c r="D4" i="22"/>
  <c r="D38" i="10"/>
  <c r="D14" i="17"/>
  <c r="D7" i="21"/>
  <c r="D38" i="17"/>
  <c r="N56" i="15"/>
  <c r="N58" i="15" s="1"/>
  <c r="M56" i="15"/>
  <c r="M58" i="15" s="1"/>
  <c r="O56" i="15"/>
  <c r="O58" i="15" s="1"/>
  <c r="P56" i="15"/>
  <c r="P58" i="15" s="1"/>
  <c r="J56" i="15"/>
  <c r="J58" i="15" s="1"/>
  <c r="I56" i="15"/>
  <c r="I58" i="15" s="1"/>
  <c r="L56" i="15"/>
  <c r="L58" i="15" s="1"/>
  <c r="Q56" i="15"/>
  <c r="Q58" i="15" s="1"/>
  <c r="F56" i="6"/>
  <c r="K56" i="22"/>
  <c r="L54" i="22"/>
  <c r="S54" i="15"/>
  <c r="R56" i="15"/>
  <c r="R58" i="15" s="1"/>
  <c r="K56" i="15"/>
  <c r="K58" i="15" s="1"/>
  <c r="G54" i="6"/>
  <c r="H54" i="6" s="1"/>
  <c r="C50" i="6"/>
  <c r="H56" i="11" l="1"/>
  <c r="H58" i="11" s="1"/>
  <c r="G54" i="12"/>
  <c r="H54" i="12" s="1"/>
  <c r="I54" i="12" s="1"/>
  <c r="J54" i="12" s="1"/>
  <c r="K54" i="12" s="1"/>
  <c r="L54" i="12" s="1"/>
  <c r="L56" i="12" s="1"/>
  <c r="L58" i="12" s="1"/>
  <c r="G60" i="23"/>
  <c r="H60" i="23" s="1"/>
  <c r="I60" i="23" s="1"/>
  <c r="J60" i="23" s="1"/>
  <c r="G60" i="15"/>
  <c r="H60" i="15" s="1"/>
  <c r="I60" i="15" s="1"/>
  <c r="J60" i="15" s="1"/>
  <c r="K60" i="15" s="1"/>
  <c r="L60" i="15" s="1"/>
  <c r="M60" i="15" s="1"/>
  <c r="N60" i="15" s="1"/>
  <c r="O60" i="15" s="1"/>
  <c r="P60" i="15" s="1"/>
  <c r="Q60" i="15" s="1"/>
  <c r="R60" i="15" s="1"/>
  <c r="F58" i="6"/>
  <c r="F68" i="6" s="1"/>
  <c r="F60" i="11"/>
  <c r="G60" i="11" s="1"/>
  <c r="K54" i="23"/>
  <c r="L54" i="23" s="1"/>
  <c r="K58" i="22"/>
  <c r="I58" i="22"/>
  <c r="H56" i="18"/>
  <c r="H58" i="18" s="1"/>
  <c r="G54" i="25"/>
  <c r="F56" i="25"/>
  <c r="F58" i="25" s="1"/>
  <c r="F60" i="25" s="1"/>
  <c r="G54" i="14"/>
  <c r="F56" i="14"/>
  <c r="F58" i="14" s="1"/>
  <c r="F60" i="14" s="1"/>
  <c r="G54" i="13"/>
  <c r="F56" i="13"/>
  <c r="F58" i="13" s="1"/>
  <c r="F60" i="13" s="1"/>
  <c r="F58" i="22"/>
  <c r="F60" i="22" s="1"/>
  <c r="G58" i="22"/>
  <c r="J58" i="22"/>
  <c r="G54" i="17"/>
  <c r="F56" i="17"/>
  <c r="F58" i="17" s="1"/>
  <c r="F60" i="17" s="1"/>
  <c r="G54" i="10"/>
  <c r="F56" i="10"/>
  <c r="F58" i="10" s="1"/>
  <c r="F60" i="10" s="1"/>
  <c r="F58" i="18"/>
  <c r="F60" i="18" s="1"/>
  <c r="G60" i="18" s="1"/>
  <c r="H58" i="22"/>
  <c r="G54" i="16"/>
  <c r="F56" i="16"/>
  <c r="F58" i="16" s="1"/>
  <c r="F60" i="16" s="1"/>
  <c r="G54" i="20"/>
  <c r="F56" i="20"/>
  <c r="F58" i="20" s="1"/>
  <c r="F60" i="20" s="1"/>
  <c r="G54" i="19"/>
  <c r="F56" i="19"/>
  <c r="F58" i="19" s="1"/>
  <c r="F60" i="19" s="1"/>
  <c r="G54" i="21"/>
  <c r="F56" i="21"/>
  <c r="F58" i="21" s="1"/>
  <c r="F60" i="21" s="1"/>
  <c r="M54" i="22"/>
  <c r="L56" i="22"/>
  <c r="L58" i="22" s="1"/>
  <c r="I56" i="18"/>
  <c r="I58" i="18" s="1"/>
  <c r="J54" i="18"/>
  <c r="T54" i="15"/>
  <c r="S56" i="15"/>
  <c r="S58" i="15" s="1"/>
  <c r="J54" i="11"/>
  <c r="I56" i="11"/>
  <c r="I58" i="11" s="1"/>
  <c r="I54" i="6"/>
  <c r="H56" i="6"/>
  <c r="H58" i="6" s="1"/>
  <c r="G56" i="6"/>
  <c r="G58" i="6" s="1"/>
  <c r="H60" i="11" l="1"/>
  <c r="I60" i="11" s="1"/>
  <c r="I56" i="12"/>
  <c r="I58" i="12" s="1"/>
  <c r="G56" i="12"/>
  <c r="G58" i="12" s="1"/>
  <c r="J56" i="12"/>
  <c r="J58" i="12" s="1"/>
  <c r="F62" i="6"/>
  <c r="F64" i="6" s="1"/>
  <c r="F65" i="6" s="1"/>
  <c r="H56" i="12"/>
  <c r="H58" i="12" s="1"/>
  <c r="M54" i="12"/>
  <c r="K56" i="12"/>
  <c r="K58" i="12" s="1"/>
  <c r="K56" i="23"/>
  <c r="K58" i="23" s="1"/>
  <c r="K60" i="23" s="1"/>
  <c r="F60" i="6"/>
  <c r="G60" i="6" s="1"/>
  <c r="H60" i="6" s="1"/>
  <c r="G60" i="22"/>
  <c r="H60" i="22" s="1"/>
  <c r="I60" i="22" s="1"/>
  <c r="J60" i="22" s="1"/>
  <c r="K60" i="22" s="1"/>
  <c r="L60" i="22" s="1"/>
  <c r="H60" i="18"/>
  <c r="I60" i="18" s="1"/>
  <c r="H54" i="13"/>
  <c r="G56" i="13"/>
  <c r="G58" i="13" s="1"/>
  <c r="G60" i="13" s="1"/>
  <c r="H54" i="14"/>
  <c r="G56" i="14"/>
  <c r="G58" i="14" s="1"/>
  <c r="G60" i="14" s="1"/>
  <c r="H54" i="25"/>
  <c r="G56" i="25"/>
  <c r="G58" i="25" s="1"/>
  <c r="G60" i="25" s="1"/>
  <c r="S60" i="15"/>
  <c r="H54" i="16"/>
  <c r="G56" i="16"/>
  <c r="G58" i="16" s="1"/>
  <c r="G60" i="16" s="1"/>
  <c r="H54" i="21"/>
  <c r="G56" i="21"/>
  <c r="G58" i="21" s="1"/>
  <c r="G60" i="21" s="1"/>
  <c r="H54" i="10"/>
  <c r="G56" i="10"/>
  <c r="G58" i="10" s="1"/>
  <c r="G60" i="10" s="1"/>
  <c r="G56" i="19"/>
  <c r="G58" i="19" s="1"/>
  <c r="G60" i="19" s="1"/>
  <c r="H54" i="19"/>
  <c r="H54" i="17"/>
  <c r="G56" i="17"/>
  <c r="G58" i="17" s="1"/>
  <c r="G60" i="17" s="1"/>
  <c r="H54" i="20"/>
  <c r="G56" i="20"/>
  <c r="G58" i="20" s="1"/>
  <c r="G60" i="20" s="1"/>
  <c r="M54" i="23"/>
  <c r="L56" i="23"/>
  <c r="L58" i="23" s="1"/>
  <c r="N54" i="22"/>
  <c r="M56" i="22"/>
  <c r="M58" i="22" s="1"/>
  <c r="K54" i="18"/>
  <c r="J56" i="18"/>
  <c r="J58" i="18" s="1"/>
  <c r="U54" i="15"/>
  <c r="T56" i="15"/>
  <c r="T58" i="15" s="1"/>
  <c r="J56" i="11"/>
  <c r="J58" i="11" s="1"/>
  <c r="K54" i="11"/>
  <c r="J54" i="6"/>
  <c r="I56" i="6"/>
  <c r="I58" i="6" s="1"/>
  <c r="G60" i="12" l="1"/>
  <c r="H60" i="12" s="1"/>
  <c r="I60" i="12" s="1"/>
  <c r="J60" i="12" s="1"/>
  <c r="K60" i="12" s="1"/>
  <c r="L60" i="12" s="1"/>
  <c r="B7" i="26"/>
  <c r="N54" i="12"/>
  <c r="M56" i="12"/>
  <c r="M58" i="12" s="1"/>
  <c r="T60" i="15"/>
  <c r="I54" i="25"/>
  <c r="H56" i="25"/>
  <c r="H58" i="25" s="1"/>
  <c r="H60" i="25" s="1"/>
  <c r="I54" i="14"/>
  <c r="H56" i="14"/>
  <c r="H58" i="14" s="1"/>
  <c r="H60" i="14" s="1"/>
  <c r="H56" i="13"/>
  <c r="H58" i="13" s="1"/>
  <c r="C7" i="26" s="1"/>
  <c r="I54" i="13"/>
  <c r="J60" i="18"/>
  <c r="J60" i="11"/>
  <c r="I54" i="10"/>
  <c r="H56" i="10"/>
  <c r="H58" i="10" s="1"/>
  <c r="H60" i="10" s="1"/>
  <c r="I54" i="21"/>
  <c r="H56" i="21"/>
  <c r="H58" i="21" s="1"/>
  <c r="H60" i="21" s="1"/>
  <c r="I54" i="20"/>
  <c r="H56" i="20"/>
  <c r="H58" i="20" s="1"/>
  <c r="H60" i="20" s="1"/>
  <c r="M60" i="22"/>
  <c r="I54" i="17"/>
  <c r="H56" i="17"/>
  <c r="H58" i="17" s="1"/>
  <c r="H60" i="17" s="1"/>
  <c r="I54" i="16"/>
  <c r="H56" i="16"/>
  <c r="H58" i="16" s="1"/>
  <c r="H60" i="16" s="1"/>
  <c r="I54" i="19"/>
  <c r="H56" i="19"/>
  <c r="H58" i="19" s="1"/>
  <c r="H60" i="19" s="1"/>
  <c r="L60" i="23"/>
  <c r="N54" i="23"/>
  <c r="M56" i="23"/>
  <c r="M58" i="23" s="1"/>
  <c r="O54" i="22"/>
  <c r="N56" i="22"/>
  <c r="N58" i="22" s="1"/>
  <c r="L54" i="18"/>
  <c r="K56" i="18"/>
  <c r="K58" i="18" s="1"/>
  <c r="V54" i="15"/>
  <c r="U56" i="15"/>
  <c r="U58" i="15" s="1"/>
  <c r="L54" i="11"/>
  <c r="K56" i="11"/>
  <c r="K58" i="11" s="1"/>
  <c r="I60" i="6"/>
  <c r="K54" i="6"/>
  <c r="J56" i="6"/>
  <c r="J58" i="6" s="1"/>
  <c r="C14" i="26" l="1"/>
  <c r="O54" i="12"/>
  <c r="N56" i="12"/>
  <c r="N58" i="12" s="1"/>
  <c r="M60" i="12"/>
  <c r="H60" i="13"/>
  <c r="D15" i="24"/>
  <c r="D16" i="24" s="1"/>
  <c r="D17" i="24" s="1"/>
  <c r="K60" i="18"/>
  <c r="U60" i="15"/>
  <c r="I56" i="14"/>
  <c r="I58" i="14" s="1"/>
  <c r="I60" i="14" s="1"/>
  <c r="J54" i="14"/>
  <c r="J54" i="25"/>
  <c r="I56" i="25"/>
  <c r="I58" i="25" s="1"/>
  <c r="I60" i="25" s="1"/>
  <c r="J54" i="13"/>
  <c r="I56" i="13"/>
  <c r="I58" i="13" s="1"/>
  <c r="I60" i="13" s="1"/>
  <c r="N60" i="22"/>
  <c r="K60" i="11"/>
  <c r="I56" i="20"/>
  <c r="I58" i="20" s="1"/>
  <c r="I60" i="20" s="1"/>
  <c r="J54" i="20"/>
  <c r="J54" i="17"/>
  <c r="I56" i="17"/>
  <c r="I58" i="17" s="1"/>
  <c r="I60" i="17" s="1"/>
  <c r="J54" i="21"/>
  <c r="I56" i="21"/>
  <c r="I58" i="21" s="1"/>
  <c r="I60" i="21" s="1"/>
  <c r="J54" i="10"/>
  <c r="I56" i="10"/>
  <c r="I58" i="10" s="1"/>
  <c r="I60" i="10" s="1"/>
  <c r="J54" i="19"/>
  <c r="I56" i="19"/>
  <c r="I58" i="19" s="1"/>
  <c r="I60" i="19" s="1"/>
  <c r="J54" i="16"/>
  <c r="I56" i="16"/>
  <c r="I58" i="16" s="1"/>
  <c r="I60" i="16" s="1"/>
  <c r="J60" i="6"/>
  <c r="M60" i="23"/>
  <c r="O54" i="23"/>
  <c r="N56" i="23"/>
  <c r="N58" i="23" s="1"/>
  <c r="P54" i="22"/>
  <c r="O56" i="22"/>
  <c r="O58" i="22" s="1"/>
  <c r="M54" i="18"/>
  <c r="L56" i="18"/>
  <c r="L58" i="18" s="1"/>
  <c r="W54" i="15"/>
  <c r="V56" i="15"/>
  <c r="V58" i="15" s="1"/>
  <c r="M54" i="11"/>
  <c r="L56" i="11"/>
  <c r="L58" i="11" s="1"/>
  <c r="L54" i="6"/>
  <c r="K56" i="6"/>
  <c r="K58" i="6" s="1"/>
  <c r="N60" i="12" l="1"/>
  <c r="P54" i="12"/>
  <c r="O56" i="12"/>
  <c r="O58" i="12" s="1"/>
  <c r="L60" i="18"/>
  <c r="V60" i="15"/>
  <c r="O60" i="22"/>
  <c r="J56" i="25"/>
  <c r="J58" i="25" s="1"/>
  <c r="J60" i="25" s="1"/>
  <c r="K54" i="25"/>
  <c r="K54" i="13"/>
  <c r="J56" i="13"/>
  <c r="J58" i="13" s="1"/>
  <c r="J60" i="13" s="1"/>
  <c r="K54" i="14"/>
  <c r="J56" i="14"/>
  <c r="J58" i="14" s="1"/>
  <c r="J60" i="14" s="1"/>
  <c r="L60" i="11"/>
  <c r="K54" i="19"/>
  <c r="J56" i="19"/>
  <c r="J58" i="19" s="1"/>
  <c r="J60" i="19" s="1"/>
  <c r="K54" i="21"/>
  <c r="J56" i="21"/>
  <c r="J58" i="21" s="1"/>
  <c r="J60" i="21" s="1"/>
  <c r="K54" i="10"/>
  <c r="J56" i="10"/>
  <c r="J58" i="10" s="1"/>
  <c r="J60" i="10" s="1"/>
  <c r="J56" i="17"/>
  <c r="J58" i="17" s="1"/>
  <c r="J60" i="17" s="1"/>
  <c r="K54" i="17"/>
  <c r="K54" i="20"/>
  <c r="J56" i="20"/>
  <c r="J58" i="20" s="1"/>
  <c r="J60" i="20" s="1"/>
  <c r="K54" i="16"/>
  <c r="J56" i="16"/>
  <c r="J58" i="16" s="1"/>
  <c r="J60" i="16" s="1"/>
  <c r="K60" i="6"/>
  <c r="N60" i="23"/>
  <c r="O56" i="23"/>
  <c r="O58" i="23" s="1"/>
  <c r="P54" i="23"/>
  <c r="Q54" i="22"/>
  <c r="P56" i="22"/>
  <c r="P58" i="22" s="1"/>
  <c r="N54" i="18"/>
  <c r="M56" i="18"/>
  <c r="M58" i="18" s="1"/>
  <c r="X54" i="15"/>
  <c r="W56" i="15"/>
  <c r="W58" i="15" s="1"/>
  <c r="N54" i="11"/>
  <c r="M56" i="11"/>
  <c r="M58" i="11" s="1"/>
  <c r="M54" i="6"/>
  <c r="L56" i="6"/>
  <c r="L58" i="6" s="1"/>
  <c r="O60" i="12" l="1"/>
  <c r="Q54" i="12"/>
  <c r="P56" i="12"/>
  <c r="P58" i="12" s="1"/>
  <c r="P60" i="12" s="1"/>
  <c r="P60" i="22"/>
  <c r="M60" i="18"/>
  <c r="W60" i="15"/>
  <c r="K56" i="14"/>
  <c r="K58" i="14" s="1"/>
  <c r="K60" i="14" s="1"/>
  <c r="L54" i="14"/>
  <c r="L54" i="13"/>
  <c r="K56" i="13"/>
  <c r="K58" i="13" s="1"/>
  <c r="K60" i="13" s="1"/>
  <c r="L54" i="25"/>
  <c r="K56" i="25"/>
  <c r="K58" i="25" s="1"/>
  <c r="K60" i="25" s="1"/>
  <c r="M60" i="11"/>
  <c r="L54" i="20"/>
  <c r="K56" i="20"/>
  <c r="K58" i="20" s="1"/>
  <c r="K60" i="20" s="1"/>
  <c r="L54" i="17"/>
  <c r="K56" i="17"/>
  <c r="K58" i="17" s="1"/>
  <c r="K60" i="17" s="1"/>
  <c r="L54" i="21"/>
  <c r="K56" i="21"/>
  <c r="K58" i="21" s="1"/>
  <c r="K60" i="21" s="1"/>
  <c r="L54" i="19"/>
  <c r="K56" i="19"/>
  <c r="K58" i="19" s="1"/>
  <c r="K60" i="19" s="1"/>
  <c r="K56" i="10"/>
  <c r="K58" i="10" s="1"/>
  <c r="K60" i="10" s="1"/>
  <c r="L54" i="10"/>
  <c r="L54" i="16"/>
  <c r="K56" i="16"/>
  <c r="K58" i="16" s="1"/>
  <c r="K60" i="16" s="1"/>
  <c r="L60" i="6"/>
  <c r="O60" i="23"/>
  <c r="P56" i="23"/>
  <c r="P58" i="23" s="1"/>
  <c r="Q54" i="23"/>
  <c r="R54" i="22"/>
  <c r="Q56" i="22"/>
  <c r="Q58" i="22" s="1"/>
  <c r="O54" i="18"/>
  <c r="N56" i="18"/>
  <c r="N58" i="18" s="1"/>
  <c r="Y54" i="15"/>
  <c r="X56" i="15"/>
  <c r="X58" i="15" s="1"/>
  <c r="O54" i="11"/>
  <c r="N56" i="11"/>
  <c r="N58" i="11" s="1"/>
  <c r="N54" i="6"/>
  <c r="M56" i="6"/>
  <c r="M58" i="6" s="1"/>
  <c r="Q56" i="12" l="1"/>
  <c r="Q58" i="12" s="1"/>
  <c r="Q60" i="12" s="1"/>
  <c r="R54" i="12"/>
  <c r="N60" i="18"/>
  <c r="X60" i="15"/>
  <c r="Q60" i="22"/>
  <c r="N60" i="11"/>
  <c r="L56" i="25"/>
  <c r="L58" i="25" s="1"/>
  <c r="L60" i="25" s="1"/>
  <c r="M54" i="25"/>
  <c r="L56" i="13"/>
  <c r="L58" i="13" s="1"/>
  <c r="L60" i="13" s="1"/>
  <c r="M54" i="13"/>
  <c r="L56" i="14"/>
  <c r="L58" i="14" s="1"/>
  <c r="L60" i="14" s="1"/>
  <c r="M54" i="14"/>
  <c r="L56" i="19"/>
  <c r="L58" i="19" s="1"/>
  <c r="L60" i="19" s="1"/>
  <c r="M54" i="19"/>
  <c r="L56" i="21"/>
  <c r="L58" i="21" s="1"/>
  <c r="L60" i="21" s="1"/>
  <c r="M54" i="21"/>
  <c r="M54" i="17"/>
  <c r="L56" i="17"/>
  <c r="L58" i="17" s="1"/>
  <c r="L60" i="17" s="1"/>
  <c r="M54" i="20"/>
  <c r="L56" i="20"/>
  <c r="L58" i="20" s="1"/>
  <c r="L60" i="20" s="1"/>
  <c r="M54" i="16"/>
  <c r="L56" i="16"/>
  <c r="L58" i="16" s="1"/>
  <c r="L60" i="16" s="1"/>
  <c r="M54" i="10"/>
  <c r="L56" i="10"/>
  <c r="L58" i="10" s="1"/>
  <c r="L60" i="10" s="1"/>
  <c r="M60" i="6"/>
  <c r="P60" i="23"/>
  <c r="R54" i="23"/>
  <c r="Q56" i="23"/>
  <c r="Q58" i="23" s="1"/>
  <c r="S54" i="22"/>
  <c r="R56" i="22"/>
  <c r="R58" i="22" s="1"/>
  <c r="P54" i="18"/>
  <c r="O56" i="18"/>
  <c r="O58" i="18" s="1"/>
  <c r="Z54" i="15"/>
  <c r="Y56" i="15"/>
  <c r="Y58" i="15" s="1"/>
  <c r="P54" i="11"/>
  <c r="O56" i="11"/>
  <c r="O58" i="11" s="1"/>
  <c r="O54" i="6"/>
  <c r="N56" i="6"/>
  <c r="N58" i="6" s="1"/>
  <c r="R60" i="22" l="1"/>
  <c r="Y60" i="15"/>
  <c r="S54" i="12"/>
  <c r="R56" i="12"/>
  <c r="R58" i="12" s="1"/>
  <c r="R60" i="12" s="1"/>
  <c r="O60" i="18"/>
  <c r="O60" i="11"/>
  <c r="N54" i="14"/>
  <c r="M56" i="14"/>
  <c r="M58" i="14" s="1"/>
  <c r="M60" i="14" s="1"/>
  <c r="N54" i="13"/>
  <c r="M56" i="13"/>
  <c r="M58" i="13" s="1"/>
  <c r="M60" i="13" s="1"/>
  <c r="M56" i="25"/>
  <c r="M58" i="25" s="1"/>
  <c r="M60" i="25" s="1"/>
  <c r="N54" i="25"/>
  <c r="N54" i="16"/>
  <c r="M56" i="16"/>
  <c r="M58" i="16" s="1"/>
  <c r="M60" i="16" s="1"/>
  <c r="N54" i="20"/>
  <c r="M56" i="20"/>
  <c r="M58" i="20" s="1"/>
  <c r="M60" i="20" s="1"/>
  <c r="M56" i="21"/>
  <c r="M58" i="21" s="1"/>
  <c r="M60" i="21" s="1"/>
  <c r="N54" i="21"/>
  <c r="N54" i="19"/>
  <c r="M56" i="19"/>
  <c r="M58" i="19" s="1"/>
  <c r="M60" i="19" s="1"/>
  <c r="M56" i="17"/>
  <c r="M58" i="17" s="1"/>
  <c r="M60" i="17" s="1"/>
  <c r="N54" i="17"/>
  <c r="M56" i="10"/>
  <c r="M58" i="10" s="1"/>
  <c r="M60" i="10" s="1"/>
  <c r="N54" i="10"/>
  <c r="N60" i="6"/>
  <c r="Q60" i="23"/>
  <c r="S54" i="23"/>
  <c r="R56" i="23"/>
  <c r="R58" i="23" s="1"/>
  <c r="T54" i="22"/>
  <c r="S56" i="22"/>
  <c r="S58" i="22" s="1"/>
  <c r="S60" i="22" s="1"/>
  <c r="Q54" i="18"/>
  <c r="P56" i="18"/>
  <c r="P58" i="18" s="1"/>
  <c r="P60" i="18" s="1"/>
  <c r="AA54" i="15"/>
  <c r="Z56" i="15"/>
  <c r="Z58" i="15" s="1"/>
  <c r="P56" i="11"/>
  <c r="P58" i="11" s="1"/>
  <c r="Q54" i="11"/>
  <c r="P54" i="6"/>
  <c r="O56" i="6"/>
  <c r="O58" i="6" s="1"/>
  <c r="Z60" i="15" l="1"/>
  <c r="T54" i="12"/>
  <c r="S56" i="12"/>
  <c r="S58" i="12" s="1"/>
  <c r="S60" i="12" s="1"/>
  <c r="P60" i="11"/>
  <c r="O54" i="25"/>
  <c r="N56" i="25"/>
  <c r="N58" i="25" s="1"/>
  <c r="N60" i="25" s="1"/>
  <c r="O54" i="13"/>
  <c r="N56" i="13"/>
  <c r="N58" i="13" s="1"/>
  <c r="N60" i="13" s="1"/>
  <c r="O54" i="14"/>
  <c r="N56" i="14"/>
  <c r="N58" i="14" s="1"/>
  <c r="N60" i="14" s="1"/>
  <c r="N56" i="21"/>
  <c r="N58" i="21" s="1"/>
  <c r="N60" i="21" s="1"/>
  <c r="O54" i="21"/>
  <c r="O54" i="17"/>
  <c r="N56" i="17"/>
  <c r="N58" i="17" s="1"/>
  <c r="N60" i="17" s="1"/>
  <c r="O54" i="19"/>
  <c r="N56" i="19"/>
  <c r="N58" i="19" s="1"/>
  <c r="N60" i="19" s="1"/>
  <c r="N56" i="16"/>
  <c r="N58" i="16" s="1"/>
  <c r="N60" i="16" s="1"/>
  <c r="O54" i="16"/>
  <c r="N56" i="20"/>
  <c r="N58" i="20" s="1"/>
  <c r="N60" i="20" s="1"/>
  <c r="O54" i="20"/>
  <c r="O54" i="10"/>
  <c r="N56" i="10"/>
  <c r="N58" i="10" s="1"/>
  <c r="N60" i="10" s="1"/>
  <c r="O60" i="6"/>
  <c r="R60" i="23"/>
  <c r="T54" i="23"/>
  <c r="S56" i="23"/>
  <c r="S58" i="23" s="1"/>
  <c r="U54" i="22"/>
  <c r="T56" i="22"/>
  <c r="T58" i="22" s="1"/>
  <c r="T60" i="22" s="1"/>
  <c r="R54" i="18"/>
  <c r="Q56" i="18"/>
  <c r="Q58" i="18" s="1"/>
  <c r="Q60" i="18" s="1"/>
  <c r="AB54" i="15"/>
  <c r="AA56" i="15"/>
  <c r="AA58" i="15" s="1"/>
  <c r="AA60" i="15" s="1"/>
  <c r="R54" i="11"/>
  <c r="Q56" i="11"/>
  <c r="Q58" i="11" s="1"/>
  <c r="Q54" i="6"/>
  <c r="P56" i="6"/>
  <c r="P58" i="6" s="1"/>
  <c r="U54" i="12" l="1"/>
  <c r="T56" i="12"/>
  <c r="T58" i="12" s="1"/>
  <c r="T60" i="12" s="1"/>
  <c r="Q60" i="11"/>
  <c r="P54" i="13"/>
  <c r="O56" i="13"/>
  <c r="O58" i="13" s="1"/>
  <c r="O60" i="13" s="1"/>
  <c r="P54" i="25"/>
  <c r="O56" i="25"/>
  <c r="O58" i="25" s="1"/>
  <c r="O60" i="25" s="1"/>
  <c r="P54" i="14"/>
  <c r="O56" i="14"/>
  <c r="O58" i="14" s="1"/>
  <c r="O60" i="14" s="1"/>
  <c r="O56" i="16"/>
  <c r="O58" i="16" s="1"/>
  <c r="O60" i="16" s="1"/>
  <c r="P54" i="16"/>
  <c r="P54" i="19"/>
  <c r="O56" i="19"/>
  <c r="O58" i="19" s="1"/>
  <c r="O60" i="19" s="1"/>
  <c r="O56" i="17"/>
  <c r="O58" i="17" s="1"/>
  <c r="O60" i="17" s="1"/>
  <c r="P54" i="17"/>
  <c r="O56" i="21"/>
  <c r="O58" i="21" s="1"/>
  <c r="O60" i="21" s="1"/>
  <c r="P54" i="21"/>
  <c r="O56" i="20"/>
  <c r="O58" i="20" s="1"/>
  <c r="O60" i="20" s="1"/>
  <c r="P54" i="20"/>
  <c r="O56" i="10"/>
  <c r="O58" i="10" s="1"/>
  <c r="O60" i="10" s="1"/>
  <c r="P54" i="10"/>
  <c r="P60" i="6"/>
  <c r="S60" i="23"/>
  <c r="U54" i="23"/>
  <c r="T56" i="23"/>
  <c r="T58" i="23" s="1"/>
  <c r="V54" i="22"/>
  <c r="U56" i="22"/>
  <c r="U58" i="22" s="1"/>
  <c r="U60" i="22" s="1"/>
  <c r="S54" i="18"/>
  <c r="R56" i="18"/>
  <c r="R58" i="18" s="1"/>
  <c r="R60" i="18" s="1"/>
  <c r="AC54" i="15"/>
  <c r="AB56" i="15"/>
  <c r="AB58" i="15" s="1"/>
  <c r="AB60" i="15" s="1"/>
  <c r="S54" i="11"/>
  <c r="R56" i="11"/>
  <c r="R58" i="11" s="1"/>
  <c r="R54" i="6"/>
  <c r="Q56" i="6"/>
  <c r="Q58" i="6" s="1"/>
  <c r="V54" i="12" l="1"/>
  <c r="U56" i="12"/>
  <c r="U58" i="12" s="1"/>
  <c r="U60" i="12" s="1"/>
  <c r="R60" i="11"/>
  <c r="P56" i="14"/>
  <c r="P58" i="14" s="1"/>
  <c r="P60" i="14" s="1"/>
  <c r="Q54" i="14"/>
  <c r="Q54" i="25"/>
  <c r="P56" i="25"/>
  <c r="P58" i="25" s="1"/>
  <c r="P60" i="25" s="1"/>
  <c r="Q54" i="13"/>
  <c r="P56" i="13"/>
  <c r="P58" i="13" s="1"/>
  <c r="P60" i="13" s="1"/>
  <c r="Q54" i="21"/>
  <c r="P56" i="21"/>
  <c r="P58" i="21" s="1"/>
  <c r="P60" i="21" s="1"/>
  <c r="Q54" i="17"/>
  <c r="P56" i="17"/>
  <c r="P58" i="17" s="1"/>
  <c r="P60" i="17" s="1"/>
  <c r="Q54" i="19"/>
  <c r="P56" i="19"/>
  <c r="P58" i="19" s="1"/>
  <c r="P60" i="19" s="1"/>
  <c r="P56" i="20"/>
  <c r="P58" i="20" s="1"/>
  <c r="P60" i="20" s="1"/>
  <c r="Q54" i="20"/>
  <c r="Q54" i="16"/>
  <c r="P56" i="16"/>
  <c r="P58" i="16" s="1"/>
  <c r="P60" i="16" s="1"/>
  <c r="P56" i="10"/>
  <c r="P58" i="10" s="1"/>
  <c r="P60" i="10" s="1"/>
  <c r="Q54" i="10"/>
  <c r="Q60" i="6"/>
  <c r="T60" i="23"/>
  <c r="U56" i="23"/>
  <c r="U58" i="23" s="1"/>
  <c r="V54" i="23"/>
  <c r="V56" i="22"/>
  <c r="V58" i="22" s="1"/>
  <c r="V60" i="22" s="1"/>
  <c r="W54" i="22"/>
  <c r="T54" i="18"/>
  <c r="S56" i="18"/>
  <c r="S58" i="18" s="1"/>
  <c r="S60" i="18" s="1"/>
  <c r="AD54" i="15"/>
  <c r="AC56" i="15"/>
  <c r="AC58" i="15" s="1"/>
  <c r="AC60" i="15" s="1"/>
  <c r="T54" i="11"/>
  <c r="S56" i="11"/>
  <c r="S58" i="11" s="1"/>
  <c r="S54" i="6"/>
  <c r="R56" i="6"/>
  <c r="R58" i="6" s="1"/>
  <c r="W54" i="12" l="1"/>
  <c r="V56" i="12"/>
  <c r="V58" i="12" s="1"/>
  <c r="V60" i="12" s="1"/>
  <c r="S60" i="11"/>
  <c r="R54" i="14"/>
  <c r="Q56" i="14"/>
  <c r="Q58" i="14" s="1"/>
  <c r="Q60" i="14" s="1"/>
  <c r="R54" i="13"/>
  <c r="Q56" i="13"/>
  <c r="Q58" i="13" s="1"/>
  <c r="Q60" i="13" s="1"/>
  <c r="R54" i="25"/>
  <c r="Q56" i="25"/>
  <c r="Q58" i="25" s="1"/>
  <c r="Q60" i="25" s="1"/>
  <c r="Q56" i="16"/>
  <c r="Q58" i="16" s="1"/>
  <c r="Q60" i="16" s="1"/>
  <c r="R54" i="16"/>
  <c r="R54" i="20"/>
  <c r="Q56" i="20"/>
  <c r="Q58" i="20" s="1"/>
  <c r="Q60" i="20" s="1"/>
  <c r="R54" i="17"/>
  <c r="Q56" i="17"/>
  <c r="Q58" i="17" s="1"/>
  <c r="Q60" i="17" s="1"/>
  <c r="Q56" i="21"/>
  <c r="Q58" i="21" s="1"/>
  <c r="Q60" i="21" s="1"/>
  <c r="R54" i="21"/>
  <c r="R54" i="19"/>
  <c r="Q56" i="19"/>
  <c r="Q58" i="19" s="1"/>
  <c r="Q60" i="19" s="1"/>
  <c r="R54" i="10"/>
  <c r="Q56" i="10"/>
  <c r="Q58" i="10" s="1"/>
  <c r="Q60" i="10" s="1"/>
  <c r="R60" i="6"/>
  <c r="U60" i="23"/>
  <c r="V56" i="23"/>
  <c r="V58" i="23" s="1"/>
  <c r="W54" i="23"/>
  <c r="W56" i="22"/>
  <c r="W58" i="22" s="1"/>
  <c r="W60" i="22" s="1"/>
  <c r="X54" i="22"/>
  <c r="U54" i="18"/>
  <c r="T56" i="18"/>
  <c r="T58" i="18" s="1"/>
  <c r="T60" i="18" s="1"/>
  <c r="AD56" i="15"/>
  <c r="AD58" i="15" s="1"/>
  <c r="AD60" i="15" s="1"/>
  <c r="AE54" i="15"/>
  <c r="U54" i="11"/>
  <c r="T56" i="11"/>
  <c r="T58" i="11" s="1"/>
  <c r="T54" i="6"/>
  <c r="S56" i="6"/>
  <c r="S58" i="6" s="1"/>
  <c r="X54" i="12" l="1"/>
  <c r="W56" i="12"/>
  <c r="W58" i="12" s="1"/>
  <c r="W60" i="12" s="1"/>
  <c r="T60" i="11"/>
  <c r="S54" i="13"/>
  <c r="R56" i="13"/>
  <c r="R58" i="13" s="1"/>
  <c r="R60" i="13" s="1"/>
  <c r="S54" i="25"/>
  <c r="R56" i="25"/>
  <c r="R58" i="25" s="1"/>
  <c r="R60" i="25" s="1"/>
  <c r="R56" i="14"/>
  <c r="R58" i="14" s="1"/>
  <c r="R60" i="14" s="1"/>
  <c r="S54" i="14"/>
  <c r="R56" i="20"/>
  <c r="R58" i="20" s="1"/>
  <c r="R60" i="20" s="1"/>
  <c r="S54" i="20"/>
  <c r="R56" i="16"/>
  <c r="R58" i="16" s="1"/>
  <c r="R60" i="16" s="1"/>
  <c r="S54" i="16"/>
  <c r="S54" i="21"/>
  <c r="R56" i="21"/>
  <c r="R58" i="21" s="1"/>
  <c r="R60" i="21" s="1"/>
  <c r="R56" i="17"/>
  <c r="R58" i="17" s="1"/>
  <c r="R60" i="17" s="1"/>
  <c r="S54" i="17"/>
  <c r="S54" i="19"/>
  <c r="R56" i="19"/>
  <c r="R58" i="19" s="1"/>
  <c r="R60" i="19" s="1"/>
  <c r="R56" i="10"/>
  <c r="R58" i="10" s="1"/>
  <c r="R60" i="10" s="1"/>
  <c r="S54" i="10"/>
  <c r="S60" i="6"/>
  <c r="V60" i="23"/>
  <c r="X54" i="23"/>
  <c r="W56" i="23"/>
  <c r="W58" i="23" s="1"/>
  <c r="Y54" i="22"/>
  <c r="X56" i="22"/>
  <c r="X58" i="22" s="1"/>
  <c r="X60" i="22" s="1"/>
  <c r="U56" i="18"/>
  <c r="U58" i="18" s="1"/>
  <c r="U60" i="18" s="1"/>
  <c r="V54" i="18"/>
  <c r="AF54" i="15"/>
  <c r="AE56" i="15"/>
  <c r="AE58" i="15" s="1"/>
  <c r="AE60" i="15" s="1"/>
  <c r="V54" i="11"/>
  <c r="U56" i="11"/>
  <c r="U58" i="11" s="1"/>
  <c r="U54" i="6"/>
  <c r="T56" i="6"/>
  <c r="T58" i="6" s="1"/>
  <c r="X56" i="12" l="1"/>
  <c r="X58" i="12" s="1"/>
  <c r="X60" i="12" s="1"/>
  <c r="Y54" i="12"/>
  <c r="U60" i="11"/>
  <c r="T54" i="14"/>
  <c r="S56" i="14"/>
  <c r="S58" i="14" s="1"/>
  <c r="S60" i="14" s="1"/>
  <c r="T54" i="25"/>
  <c r="S56" i="25"/>
  <c r="S58" i="25" s="1"/>
  <c r="S60" i="25" s="1"/>
  <c r="T54" i="13"/>
  <c r="S56" i="13"/>
  <c r="S58" i="13" s="1"/>
  <c r="S60" i="13" s="1"/>
  <c r="T54" i="17"/>
  <c r="S56" i="17"/>
  <c r="S58" i="17" s="1"/>
  <c r="S60" i="17" s="1"/>
  <c r="T54" i="19"/>
  <c r="S56" i="19"/>
  <c r="S58" i="19" s="1"/>
  <c r="S60" i="19" s="1"/>
  <c r="T54" i="21"/>
  <c r="S56" i="21"/>
  <c r="S58" i="21" s="1"/>
  <c r="S60" i="21" s="1"/>
  <c r="T54" i="16"/>
  <c r="S56" i="16"/>
  <c r="S58" i="16" s="1"/>
  <c r="S60" i="16" s="1"/>
  <c r="S56" i="20"/>
  <c r="S58" i="20" s="1"/>
  <c r="S60" i="20" s="1"/>
  <c r="T54" i="20"/>
  <c r="T54" i="10"/>
  <c r="S56" i="10"/>
  <c r="S58" i="10" s="1"/>
  <c r="S60" i="10" s="1"/>
  <c r="T60" i="6"/>
  <c r="W60" i="23"/>
  <c r="Y54" i="23"/>
  <c r="X56" i="23"/>
  <c r="X58" i="23" s="1"/>
  <c r="Z54" i="22"/>
  <c r="Y56" i="22"/>
  <c r="Y58" i="22" s="1"/>
  <c r="Y60" i="22" s="1"/>
  <c r="W54" i="18"/>
  <c r="V56" i="18"/>
  <c r="V58" i="18" s="1"/>
  <c r="V60" i="18" s="1"/>
  <c r="AG54" i="15"/>
  <c r="AG56" i="15" s="1"/>
  <c r="AG58" i="15" s="1"/>
  <c r="AF56" i="15"/>
  <c r="AF58" i="15" s="1"/>
  <c r="AF60" i="15" s="1"/>
  <c r="V56" i="11"/>
  <c r="V58" i="11" s="1"/>
  <c r="W54" i="11"/>
  <c r="V54" i="6"/>
  <c r="U56" i="6"/>
  <c r="U58" i="6" s="1"/>
  <c r="V60" i="11" l="1"/>
  <c r="Z54" i="12"/>
  <c r="Y56" i="12"/>
  <c r="Y58" i="12" s="1"/>
  <c r="Y60" i="12" s="1"/>
  <c r="T56" i="13"/>
  <c r="T58" i="13" s="1"/>
  <c r="T60" i="13" s="1"/>
  <c r="U54" i="13"/>
  <c r="U54" i="25"/>
  <c r="T56" i="25"/>
  <c r="T58" i="25" s="1"/>
  <c r="T60" i="25" s="1"/>
  <c r="T56" i="14"/>
  <c r="T58" i="14" s="1"/>
  <c r="T60" i="14" s="1"/>
  <c r="U54" i="14"/>
  <c r="AG60" i="15"/>
  <c r="U54" i="16"/>
  <c r="T56" i="16"/>
  <c r="T58" i="16" s="1"/>
  <c r="T60" i="16" s="1"/>
  <c r="U54" i="10"/>
  <c r="T56" i="10"/>
  <c r="T58" i="10" s="1"/>
  <c r="T60" i="10" s="1"/>
  <c r="U54" i="21"/>
  <c r="T56" i="21"/>
  <c r="T58" i="21" s="1"/>
  <c r="T60" i="21" s="1"/>
  <c r="U54" i="19"/>
  <c r="T56" i="19"/>
  <c r="T58" i="19" s="1"/>
  <c r="T60" i="19" s="1"/>
  <c r="T56" i="20"/>
  <c r="T58" i="20" s="1"/>
  <c r="T60" i="20" s="1"/>
  <c r="U54" i="20"/>
  <c r="U54" i="17"/>
  <c r="T56" i="17"/>
  <c r="T58" i="17" s="1"/>
  <c r="T60" i="17" s="1"/>
  <c r="U60" i="6"/>
  <c r="X60" i="23"/>
  <c r="Z54" i="23"/>
  <c r="Y56" i="23"/>
  <c r="Y58" i="23" s="1"/>
  <c r="AA54" i="22"/>
  <c r="Z56" i="22"/>
  <c r="Z58" i="22" s="1"/>
  <c r="Z60" i="22" s="1"/>
  <c r="X54" i="18"/>
  <c r="W56" i="18"/>
  <c r="W58" i="18" s="1"/>
  <c r="W60" i="18" s="1"/>
  <c r="X54" i="11"/>
  <c r="W56" i="11"/>
  <c r="W58" i="11" s="1"/>
  <c r="W54" i="6"/>
  <c r="V56" i="6"/>
  <c r="V58" i="6" s="1"/>
  <c r="W60" i="11" l="1"/>
  <c r="AA54" i="12"/>
  <c r="Z56" i="12"/>
  <c r="Z58" i="12" s="1"/>
  <c r="Z60" i="12" s="1"/>
  <c r="V54" i="25"/>
  <c r="U56" i="25"/>
  <c r="U58" i="25" s="1"/>
  <c r="U60" i="25" s="1"/>
  <c r="V54" i="13"/>
  <c r="U56" i="13"/>
  <c r="U58" i="13" s="1"/>
  <c r="U60" i="13" s="1"/>
  <c r="U56" i="14"/>
  <c r="U58" i="14" s="1"/>
  <c r="U60" i="14" s="1"/>
  <c r="V54" i="14"/>
  <c r="U56" i="17"/>
  <c r="U58" i="17" s="1"/>
  <c r="U60" i="17" s="1"/>
  <c r="V54" i="17"/>
  <c r="U56" i="20"/>
  <c r="U58" i="20" s="1"/>
  <c r="U60" i="20" s="1"/>
  <c r="V54" i="20"/>
  <c r="V54" i="19"/>
  <c r="U56" i="19"/>
  <c r="U58" i="19" s="1"/>
  <c r="U60" i="19" s="1"/>
  <c r="U56" i="21"/>
  <c r="U58" i="21" s="1"/>
  <c r="U60" i="21" s="1"/>
  <c r="V54" i="21"/>
  <c r="V54" i="10"/>
  <c r="U56" i="10"/>
  <c r="U58" i="10" s="1"/>
  <c r="U60" i="10" s="1"/>
  <c r="V54" i="16"/>
  <c r="U56" i="16"/>
  <c r="U58" i="16" s="1"/>
  <c r="U60" i="16" s="1"/>
  <c r="V60" i="6"/>
  <c r="Y60" i="23"/>
  <c r="AA54" i="23"/>
  <c r="Z56" i="23"/>
  <c r="Z58" i="23" s="1"/>
  <c r="AB54" i="22"/>
  <c r="AA56" i="22"/>
  <c r="AA58" i="22" s="1"/>
  <c r="AA60" i="22" s="1"/>
  <c r="Y54" i="18"/>
  <c r="X56" i="18"/>
  <c r="X58" i="18" s="1"/>
  <c r="X60" i="18" s="1"/>
  <c r="Y54" i="11"/>
  <c r="X56" i="11"/>
  <c r="X58" i="11" s="1"/>
  <c r="X60" i="11" s="1"/>
  <c r="X54" i="6"/>
  <c r="W56" i="6"/>
  <c r="W58" i="6" s="1"/>
  <c r="AA56" i="12" l="1"/>
  <c r="AA58" i="12" s="1"/>
  <c r="AA60" i="12" s="1"/>
  <c r="AB54" i="12"/>
  <c r="W54" i="14"/>
  <c r="V56" i="14"/>
  <c r="V58" i="14" s="1"/>
  <c r="V60" i="14" s="1"/>
  <c r="V56" i="13"/>
  <c r="V58" i="13" s="1"/>
  <c r="V60" i="13" s="1"/>
  <c r="W54" i="13"/>
  <c r="W54" i="25"/>
  <c r="V56" i="25"/>
  <c r="V58" i="25" s="1"/>
  <c r="V60" i="25" s="1"/>
  <c r="V56" i="10"/>
  <c r="V58" i="10" s="1"/>
  <c r="V60" i="10" s="1"/>
  <c r="W54" i="10"/>
  <c r="V56" i="19"/>
  <c r="V58" i="19" s="1"/>
  <c r="V60" i="19" s="1"/>
  <c r="W54" i="19"/>
  <c r="V56" i="21"/>
  <c r="V58" i="21" s="1"/>
  <c r="V60" i="21" s="1"/>
  <c r="W54" i="21"/>
  <c r="W54" i="20"/>
  <c r="V56" i="20"/>
  <c r="V58" i="20" s="1"/>
  <c r="V60" i="20" s="1"/>
  <c r="W54" i="16"/>
  <c r="V56" i="16"/>
  <c r="V58" i="16" s="1"/>
  <c r="V60" i="16" s="1"/>
  <c r="W54" i="17"/>
  <c r="V56" i="17"/>
  <c r="V58" i="17" s="1"/>
  <c r="V60" i="17" s="1"/>
  <c r="W60" i="6"/>
  <c r="Z60" i="23"/>
  <c r="AA56" i="23"/>
  <c r="AA58" i="23" s="1"/>
  <c r="AB54" i="23"/>
  <c r="AC54" i="22"/>
  <c r="AB56" i="22"/>
  <c r="AB58" i="22" s="1"/>
  <c r="AB60" i="22" s="1"/>
  <c r="Z54" i="18"/>
  <c r="Y56" i="18"/>
  <c r="Y58" i="18" s="1"/>
  <c r="Y60" i="18" s="1"/>
  <c r="Z54" i="11"/>
  <c r="Y56" i="11"/>
  <c r="Y58" i="11" s="1"/>
  <c r="Y60" i="11" s="1"/>
  <c r="Y54" i="6"/>
  <c r="X56" i="6"/>
  <c r="X58" i="6" s="1"/>
  <c r="AC54" i="12" l="1"/>
  <c r="AB56" i="12"/>
  <c r="AB58" i="12" s="1"/>
  <c r="AB60" i="12" s="1"/>
  <c r="X54" i="25"/>
  <c r="W56" i="25"/>
  <c r="W58" i="25" s="1"/>
  <c r="W60" i="25" s="1"/>
  <c r="X54" i="13"/>
  <c r="W56" i="13"/>
  <c r="W58" i="13" s="1"/>
  <c r="W60" i="13" s="1"/>
  <c r="W56" i="14"/>
  <c r="W58" i="14" s="1"/>
  <c r="W60" i="14" s="1"/>
  <c r="X54" i="14"/>
  <c r="X54" i="20"/>
  <c r="W56" i="20"/>
  <c r="W58" i="20" s="1"/>
  <c r="W60" i="20" s="1"/>
  <c r="X54" i="17"/>
  <c r="W56" i="17"/>
  <c r="W58" i="17" s="1"/>
  <c r="W60" i="17" s="1"/>
  <c r="W56" i="21"/>
  <c r="W58" i="21" s="1"/>
  <c r="W60" i="21" s="1"/>
  <c r="X54" i="21"/>
  <c r="W56" i="19"/>
  <c r="W58" i="19" s="1"/>
  <c r="W60" i="19" s="1"/>
  <c r="X54" i="19"/>
  <c r="W56" i="10"/>
  <c r="W58" i="10" s="1"/>
  <c r="W60" i="10" s="1"/>
  <c r="X54" i="10"/>
  <c r="X54" i="16"/>
  <c r="W56" i="16"/>
  <c r="W58" i="16" s="1"/>
  <c r="W60" i="16" s="1"/>
  <c r="X60" i="6"/>
  <c r="AA60" i="23"/>
  <c r="AB56" i="23"/>
  <c r="AB58" i="23" s="1"/>
  <c r="AC54" i="23"/>
  <c r="AD54" i="22"/>
  <c r="AC56" i="22"/>
  <c r="AC58" i="22" s="1"/>
  <c r="AC60" i="22" s="1"/>
  <c r="AA54" i="18"/>
  <c r="Z56" i="18"/>
  <c r="Z58" i="18" s="1"/>
  <c r="Z60" i="18" s="1"/>
  <c r="AA54" i="11"/>
  <c r="Z56" i="11"/>
  <c r="Z58" i="11" s="1"/>
  <c r="Z60" i="11" s="1"/>
  <c r="Z54" i="6"/>
  <c r="Y56" i="6"/>
  <c r="Y58" i="6" s="1"/>
  <c r="AD54" i="12" l="1"/>
  <c r="AC56" i="12"/>
  <c r="AC58" i="12" s="1"/>
  <c r="AC60" i="12" s="1"/>
  <c r="Y54" i="14"/>
  <c r="X56" i="14"/>
  <c r="X58" i="14" s="1"/>
  <c r="X60" i="14" s="1"/>
  <c r="Y54" i="13"/>
  <c r="X56" i="13"/>
  <c r="X58" i="13" s="1"/>
  <c r="X60" i="13" s="1"/>
  <c r="Y54" i="25"/>
  <c r="X56" i="25"/>
  <c r="X58" i="25" s="1"/>
  <c r="X60" i="25" s="1"/>
  <c r="Y54" i="19"/>
  <c r="X56" i="19"/>
  <c r="X58" i="19" s="1"/>
  <c r="X60" i="19" s="1"/>
  <c r="X56" i="21"/>
  <c r="X58" i="21" s="1"/>
  <c r="X60" i="21" s="1"/>
  <c r="Y54" i="21"/>
  <c r="Y54" i="10"/>
  <c r="X56" i="10"/>
  <c r="X58" i="10" s="1"/>
  <c r="X60" i="10" s="1"/>
  <c r="Y54" i="16"/>
  <c r="X56" i="16"/>
  <c r="X58" i="16" s="1"/>
  <c r="X60" i="16" s="1"/>
  <c r="Y54" i="17"/>
  <c r="X56" i="17"/>
  <c r="X58" i="17" s="1"/>
  <c r="X60" i="17" s="1"/>
  <c r="Y54" i="20"/>
  <c r="X56" i="20"/>
  <c r="X58" i="20" s="1"/>
  <c r="X60" i="20" s="1"/>
  <c r="Y60" i="6"/>
  <c r="AB60" i="23"/>
  <c r="AD54" i="23"/>
  <c r="AC56" i="23"/>
  <c r="AC58" i="23" s="1"/>
  <c r="AE54" i="22"/>
  <c r="AD56" i="22"/>
  <c r="AD58" i="22" s="1"/>
  <c r="AD60" i="22" s="1"/>
  <c r="AB54" i="18"/>
  <c r="AA56" i="18"/>
  <c r="AA58" i="18" s="1"/>
  <c r="AA60" i="18" s="1"/>
  <c r="AB54" i="11"/>
  <c r="AA56" i="11"/>
  <c r="AA58" i="11" s="1"/>
  <c r="AA60" i="11" s="1"/>
  <c r="AA54" i="6"/>
  <c r="Z56" i="6"/>
  <c r="Z58" i="6" s="1"/>
  <c r="AE54" i="12" l="1"/>
  <c r="AD56" i="12"/>
  <c r="AD58" i="12" s="1"/>
  <c r="AD60" i="12" s="1"/>
  <c r="Y56" i="25"/>
  <c r="Y58" i="25" s="1"/>
  <c r="Y60" i="25" s="1"/>
  <c r="Z54" i="25"/>
  <c r="Z54" i="13"/>
  <c r="Y56" i="13"/>
  <c r="Y58" i="13" s="1"/>
  <c r="Y60" i="13" s="1"/>
  <c r="Z54" i="14"/>
  <c r="Y56" i="14"/>
  <c r="Y58" i="14" s="1"/>
  <c r="Y60" i="14" s="1"/>
  <c r="Y56" i="21"/>
  <c r="Y58" i="21" s="1"/>
  <c r="Y60" i="21" s="1"/>
  <c r="Z54" i="21"/>
  <c r="Z54" i="10"/>
  <c r="Y56" i="10"/>
  <c r="Y58" i="10" s="1"/>
  <c r="Y60" i="10" s="1"/>
  <c r="Y56" i="20"/>
  <c r="Y58" i="20" s="1"/>
  <c r="Y60" i="20" s="1"/>
  <c r="Z54" i="20"/>
  <c r="Y56" i="17"/>
  <c r="Y58" i="17" s="1"/>
  <c r="Y60" i="17" s="1"/>
  <c r="Z54" i="17"/>
  <c r="Z54" i="16"/>
  <c r="Y56" i="16"/>
  <c r="Y58" i="16" s="1"/>
  <c r="Y60" i="16" s="1"/>
  <c r="Y56" i="19"/>
  <c r="Y58" i="19" s="1"/>
  <c r="Y60" i="19" s="1"/>
  <c r="Z54" i="19"/>
  <c r="Z60" i="6"/>
  <c r="AC60" i="23"/>
  <c r="AE54" i="23"/>
  <c r="AD56" i="23"/>
  <c r="AD58" i="23" s="1"/>
  <c r="AF54" i="22"/>
  <c r="AE56" i="22"/>
  <c r="AE58" i="22" s="1"/>
  <c r="AE60" i="22" s="1"/>
  <c r="AC54" i="18"/>
  <c r="AB56" i="18"/>
  <c r="AB58" i="18" s="1"/>
  <c r="AB60" i="18" s="1"/>
  <c r="AB56" i="11"/>
  <c r="AB58" i="11" s="1"/>
  <c r="AB60" i="11" s="1"/>
  <c r="AC54" i="11"/>
  <c r="AB54" i="6"/>
  <c r="AA56" i="6"/>
  <c r="AA58" i="6" s="1"/>
  <c r="AF54" i="12" l="1"/>
  <c r="AE56" i="12"/>
  <c r="AE58" i="12" s="1"/>
  <c r="AE60" i="12" s="1"/>
  <c r="Z56" i="14"/>
  <c r="Z58" i="14" s="1"/>
  <c r="Z60" i="14" s="1"/>
  <c r="AA54" i="14"/>
  <c r="Z56" i="25"/>
  <c r="Z58" i="25" s="1"/>
  <c r="Z60" i="25" s="1"/>
  <c r="AA54" i="25"/>
  <c r="AA54" i="13"/>
  <c r="Z56" i="13"/>
  <c r="Z58" i="13" s="1"/>
  <c r="Z60" i="13" s="1"/>
  <c r="AA54" i="16"/>
  <c r="Z56" i="16"/>
  <c r="Z58" i="16" s="1"/>
  <c r="Z60" i="16" s="1"/>
  <c r="Z56" i="19"/>
  <c r="Z58" i="19" s="1"/>
  <c r="Z60" i="19" s="1"/>
  <c r="AA54" i="19"/>
  <c r="AA54" i="17"/>
  <c r="Z56" i="17"/>
  <c r="Z58" i="17" s="1"/>
  <c r="Z60" i="17" s="1"/>
  <c r="AA54" i="20"/>
  <c r="Z56" i="20"/>
  <c r="Z58" i="20" s="1"/>
  <c r="Z60" i="20" s="1"/>
  <c r="Z56" i="10"/>
  <c r="Z58" i="10" s="1"/>
  <c r="Z60" i="10" s="1"/>
  <c r="AA54" i="10"/>
  <c r="Z56" i="21"/>
  <c r="Z58" i="21" s="1"/>
  <c r="Z60" i="21" s="1"/>
  <c r="AA54" i="21"/>
  <c r="AA60" i="6"/>
  <c r="AD60" i="23"/>
  <c r="AF54" i="23"/>
  <c r="AE56" i="23"/>
  <c r="AE58" i="23" s="1"/>
  <c r="AG54" i="22"/>
  <c r="AG56" i="22" s="1"/>
  <c r="AG58" i="22" s="1"/>
  <c r="AF56" i="22"/>
  <c r="AF58" i="22" s="1"/>
  <c r="AF60" i="22" s="1"/>
  <c r="AD54" i="18"/>
  <c r="AC56" i="18"/>
  <c r="AC58" i="18" s="1"/>
  <c r="AC60" i="18" s="1"/>
  <c r="AD54" i="11"/>
  <c r="AC56" i="11"/>
  <c r="AC58" i="11" s="1"/>
  <c r="AC60" i="11" s="1"/>
  <c r="AC54" i="6"/>
  <c r="AB56" i="6"/>
  <c r="AB58" i="6" s="1"/>
  <c r="AF56" i="12" l="1"/>
  <c r="AF58" i="12" s="1"/>
  <c r="AF60" i="12" s="1"/>
  <c r="AG54" i="12"/>
  <c r="AG56" i="12" s="1"/>
  <c r="AG58" i="12" s="1"/>
  <c r="AB54" i="13"/>
  <c r="AA56" i="13"/>
  <c r="AA58" i="13" s="1"/>
  <c r="AA60" i="13" s="1"/>
  <c r="AB54" i="25"/>
  <c r="AA56" i="25"/>
  <c r="AA58" i="25" s="1"/>
  <c r="AA60" i="25" s="1"/>
  <c r="AA56" i="14"/>
  <c r="AA58" i="14" s="1"/>
  <c r="AA60" i="14" s="1"/>
  <c r="AB54" i="14"/>
  <c r="AG60" i="22"/>
  <c r="AB54" i="20"/>
  <c r="AA56" i="20"/>
  <c r="AA58" i="20" s="1"/>
  <c r="AA60" i="20" s="1"/>
  <c r="AB54" i="10"/>
  <c r="AA56" i="10"/>
  <c r="AA58" i="10" s="1"/>
  <c r="AA60" i="10" s="1"/>
  <c r="AA56" i="17"/>
  <c r="AA58" i="17" s="1"/>
  <c r="AA60" i="17" s="1"/>
  <c r="AB54" i="17"/>
  <c r="AA56" i="19"/>
  <c r="AA58" i="19" s="1"/>
  <c r="AA60" i="19" s="1"/>
  <c r="AB54" i="19"/>
  <c r="AA56" i="21"/>
  <c r="AA58" i="21" s="1"/>
  <c r="AA60" i="21" s="1"/>
  <c r="AB54" i="21"/>
  <c r="AB54" i="16"/>
  <c r="AA56" i="16"/>
  <c r="AA58" i="16" s="1"/>
  <c r="AA60" i="16" s="1"/>
  <c r="AB60" i="6"/>
  <c r="AE60" i="23"/>
  <c r="AG54" i="23"/>
  <c r="AG56" i="23" s="1"/>
  <c r="AG58" i="23" s="1"/>
  <c r="AF56" i="23"/>
  <c r="AF58" i="23" s="1"/>
  <c r="AE54" i="18"/>
  <c r="AD56" i="18"/>
  <c r="AD58" i="18" s="1"/>
  <c r="AD60" i="18" s="1"/>
  <c r="AD56" i="11"/>
  <c r="AD58" i="11" s="1"/>
  <c r="AD60" i="11" s="1"/>
  <c r="AE54" i="11"/>
  <c r="AD54" i="6"/>
  <c r="AC56" i="6"/>
  <c r="AC58" i="6" s="1"/>
  <c r="AG60" i="12" l="1"/>
  <c r="AB56" i="14"/>
  <c r="AB58" i="14" s="1"/>
  <c r="AB60" i="14" s="1"/>
  <c r="AC54" i="14"/>
  <c r="AC54" i="25"/>
  <c r="AB56" i="25"/>
  <c r="AB58" i="25" s="1"/>
  <c r="AB60" i="25" s="1"/>
  <c r="AC54" i="13"/>
  <c r="AB56" i="13"/>
  <c r="AB58" i="13" s="1"/>
  <c r="AB60" i="13" s="1"/>
  <c r="AB56" i="16"/>
  <c r="AB58" i="16" s="1"/>
  <c r="AB60" i="16" s="1"/>
  <c r="AC54" i="16"/>
  <c r="AB56" i="17"/>
  <c r="AB58" i="17" s="1"/>
  <c r="AB60" i="17" s="1"/>
  <c r="AC54" i="17"/>
  <c r="AB56" i="21"/>
  <c r="AB58" i="21" s="1"/>
  <c r="AB60" i="21" s="1"/>
  <c r="AC54" i="21"/>
  <c r="AB56" i="19"/>
  <c r="AB58" i="19" s="1"/>
  <c r="AB60" i="19" s="1"/>
  <c r="AC54" i="19"/>
  <c r="AC54" i="10"/>
  <c r="AB56" i="10"/>
  <c r="AB58" i="10" s="1"/>
  <c r="AB60" i="10" s="1"/>
  <c r="AC54" i="20"/>
  <c r="AB56" i="20"/>
  <c r="AB58" i="20" s="1"/>
  <c r="AB60" i="20" s="1"/>
  <c r="AC60" i="6"/>
  <c r="AF60" i="23"/>
  <c r="AG60" i="23" s="1"/>
  <c r="AF54" i="18"/>
  <c r="AE56" i="18"/>
  <c r="AE58" i="18" s="1"/>
  <c r="AE60" i="18" s="1"/>
  <c r="AF54" i="11"/>
  <c r="AE56" i="11"/>
  <c r="AE58" i="11" s="1"/>
  <c r="AE60" i="11" s="1"/>
  <c r="AE54" i="6"/>
  <c r="AD56" i="6"/>
  <c r="AD58" i="6" s="1"/>
  <c r="AD54" i="13" l="1"/>
  <c r="AC56" i="13"/>
  <c r="AC58" i="13" s="1"/>
  <c r="AC60" i="13" s="1"/>
  <c r="AD54" i="25"/>
  <c r="AC56" i="25"/>
  <c r="AC58" i="25" s="1"/>
  <c r="AC60" i="25" s="1"/>
  <c r="AD54" i="14"/>
  <c r="AC56" i="14"/>
  <c r="AC58" i="14" s="1"/>
  <c r="AC60" i="14" s="1"/>
  <c r="AD54" i="10"/>
  <c r="AC56" i="10"/>
  <c r="AC58" i="10" s="1"/>
  <c r="AC60" i="10" s="1"/>
  <c r="AD54" i="19"/>
  <c r="AC56" i="19"/>
  <c r="AC58" i="19" s="1"/>
  <c r="AC60" i="19" s="1"/>
  <c r="AC56" i="20"/>
  <c r="AC58" i="20" s="1"/>
  <c r="AC60" i="20" s="1"/>
  <c r="AD54" i="20"/>
  <c r="AD54" i="21"/>
  <c r="AC56" i="21"/>
  <c r="AC58" i="21" s="1"/>
  <c r="AC60" i="21" s="1"/>
  <c r="AD54" i="17"/>
  <c r="AC56" i="17"/>
  <c r="AC58" i="17" s="1"/>
  <c r="AC60" i="17" s="1"/>
  <c r="AC56" i="16"/>
  <c r="AC58" i="16" s="1"/>
  <c r="AC60" i="16" s="1"/>
  <c r="AD54" i="16"/>
  <c r="AD60" i="6"/>
  <c r="AG54" i="18"/>
  <c r="AG56" i="18" s="1"/>
  <c r="AG58" i="18" s="1"/>
  <c r="AF56" i="18"/>
  <c r="AF58" i="18" s="1"/>
  <c r="AF60" i="18" s="1"/>
  <c r="AG54" i="11"/>
  <c r="AG56" i="11" s="1"/>
  <c r="AG58" i="11" s="1"/>
  <c r="AF56" i="11"/>
  <c r="AF58" i="11" s="1"/>
  <c r="AF60" i="11" s="1"/>
  <c r="AF54" i="6"/>
  <c r="AE56" i="6"/>
  <c r="AE58" i="6" s="1"/>
  <c r="AD56" i="14" l="1"/>
  <c r="AD58" i="14" s="1"/>
  <c r="AD60" i="14" s="1"/>
  <c r="AE54" i="14"/>
  <c r="AE54" i="25"/>
  <c r="AD56" i="25"/>
  <c r="AD58" i="25" s="1"/>
  <c r="AD60" i="25" s="1"/>
  <c r="AD56" i="13"/>
  <c r="AD58" i="13" s="1"/>
  <c r="AD60" i="13" s="1"/>
  <c r="AE54" i="13"/>
  <c r="AE54" i="16"/>
  <c r="AD56" i="16"/>
  <c r="AD58" i="16" s="1"/>
  <c r="AD60" i="16" s="1"/>
  <c r="AE54" i="17"/>
  <c r="AD56" i="17"/>
  <c r="AD58" i="17" s="1"/>
  <c r="AD60" i="17" s="1"/>
  <c r="AD56" i="20"/>
  <c r="AD58" i="20" s="1"/>
  <c r="AD60" i="20" s="1"/>
  <c r="AE54" i="20"/>
  <c r="AD56" i="19"/>
  <c r="AD58" i="19" s="1"/>
  <c r="AD60" i="19" s="1"/>
  <c r="AE54" i="19"/>
  <c r="AE54" i="21"/>
  <c r="AD56" i="21"/>
  <c r="AD58" i="21" s="1"/>
  <c r="AD60" i="21" s="1"/>
  <c r="AE54" i="10"/>
  <c r="AD56" i="10"/>
  <c r="AD58" i="10" s="1"/>
  <c r="AD60" i="10" s="1"/>
  <c r="AG60" i="11"/>
  <c r="AE60" i="6"/>
  <c r="AG60" i="18"/>
  <c r="AG54" i="6"/>
  <c r="AG56" i="6" s="1"/>
  <c r="AG58" i="6" s="1"/>
  <c r="AF56" i="6"/>
  <c r="AF58" i="6" s="1"/>
  <c r="AE56" i="25" l="1"/>
  <c r="AE58" i="25" s="1"/>
  <c r="AE60" i="25" s="1"/>
  <c r="AF54" i="25"/>
  <c r="AF54" i="14"/>
  <c r="AE56" i="14"/>
  <c r="AE58" i="14" s="1"/>
  <c r="AE60" i="14" s="1"/>
  <c r="AF54" i="13"/>
  <c r="AE56" i="13"/>
  <c r="AE58" i="13" s="1"/>
  <c r="AE60" i="13" s="1"/>
  <c r="AF54" i="21"/>
  <c r="AE56" i="21"/>
  <c r="AE58" i="21" s="1"/>
  <c r="AE60" i="21" s="1"/>
  <c r="AE56" i="10"/>
  <c r="AE58" i="10" s="1"/>
  <c r="AE60" i="10" s="1"/>
  <c r="AF54" i="10"/>
  <c r="AF54" i="19"/>
  <c r="AE56" i="19"/>
  <c r="AE58" i="19" s="1"/>
  <c r="AE60" i="19" s="1"/>
  <c r="AE56" i="20"/>
  <c r="AE58" i="20" s="1"/>
  <c r="AE60" i="20" s="1"/>
  <c r="AF54" i="20"/>
  <c r="AF54" i="17"/>
  <c r="AE56" i="17"/>
  <c r="AE58" i="17" s="1"/>
  <c r="AE60" i="17" s="1"/>
  <c r="AF54" i="16"/>
  <c r="AE56" i="16"/>
  <c r="AE58" i="16" s="1"/>
  <c r="AE60" i="16" s="1"/>
  <c r="AF60" i="6"/>
  <c r="AG60" i="6" s="1"/>
  <c r="AG54" i="13" l="1"/>
  <c r="AG56" i="13" s="1"/>
  <c r="AG58" i="13" s="1"/>
  <c r="AF56" i="13"/>
  <c r="AF58" i="13" s="1"/>
  <c r="AF60" i="13" s="1"/>
  <c r="AF56" i="14"/>
  <c r="AF58" i="14" s="1"/>
  <c r="AF60" i="14" s="1"/>
  <c r="AG54" i="14"/>
  <c r="AG56" i="14" s="1"/>
  <c r="AG58" i="14" s="1"/>
  <c r="AG54" i="25"/>
  <c r="AG56" i="25" s="1"/>
  <c r="AG58" i="25" s="1"/>
  <c r="AF56" i="25"/>
  <c r="AF58" i="25" s="1"/>
  <c r="AF60" i="25" s="1"/>
  <c r="AG54" i="16"/>
  <c r="AG56" i="16" s="1"/>
  <c r="AG58" i="16" s="1"/>
  <c r="AF56" i="16"/>
  <c r="AF58" i="16" s="1"/>
  <c r="AF60" i="16" s="1"/>
  <c r="AG54" i="17"/>
  <c r="AG56" i="17" s="1"/>
  <c r="AG58" i="17" s="1"/>
  <c r="AF56" i="17"/>
  <c r="AF58" i="17" s="1"/>
  <c r="AF60" i="17" s="1"/>
  <c r="AG54" i="20"/>
  <c r="AG56" i="20" s="1"/>
  <c r="AG58" i="20" s="1"/>
  <c r="AF56" i="20"/>
  <c r="AF58" i="20" s="1"/>
  <c r="AF60" i="20" s="1"/>
  <c r="AG54" i="19"/>
  <c r="AG56" i="19" s="1"/>
  <c r="AG58" i="19" s="1"/>
  <c r="AF56" i="19"/>
  <c r="AF58" i="19" s="1"/>
  <c r="AF60" i="19" s="1"/>
  <c r="AG54" i="10"/>
  <c r="AG56" i="10" s="1"/>
  <c r="AG58" i="10" s="1"/>
  <c r="AF56" i="10"/>
  <c r="AF58" i="10" s="1"/>
  <c r="AF60" i="10" s="1"/>
  <c r="AF56" i="21"/>
  <c r="AF58" i="21" s="1"/>
  <c r="AF60" i="21" s="1"/>
  <c r="AG54" i="21"/>
  <c r="AG56" i="21" s="1"/>
  <c r="AG58" i="21" s="1"/>
  <c r="AG60" i="25" l="1"/>
  <c r="AG60" i="13"/>
  <c r="AG60" i="20"/>
  <c r="AG60" i="19"/>
  <c r="AG60" i="14"/>
  <c r="AG60" i="21"/>
  <c r="AG60" i="10"/>
  <c r="AG60" i="16"/>
  <c r="AG60" i="17"/>
</calcChain>
</file>

<file path=xl/sharedStrings.xml><?xml version="1.0" encoding="utf-8"?>
<sst xmlns="http://schemas.openxmlformats.org/spreadsheetml/2006/main" count="1824" uniqueCount="115">
  <si>
    <t>MES BASE ACTUALIZACIÓN</t>
  </si>
  <si>
    <t>MONTO DE OBRA INICIAL</t>
  </si>
  <si>
    <t>ANTICIPO</t>
  </si>
  <si>
    <t>ITEM</t>
  </si>
  <si>
    <t>DESCRIPCIÓN</t>
  </si>
  <si>
    <t>% ITEM</t>
  </si>
  <si>
    <t>FINALIZADO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</si>
  <si>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</si>
  <si>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</si>
  <si>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</si>
  <si>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</si>
  <si>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</si>
  <si>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</si>
  <si>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</si>
  <si>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</si>
  <si>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</si>
  <si>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</si>
  <si>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</si>
  <si>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</si>
  <si>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</si>
  <si>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</si>
  <si>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</si>
  <si>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</si>
  <si>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</si>
  <si>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</si>
  <si>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</si>
  <si>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</si>
  <si>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</si>
  <si>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</si>
  <si>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</si>
  <si>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</si>
  <si>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CALEFACCIÓN</t>
  </si>
  <si>
    <t>TOTAL OBRA</t>
  </si>
  <si>
    <t>AJUSTE</t>
  </si>
  <si>
    <t>MONTO DE OBRA ACTUALIZADO</t>
  </si>
  <si>
    <t>MONTO CERTIFICADO</t>
  </si>
  <si>
    <t>MONTO A PAGAR (con descuento por adelanto)</t>
  </si>
  <si>
    <t>SALDO DE OBRA ACTUALIZADO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</si>
  <si>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</si>
  <si>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</si>
  <si>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</si>
  <si>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</si>
  <si>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</si>
  <si>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</si>
  <si>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</si>
  <si>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</si>
  <si>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</si>
  <si>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</si>
  <si>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</si>
  <si>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</si>
  <si>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MONTO TOTAL</t>
  </si>
  <si>
    <t>COLOCACIÓN</t>
  </si>
  <si>
    <t>AGUA</t>
  </si>
  <si>
    <t>2/4 ambs</t>
  </si>
  <si>
    <t>AGUA - 2 Ambientes</t>
  </si>
  <si>
    <t>Acceso duplex</t>
  </si>
  <si>
    <t>CLOACA - 2 Ambiente</t>
  </si>
  <si>
    <t>Estar</t>
  </si>
  <si>
    <t>AGUA - 4 Ambientes</t>
  </si>
  <si>
    <t>Baño dormi 1</t>
  </si>
  <si>
    <t>CLOACA - 4 Ambiente</t>
  </si>
  <si>
    <t>Baño dormi 2</t>
  </si>
  <si>
    <t>AGUA - Acceso y estar Duplex</t>
  </si>
  <si>
    <t>CLOACA - Acceso y estar Duplex</t>
  </si>
  <si>
    <t>CLOACALES</t>
  </si>
  <si>
    <t>AGUA - Dormitorios</t>
  </si>
  <si>
    <t>CLOACA - Dormitorios</t>
  </si>
  <si>
    <t>Gas</t>
  </si>
  <si>
    <t>radiadores</t>
  </si>
  <si>
    <t>Dormi 1</t>
  </si>
  <si>
    <t>Exteriores - caños en zanjeo ya hecho</t>
  </si>
  <si>
    <t>Dormi 2</t>
  </si>
  <si>
    <t>Exteriores - pozos</t>
  </si>
  <si>
    <t>PLUVIALES</t>
  </si>
  <si>
    <t>GAS</t>
  </si>
  <si>
    <t>General</t>
  </si>
  <si>
    <t>ESPECIALES</t>
  </si>
  <si>
    <t>Bacha parrilla</t>
  </si>
  <si>
    <t>Canilla exterior</t>
  </si>
  <si>
    <t>Gabinetes de gas</t>
  </si>
  <si>
    <t>PLOMERIA INTERIOR</t>
  </si>
  <si>
    <t>PLOMERIA EXTERIOR</t>
  </si>
  <si>
    <t>INTERIOR TERMINADOS (12, 11, 10, 09, 08)</t>
  </si>
  <si>
    <t>INTERIOR X HACER (13, 07, 06, 05, 04, 03, 02, 01)</t>
  </si>
  <si>
    <t>/14</t>
  </si>
  <si>
    <t>/2</t>
  </si>
  <si>
    <t>SF - PLOMERÍA RODRIGO M12</t>
  </si>
  <si>
    <t>SF - PLOMERÍA RODRIGO M11</t>
  </si>
  <si>
    <t>SF - PLOMERÍA RODRIGO M10</t>
  </si>
  <si>
    <t>SF - PLOMERÍA RODRIGO M09</t>
  </si>
  <si>
    <t>SF - PLOMERÍA RODRIGO M08</t>
  </si>
  <si>
    <t>SF - PLOMERÍA RODRIGO M07</t>
  </si>
  <si>
    <t>SF - PLOMERÍA RODRIGO M06</t>
  </si>
  <si>
    <t>SF - PLOMERÍA RODRIGO M05</t>
  </si>
  <si>
    <t>SF - PLOMERÍA RODRIGO M13</t>
  </si>
  <si>
    <t>SF - PLOMERÍA RODRIGO M04</t>
  </si>
  <si>
    <t>SF - PLOMERÍA RODRIGO M03</t>
  </si>
  <si>
    <t>SF - PLOMERÍA RODRIGO M02</t>
  </si>
  <si>
    <t>SF - PLOMERÍA RODRIGO M01</t>
  </si>
  <si>
    <t>PRUEBAS</t>
  </si>
  <si>
    <t>Pagado total</t>
  </si>
  <si>
    <t>A pagar</t>
  </si>
  <si>
    <t>Adelanto</t>
  </si>
  <si>
    <t>De los cuales:</t>
  </si>
  <si>
    <t>Saldo</t>
  </si>
  <si>
    <t>SF - PLOMERIA TOTAL</t>
  </si>
  <si>
    <t>RESUMEN DE PAGOS</t>
  </si>
  <si>
    <t>Avance</t>
  </si>
  <si>
    <t>TOTAL COMPLEJO</t>
  </si>
  <si>
    <t>POR MÓDULO</t>
  </si>
  <si>
    <t>SF - PLOMERÍA RODRIGO TERMINADOS (12,11.10,9,8)</t>
  </si>
  <si>
    <t>SF - PLOMERÍA RODRIGO NUEVOS (13,7,6,5,4,3,2,1)</t>
  </si>
  <si>
    <t>SF - PAGOS TOTALES PLOMERÍA RODRIGO X QUINCENA</t>
  </si>
  <si>
    <t>RESTAN</t>
  </si>
  <si>
    <t>TOTAL CERTIFICADO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</si>
</sst>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  <numFmt numFmtId="165" formatCode="0.0%"/>
    <numFmt numFmtId="166" formatCode="_-&quot;$&quot;\ * #,##0_-;\-&quot;$&quot;\ * #,##0_-;_-&quot;$&quot;\ * &quot;-&quot;??_-;_-@"/>
    <numFmt numFmtId="167" formatCode="_-[$$-2C0A]\ * #,##0_-;\-[$$-2C0A]\ * #,##0_-;_-[$$-2C0A]\ * &quot;-&quot;??_-;_-@"/>
    <numFmt numFmtId="168" formatCode="_-[$$-2C0A]\ * #,##0.00_-;\-[$$-2C0A]\ * #,##0.00_-;_-[$$-2C0A]\ * &quot;-&quot;??_-;_-@"/>
    <numFmt numFmtId="169" formatCode="_-[$$-2C0A]\ * #,##0.000_-;\-[$$-2C0A]\ * #,##0.000_-;_-[$$-2C0A]\ * &quot;-&quot;??_-;_-@"/>
    <numFmt numFmtId="170" formatCode="_-[$$-2C0A]\ * #,##0.00_-;\-[$$-2C0A]\ * #,##0.00_-;_-[$$-2C0A]\ * &quot;-&quot;??_-;_-@_-"/>
  </numFmts>
  <fonts count="3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2"/>
      <color rgb="FFBFBFBF"/>
      <name val="Calibri"/>
      <family val="2"/>
    </font>
    <font>
      <b/>
      <sz val="11"/>
      <color rgb="FFBFBFBF"/>
      <name val="Calibri"/>
      <family val="2"/>
    </font>
    <font>
      <sz val="11"/>
      <color rgb="FF7F7F7F"/>
      <name val="Calibri"/>
      <family val="2"/>
    </font>
    <font>
      <b/>
      <sz val="14"/>
      <color rgb="FFBFBFBF"/>
      <name val="Calibri"/>
      <family val="2"/>
    </font>
    <font>
      <b/>
      <sz val="11"/>
      <color theme="0"/>
      <name val="Calibri"/>
      <family val="2"/>
    </font>
    <font>
      <b/>
      <sz val="12"/>
      <color theme="5"/>
      <name val="Calibri"/>
      <family val="2"/>
    </font>
    <font>
      <b/>
      <sz val="11"/>
      <color theme="5"/>
      <name val="Calibri"/>
      <family val="2"/>
    </font>
    <font>
      <sz val="11"/>
      <color rgb="FFBFBFBF"/>
      <name val="Calibri"/>
      <family val="2"/>
    </font>
    <font>
      <b/>
      <sz val="14"/>
      <color theme="9"/>
      <name val="Calibri"/>
      <family val="2"/>
    </font>
    <font>
      <b/>
      <sz val="14"/>
      <color rgb="FF00B050"/>
      <name val="Calibri"/>
      <family val="2"/>
    </font>
    <font>
      <b/>
      <sz val="11"/>
      <color rgb="FF00B050"/>
      <name val="Calibri"/>
      <family val="2"/>
    </font>
    <font>
      <b/>
      <sz val="11"/>
      <color rgb="FFC00000"/>
      <name val="Calibri"/>
      <family val="2"/>
    </font>
    <font>
      <b/>
      <sz val="11"/>
      <color theme="1"/>
      <name val="Aptos Narrow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2"/>
      <name val="Calibri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4"/>
      <color theme="0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53333"/>
        <bgColor rgb="FF353333"/>
      </patternFill>
    </fill>
    <fill>
      <patternFill patternType="solid">
        <fgColor rgb="FF353333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3" fillId="0" borderId="0" applyFont="0" applyFill="0" applyBorder="0" applyAlignment="0" applyProtection="0"/>
  </cellStyleXfs>
  <cellXfs count="144">
    <xf numFmtId="0" fontId="0" fillId="0" borderId="0" xfId="0"/>
    <xf numFmtId="0" fontId="2" fillId="2" borderId="1" xfId="0" applyFont="1" applyFill="1" applyBorder="1"/>
    <xf numFmtId="0" fontId="3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165" fontId="8" fillId="2" borderId="5" xfId="0" applyNumberFormat="1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2" fillId="0" borderId="0" xfId="0" applyFont="1"/>
    <xf numFmtId="165" fontId="3" fillId="0" borderId="0" xfId="0" applyNumberFormat="1" applyFont="1" applyAlignment="1">
      <alignment horizontal="right"/>
    </xf>
    <xf numFmtId="0" fontId="3" fillId="0" borderId="7" xfId="0" applyFont="1" applyBorder="1" applyAlignment="1">
      <alignment horizontal="center"/>
    </xf>
    <xf numFmtId="10" fontId="3" fillId="0" borderId="8" xfId="0" applyNumberFormat="1" applyFont="1" applyBorder="1"/>
    <xf numFmtId="10" fontId="3" fillId="0" borderId="0" xfId="0" applyNumberFormat="1" applyFont="1"/>
    <xf numFmtId="10" fontId="2" fillId="0" borderId="8" xfId="0" applyNumberFormat="1" applyFont="1" applyBorder="1"/>
    <xf numFmtId="10" fontId="2" fillId="0" borderId="0" xfId="0" applyNumberFormat="1" applyFont="1"/>
    <xf numFmtId="9" fontId="2" fillId="0" borderId="8" xfId="0" applyNumberFormat="1" applyFont="1" applyBorder="1"/>
    <xf numFmtId="9" fontId="2" fillId="0" borderId="7" xfId="0" applyNumberFormat="1" applyFont="1" applyBorder="1"/>
    <xf numFmtId="10" fontId="3" fillId="0" borderId="7" xfId="0" applyNumberFormat="1" applyFont="1" applyBorder="1"/>
    <xf numFmtId="10" fontId="2" fillId="0" borderId="7" xfId="0" applyNumberFormat="1" applyFont="1" applyBorder="1"/>
    <xf numFmtId="165" fontId="2" fillId="0" borderId="0" xfId="0" applyNumberFormat="1" applyFont="1" applyAlignment="1">
      <alignment horizontal="right"/>
    </xf>
    <xf numFmtId="10" fontId="9" fillId="0" borderId="0" xfId="0" applyNumberFormat="1" applyFont="1"/>
    <xf numFmtId="165" fontId="8" fillId="2" borderId="9" xfId="0" applyNumberFormat="1" applyFont="1" applyFill="1" applyBorder="1" applyAlignment="1">
      <alignment horizontal="center"/>
    </xf>
    <xf numFmtId="10" fontId="2" fillId="2" borderId="9" xfId="0" applyNumberFormat="1" applyFont="1" applyFill="1" applyBorder="1"/>
    <xf numFmtId="10" fontId="9" fillId="2" borderId="1" xfId="0" applyNumberFormat="1" applyFont="1" applyFill="1" applyBorder="1"/>
    <xf numFmtId="10" fontId="2" fillId="2" borderId="1" xfId="0" applyNumberFormat="1" applyFont="1" applyFill="1" applyBorder="1"/>
    <xf numFmtId="9" fontId="2" fillId="2" borderId="9" xfId="0" applyNumberFormat="1" applyFont="1" applyFill="1" applyBorder="1"/>
    <xf numFmtId="9" fontId="3" fillId="0" borderId="7" xfId="0" applyNumberFormat="1" applyFont="1" applyBorder="1"/>
    <xf numFmtId="165" fontId="2" fillId="0" borderId="0" xfId="0" applyNumberFormat="1" applyFont="1"/>
    <xf numFmtId="2" fontId="2" fillId="0" borderId="0" xfId="0" applyNumberFormat="1" applyFont="1"/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165" fontId="10" fillId="2" borderId="11" xfId="0" applyNumberFormat="1" applyFont="1" applyFill="1" applyBorder="1" applyAlignment="1">
      <alignment horizontal="center" vertical="center"/>
    </xf>
    <xf numFmtId="10" fontId="7" fillId="2" borderId="6" xfId="0" applyNumberFormat="1" applyFont="1" applyFill="1" applyBorder="1" applyAlignment="1">
      <alignment horizontal="center" vertical="center"/>
    </xf>
    <xf numFmtId="0" fontId="4" fillId="0" borderId="0" xfId="0" applyFont="1"/>
    <xf numFmtId="0" fontId="9" fillId="0" borderId="0" xfId="0" applyFont="1"/>
    <xf numFmtId="9" fontId="4" fillId="0" borderId="0" xfId="0" applyNumberFormat="1" applyFont="1"/>
    <xf numFmtId="10" fontId="11" fillId="2" borderId="1" xfId="0" applyNumberFormat="1" applyFont="1" applyFill="1" applyBorder="1"/>
    <xf numFmtId="166" fontId="13" fillId="2" borderId="1" xfId="0" applyNumberFormat="1" applyFont="1" applyFill="1" applyBorder="1"/>
    <xf numFmtId="166" fontId="4" fillId="2" borderId="1" xfId="0" applyNumberFormat="1" applyFont="1" applyFill="1" applyBorder="1"/>
    <xf numFmtId="167" fontId="16" fillId="2" borderId="11" xfId="0" applyNumberFormat="1" applyFont="1" applyFill="1" applyBorder="1"/>
    <xf numFmtId="167" fontId="16" fillId="2" borderId="6" xfId="0" applyNumberFormat="1" applyFont="1" applyFill="1" applyBorder="1"/>
    <xf numFmtId="167" fontId="2" fillId="0" borderId="0" xfId="0" applyNumberFormat="1" applyFont="1"/>
    <xf numFmtId="167" fontId="11" fillId="2" borderId="1" xfId="0" applyNumberFormat="1" applyFont="1" applyFill="1" applyBorder="1"/>
    <xf numFmtId="168" fontId="11" fillId="2" borderId="1" xfId="0" applyNumberFormat="1" applyFont="1" applyFill="1" applyBorder="1"/>
    <xf numFmtId="0" fontId="3" fillId="0" borderId="0" xfId="0" applyFont="1"/>
    <xf numFmtId="164" fontId="3" fillId="0" borderId="0" xfId="0" applyNumberFormat="1" applyFont="1"/>
    <xf numFmtId="164" fontId="2" fillId="0" borderId="0" xfId="0" applyNumberFormat="1" applyFont="1"/>
    <xf numFmtId="167" fontId="17" fillId="0" borderId="0" xfId="0" applyNumberFormat="1" applyFont="1"/>
    <xf numFmtId="167" fontId="3" fillId="0" borderId="0" xfId="0" applyNumberFormat="1" applyFont="1"/>
    <xf numFmtId="167" fontId="18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165" fontId="3" fillId="0" borderId="0" xfId="0" applyNumberFormat="1" applyFont="1" applyAlignment="1">
      <alignment horizontal="center"/>
    </xf>
    <xf numFmtId="166" fontId="7" fillId="2" borderId="1" xfId="0" applyNumberFormat="1" applyFont="1" applyFill="1" applyBorder="1" applyAlignment="1">
      <alignment horizontal="center"/>
    </xf>
    <xf numFmtId="0" fontId="19" fillId="0" borderId="16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0" fontId="19" fillId="0" borderId="0" xfId="0" applyFont="1" applyAlignment="1">
      <alignment vertical="center"/>
    </xf>
    <xf numFmtId="10" fontId="22" fillId="2" borderId="6" xfId="0" applyNumberFormat="1" applyFont="1" applyFill="1" applyBorder="1" applyAlignment="1">
      <alignment horizontal="center" vertical="center"/>
    </xf>
    <xf numFmtId="10" fontId="22" fillId="3" borderId="6" xfId="0" applyNumberFormat="1" applyFont="1" applyFill="1" applyBorder="1"/>
    <xf numFmtId="10" fontId="25" fillId="2" borderId="6" xfId="0" applyNumberFormat="1" applyFont="1" applyFill="1" applyBorder="1" applyAlignment="1">
      <alignment horizontal="center" vertical="center"/>
    </xf>
    <xf numFmtId="44" fontId="0" fillId="0" borderId="0" xfId="1" applyFont="1"/>
    <xf numFmtId="0" fontId="24" fillId="0" borderId="0" xfId="0" applyFont="1"/>
    <xf numFmtId="44" fontId="0" fillId="0" borderId="0" xfId="0" applyNumberFormat="1"/>
    <xf numFmtId="44" fontId="24" fillId="0" borderId="0" xfId="1" applyFont="1"/>
    <xf numFmtId="0" fontId="26" fillId="0" borderId="0" xfId="0" applyFont="1"/>
    <xf numFmtId="44" fontId="24" fillId="0" borderId="0" xfId="0" applyNumberFormat="1" applyFont="1"/>
    <xf numFmtId="0" fontId="26" fillId="4" borderId="0" xfId="0" applyFont="1" applyFill="1"/>
    <xf numFmtId="0" fontId="0" fillId="4" borderId="0" xfId="0" applyFill="1"/>
    <xf numFmtId="44" fontId="24" fillId="4" borderId="0" xfId="1" applyFont="1" applyFill="1" applyAlignment="1">
      <alignment horizontal="right"/>
    </xf>
    <xf numFmtId="0" fontId="24" fillId="4" borderId="0" xfId="0" applyFont="1" applyFill="1" applyAlignment="1">
      <alignment horizontal="right"/>
    </xf>
    <xf numFmtId="164" fontId="0" fillId="0" borderId="0" xfId="0" applyNumberFormat="1"/>
    <xf numFmtId="164" fontId="20" fillId="0" borderId="0" xfId="0" applyNumberFormat="1" applyFont="1"/>
    <xf numFmtId="170" fontId="24" fillId="0" borderId="0" xfId="0" applyNumberFormat="1" applyFont="1"/>
    <xf numFmtId="0" fontId="1" fillId="0" borderId="0" xfId="0" applyFont="1"/>
    <xf numFmtId="0" fontId="27" fillId="0" borderId="0" xfId="0" applyFont="1"/>
    <xf numFmtId="10" fontId="21" fillId="0" borderId="0" xfId="0" applyNumberFormat="1" applyFont="1"/>
    <xf numFmtId="10" fontId="21" fillId="0" borderId="7" xfId="0" applyNumberFormat="1" applyFont="1" applyBorder="1"/>
    <xf numFmtId="10" fontId="2" fillId="0" borderId="15" xfId="0" applyNumberFormat="1" applyFont="1" applyBorder="1"/>
    <xf numFmtId="10" fontId="2" fillId="0" borderId="19" xfId="0" applyNumberFormat="1" applyFont="1" applyBorder="1"/>
    <xf numFmtId="0" fontId="0" fillId="0" borderId="3" xfId="0" applyBorder="1"/>
    <xf numFmtId="0" fontId="0" fillId="0" borderId="20" xfId="0" applyBorder="1"/>
    <xf numFmtId="0" fontId="0" fillId="0" borderId="21" xfId="0" applyBorder="1"/>
    <xf numFmtId="10" fontId="2" fillId="0" borderId="21" xfId="0" applyNumberFormat="1" applyFont="1" applyBorder="1"/>
    <xf numFmtId="10" fontId="2" fillId="0" borderId="22" xfId="0" applyNumberFormat="1" applyFont="1" applyBorder="1"/>
    <xf numFmtId="10" fontId="2" fillId="0" borderId="3" xfId="0" applyNumberFormat="1" applyFont="1" applyBorder="1"/>
    <xf numFmtId="10" fontId="21" fillId="0" borderId="21" xfId="0" applyNumberFormat="1" applyFont="1" applyBorder="1"/>
    <xf numFmtId="10" fontId="28" fillId="0" borderId="20" xfId="0" applyNumberFormat="1" applyFont="1" applyBorder="1"/>
    <xf numFmtId="10" fontId="2" fillId="5" borderId="0" xfId="0" applyNumberFormat="1" applyFont="1" applyFill="1"/>
    <xf numFmtId="10" fontId="2" fillId="5" borderId="7" xfId="0" applyNumberFormat="1" applyFont="1" applyFill="1" applyBorder="1"/>
    <xf numFmtId="10" fontId="3" fillId="5" borderId="7" xfId="0" applyNumberFormat="1" applyFont="1" applyFill="1" applyBorder="1"/>
    <xf numFmtId="10" fontId="3" fillId="5" borderId="0" xfId="0" applyNumberFormat="1" applyFont="1" applyFill="1"/>
    <xf numFmtId="10" fontId="3" fillId="5" borderId="8" xfId="0" applyNumberFormat="1" applyFont="1" applyFill="1" applyBorder="1"/>
    <xf numFmtId="10" fontId="21" fillId="5" borderId="7" xfId="0" applyNumberFormat="1" applyFont="1" applyFill="1" applyBorder="1"/>
    <xf numFmtId="10" fontId="21" fillId="5" borderId="0" xfId="0" applyNumberFormat="1" applyFont="1" applyFill="1"/>
    <xf numFmtId="10" fontId="20" fillId="5" borderId="8" xfId="0" applyNumberFormat="1" applyFont="1" applyFill="1" applyBorder="1"/>
    <xf numFmtId="10" fontId="20" fillId="5" borderId="0" xfId="0" applyNumberFormat="1" applyFont="1" applyFill="1"/>
    <xf numFmtId="10" fontId="20" fillId="5" borderId="7" xfId="0" applyNumberFormat="1" applyFont="1" applyFill="1" applyBorder="1"/>
    <xf numFmtId="10" fontId="21" fillId="5" borderId="8" xfId="0" applyNumberFormat="1" applyFont="1" applyFill="1" applyBorder="1"/>
    <xf numFmtId="0" fontId="30" fillId="2" borderId="3" xfId="0" applyFont="1" applyFill="1" applyBorder="1" applyAlignment="1">
      <alignment horizontal="center" vertical="center"/>
    </xf>
    <xf numFmtId="10" fontId="3" fillId="0" borderId="7" xfId="0" applyNumberFormat="1" applyFont="1" applyBorder="1" applyAlignment="1">
      <alignment horizontal="center"/>
    </xf>
    <xf numFmtId="10" fontId="3" fillId="3" borderId="7" xfId="0" applyNumberFormat="1" applyFont="1" applyFill="1" applyBorder="1" applyAlignment="1">
      <alignment horizontal="center"/>
    </xf>
    <xf numFmtId="165" fontId="3" fillId="5" borderId="7" xfId="0" applyNumberFormat="1" applyFont="1" applyFill="1" applyBorder="1"/>
    <xf numFmtId="167" fontId="0" fillId="0" borderId="0" xfId="0" applyNumberFormat="1"/>
    <xf numFmtId="0" fontId="31" fillId="0" borderId="0" xfId="0" applyFont="1"/>
    <xf numFmtId="0" fontId="26" fillId="6" borderId="0" xfId="0" applyFont="1" applyFill="1"/>
    <xf numFmtId="0" fontId="0" fillId="6" borderId="0" xfId="0" applyFill="1"/>
    <xf numFmtId="44" fontId="0" fillId="6" borderId="0" xfId="1" applyFont="1" applyFill="1"/>
    <xf numFmtId="44" fontId="24" fillId="6" borderId="0" xfId="1" applyFont="1" applyFill="1"/>
    <xf numFmtId="44" fontId="32" fillId="0" borderId="23" xfId="0" applyNumberFormat="1" applyFont="1" applyBorder="1"/>
    <xf numFmtId="44" fontId="33" fillId="0" borderId="0" xfId="1" applyFont="1"/>
    <xf numFmtId="44" fontId="24" fillId="0" borderId="23" xfId="1" applyFont="1" applyBorder="1"/>
    <xf numFmtId="0" fontId="31" fillId="0" borderId="0" xfId="0" applyFont="1" applyAlignment="1">
      <alignment horizontal="right"/>
    </xf>
    <xf numFmtId="9" fontId="34" fillId="0" borderId="0" xfId="0" applyNumberFormat="1" applyFont="1"/>
    <xf numFmtId="0" fontId="26" fillId="0" borderId="3" xfId="0" applyFont="1" applyBorder="1" applyAlignment="1">
      <alignment horizontal="center" vertical="center" wrapText="1"/>
    </xf>
    <xf numFmtId="0" fontId="0" fillId="0" borderId="32" xfId="0" applyBorder="1"/>
    <xf numFmtId="0" fontId="0" fillId="0" borderId="31" xfId="0" applyBorder="1"/>
    <xf numFmtId="44" fontId="35" fillId="0" borderId="32" xfId="0" applyNumberFormat="1" applyFont="1" applyBorder="1"/>
    <xf numFmtId="0" fontId="4" fillId="2" borderId="2" xfId="0" applyFont="1" applyFill="1" applyBorder="1" applyAlignment="1">
      <alignment horizontal="center"/>
    </xf>
    <xf numFmtId="0" fontId="5" fillId="0" borderId="3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6" fillId="0" borderId="4" xfId="0" applyFont="1" applyBorder="1" applyAlignment="1">
      <alignment horizontal="center"/>
    </xf>
    <xf numFmtId="0" fontId="5" fillId="0" borderId="4" xfId="0" applyFont="1" applyBorder="1"/>
    <xf numFmtId="0" fontId="15" fillId="2" borderId="12" xfId="0" applyFont="1" applyFill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/>
    <xf numFmtId="0" fontId="8" fillId="2" borderId="12" xfId="0" applyFont="1" applyFill="1" applyBorder="1" applyAlignment="1">
      <alignment horizontal="center"/>
    </xf>
    <xf numFmtId="0" fontId="12" fillId="2" borderId="12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26" fillId="0" borderId="24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35" fillId="0" borderId="30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0" fillId="2" borderId="3" xfId="0" applyFont="1" applyFill="1" applyBorder="1" applyAlignment="1">
      <alignment horizontal="center" vertical="center"/>
    </xf>
    <xf numFmtId="44" fontId="24" fillId="0" borderId="32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3533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zoomScale="130" zoomScaleNormal="130" workbookViewId="0">
      <selection activeCell="A36" sqref="A36"/>
    </sheetView>
  </sheetViews>
  <sheetFormatPr baseColWidth="10" defaultRowHeight="15" x14ac:dyDescent="0.25"/>
  <cols>
    <col min="1" max="1" width="39.7109375" bestFit="1" customWidth="1"/>
    <col min="2" max="2" width="7.5703125" customWidth="1"/>
    <col min="3" max="3" width="18.140625" bestFit="1" customWidth="1"/>
    <col min="4" max="4" width="17.7109375" bestFit="1" customWidth="1"/>
    <col min="5" max="5" width="4" bestFit="1" customWidth="1"/>
    <col min="6" max="6" width="15.42578125" bestFit="1" customWidth="1"/>
    <col min="7" max="7" width="2.85546875" bestFit="1" customWidth="1"/>
    <col min="8" max="8" width="17.7109375" bestFit="1" customWidth="1"/>
    <col min="10" max="10" width="15.42578125" bestFit="1" customWidth="1"/>
  </cols>
  <sheetData>
    <row r="1" spans="1:10" ht="18.75" x14ac:dyDescent="0.3">
      <c r="A1" s="108" t="s">
        <v>105</v>
      </c>
      <c r="B1" s="109"/>
      <c r="C1" s="109"/>
      <c r="D1" s="111">
        <v>166000000</v>
      </c>
      <c r="E1" s="66"/>
    </row>
    <row r="2" spans="1:10" x14ac:dyDescent="0.25">
      <c r="A2" s="107" t="s">
        <v>102</v>
      </c>
      <c r="D2" s="113">
        <v>15000000</v>
      </c>
    </row>
    <row r="3" spans="1:10" x14ac:dyDescent="0.25">
      <c r="A3" s="107" t="s">
        <v>104</v>
      </c>
      <c r="D3" s="112">
        <f>D1-D2</f>
        <v>151000000</v>
      </c>
    </row>
    <row r="4" spans="1:10" x14ac:dyDescent="0.25">
      <c r="A4" s="65"/>
    </row>
    <row r="5" spans="1:10" x14ac:dyDescent="0.25">
      <c r="A5" s="107" t="s">
        <v>103</v>
      </c>
    </row>
    <row r="6" spans="1:10" ht="18.75" x14ac:dyDescent="0.3">
      <c r="A6" s="68" t="s">
        <v>80</v>
      </c>
      <c r="D6" s="69">
        <v>103500000</v>
      </c>
      <c r="E6" s="77" t="s">
        <v>84</v>
      </c>
      <c r="F6" s="66">
        <f>D6/14</f>
        <v>7392857.1428571427</v>
      </c>
      <c r="G6" s="78" t="s">
        <v>85</v>
      </c>
      <c r="H6" s="66">
        <f>F6/2</f>
        <v>3696428.5714285714</v>
      </c>
      <c r="I6" s="78"/>
      <c r="J6" s="66"/>
    </row>
    <row r="7" spans="1:10" ht="18.75" x14ac:dyDescent="0.3">
      <c r="A7" s="68" t="s">
        <v>81</v>
      </c>
      <c r="D7" s="67">
        <f>D1-D6</f>
        <v>62500000</v>
      </c>
      <c r="E7" s="69"/>
      <c r="G7" s="77"/>
      <c r="H7" s="66"/>
      <c r="I7" s="78"/>
      <c r="J7" s="66"/>
    </row>
    <row r="8" spans="1:10" x14ac:dyDescent="0.25">
      <c r="H8" s="66"/>
    </row>
    <row r="9" spans="1:10" ht="18.75" x14ac:dyDescent="0.3">
      <c r="A9" s="70"/>
      <c r="B9" s="71"/>
      <c r="C9" s="72" t="s">
        <v>108</v>
      </c>
      <c r="D9" s="73" t="s">
        <v>109</v>
      </c>
    </row>
    <row r="10" spans="1:10" x14ac:dyDescent="0.25">
      <c r="A10" s="115" t="s">
        <v>82</v>
      </c>
      <c r="B10" s="116">
        <v>0.3</v>
      </c>
      <c r="C10" s="66">
        <f>D6*0.3</f>
        <v>31050000</v>
      </c>
      <c r="D10" s="66">
        <f>C10/5</f>
        <v>6210000</v>
      </c>
    </row>
    <row r="11" spans="1:10" x14ac:dyDescent="0.25">
      <c r="A11" s="115" t="s">
        <v>83</v>
      </c>
      <c r="B11" s="116">
        <v>0.7</v>
      </c>
      <c r="C11" s="64">
        <f>D6*0.7</f>
        <v>72450000</v>
      </c>
      <c r="D11" s="66">
        <f>C11/8</f>
        <v>9056250</v>
      </c>
    </row>
    <row r="12" spans="1:10" x14ac:dyDescent="0.25">
      <c r="C12" s="64"/>
    </row>
    <row r="13" spans="1:10" ht="18.75" x14ac:dyDescent="0.3">
      <c r="A13" s="108" t="s">
        <v>106</v>
      </c>
      <c r="B13" s="109"/>
      <c r="C13" s="110"/>
      <c r="D13" s="109"/>
    </row>
    <row r="14" spans="1:10" x14ac:dyDescent="0.25">
      <c r="A14" s="65" t="s">
        <v>102</v>
      </c>
      <c r="D14" s="64">
        <f>D2</f>
        <v>15000000</v>
      </c>
    </row>
    <row r="15" spans="1:10" x14ac:dyDescent="0.25">
      <c r="A15" s="65" t="s">
        <v>107</v>
      </c>
      <c r="D15" s="64">
        <f>SUM('M12'!F58+'M12'!G58+'M12'!H58+'M11'!F58+'M11'!G58+'M11'!H58+'M10'!F58+'M10'!G58+'M10'!H58)</f>
        <v>6862050</v>
      </c>
    </row>
    <row r="16" spans="1:10" x14ac:dyDescent="0.25">
      <c r="A16" s="65" t="s">
        <v>100</v>
      </c>
      <c r="D16" s="64">
        <f>D14+D15</f>
        <v>21862050</v>
      </c>
    </row>
    <row r="17" spans="1:4" x14ac:dyDescent="0.25">
      <c r="A17" s="65" t="s">
        <v>101</v>
      </c>
      <c r="B17" s="65"/>
      <c r="D17" s="114">
        <f>(D6+D7)-D16</f>
        <v>144137950</v>
      </c>
    </row>
    <row r="18" spans="1:4" x14ac:dyDescent="0.25">
      <c r="C18" s="64"/>
    </row>
    <row r="19" spans="1:4" x14ac:dyDescent="0.25">
      <c r="C19" s="64"/>
    </row>
    <row r="20" spans="1:4" x14ac:dyDescent="0.25">
      <c r="C20" s="64"/>
    </row>
    <row r="21" spans="1:4" ht="15" customHeight="1" x14ac:dyDescent="0.25">
      <c r="C21" s="64"/>
    </row>
    <row r="22" spans="1:4" ht="15.75" customHeight="1" x14ac:dyDescent="0.25">
      <c r="C22" s="64"/>
    </row>
    <row r="23" spans="1:4" x14ac:dyDescent="0.25">
      <c r="C23" s="64"/>
    </row>
    <row r="24" spans="1:4" x14ac:dyDescent="0.25">
      <c r="C24" s="64"/>
    </row>
    <row r="25" spans="1:4" x14ac:dyDescent="0.25">
      <c r="C25" s="64"/>
    </row>
    <row r="26" spans="1:4" x14ac:dyDescent="0.25">
      <c r="C26" s="64"/>
    </row>
    <row r="27" spans="1:4" x14ac:dyDescent="0.25">
      <c r="C27" s="64"/>
    </row>
    <row r="28" spans="1:4" x14ac:dyDescent="0.25">
      <c r="C28" s="64"/>
    </row>
    <row r="29" spans="1:4" x14ac:dyDescent="0.25">
      <c r="C29" s="64"/>
    </row>
    <row r="30" spans="1:4" x14ac:dyDescent="0.25">
      <c r="C30" s="64"/>
    </row>
    <row r="31" spans="1:4" x14ac:dyDescent="0.25">
      <c r="C31" s="64"/>
    </row>
    <row r="32" spans="1:4" x14ac:dyDescent="0.25">
      <c r="C32" s="64"/>
    </row>
    <row r="33" spans="3:3" x14ac:dyDescent="0.25">
      <c r="C33" s="6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N14"/>
  <sheetViews>
    <sheetView workbookViewId="0">
      <selection activeCell="D18" sqref="D18"/>
    </sheetView>
  </sheetViews>
  <sheetFormatPr baseColWidth="10" defaultRowHeight="15" x14ac:dyDescent="0.25"/>
  <cols>
    <col min="1" max="1" width="14.5703125" bestFit="1" customWidth="1"/>
    <col min="2" max="2" width="14.5703125" customWidth="1"/>
    <col min="3" max="3" width="16.28515625" bestFit="1" customWidth="1"/>
    <col min="4" max="12" width="14.5703125" customWidth="1"/>
    <col min="13" max="13" width="16.7109375" bestFit="1" customWidth="1"/>
    <col min="14" max="14" width="14.5703125" customWidth="1"/>
  </cols>
  <sheetData>
    <row r="1" spans="1:14" x14ac:dyDescent="0.25">
      <c r="A1" s="133" t="s">
        <v>112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5"/>
    </row>
    <row r="2" spans="1:14" ht="15.75" thickBot="1" x14ac:dyDescent="0.3">
      <c r="A2" s="136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8"/>
    </row>
    <row r="3" spans="1:14" ht="18.75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</row>
    <row r="4" spans="1:14" x14ac:dyDescent="0.25">
      <c r="A4" s="139" t="s">
        <v>39</v>
      </c>
      <c r="B4" s="122"/>
      <c r="C4" s="139" t="s">
        <v>40</v>
      </c>
      <c r="D4" s="122"/>
      <c r="E4" s="139" t="s">
        <v>41</v>
      </c>
      <c r="F4" s="122"/>
      <c r="G4" s="139" t="s">
        <v>42</v>
      </c>
      <c r="H4" s="122"/>
      <c r="I4" s="139" t="s">
        <v>43</v>
      </c>
      <c r="J4" s="122"/>
      <c r="K4" s="139" t="s">
        <v>44</v>
      </c>
      <c r="L4" s="122"/>
      <c r="M4" s="139" t="s">
        <v>45</v>
      </c>
      <c r="N4" s="122"/>
    </row>
    <row r="5" spans="1:14" ht="16.5" thickBot="1" x14ac:dyDescent="0.3">
      <c r="A5" s="125" t="s">
        <v>7</v>
      </c>
      <c r="B5" s="126"/>
      <c r="C5" s="125" t="s">
        <v>8</v>
      </c>
      <c r="D5" s="126"/>
      <c r="E5" s="125" t="s">
        <v>9</v>
      </c>
      <c r="F5" s="126"/>
      <c r="G5" s="125" t="s">
        <v>10</v>
      </c>
      <c r="H5" s="126"/>
      <c r="I5" s="125" t="s">
        <v>11</v>
      </c>
      <c r="J5" s="126"/>
      <c r="K5" s="125" t="s">
        <v>12</v>
      </c>
      <c r="L5" s="126"/>
      <c r="M5" s="125" t="s">
        <v>13</v>
      </c>
      <c r="N5" s="126"/>
    </row>
    <row r="6" spans="1:14" ht="16.5" thickBot="1" x14ac:dyDescent="0.3">
      <c r="A6" s="10" t="s">
        <v>21</v>
      </c>
      <c r="B6" s="10" t="s">
        <v>22</v>
      </c>
      <c r="C6" s="10" t="s">
        <v>21</v>
      </c>
      <c r="D6" s="10" t="s">
        <v>22</v>
      </c>
      <c r="E6" s="10" t="s">
        <v>21</v>
      </c>
      <c r="F6" s="10" t="s">
        <v>22</v>
      </c>
      <c r="G6" s="10" t="s">
        <v>21</v>
      </c>
      <c r="H6" s="10" t="s">
        <v>22</v>
      </c>
      <c r="I6" s="10" t="s">
        <v>21</v>
      </c>
      <c r="J6" s="10" t="s">
        <v>22</v>
      </c>
      <c r="K6" s="10" t="s">
        <v>21</v>
      </c>
      <c r="L6" s="10" t="s">
        <v>22</v>
      </c>
      <c r="M6" s="10" t="s">
        <v>21</v>
      </c>
      <c r="N6" s="10" t="s">
        <v>22</v>
      </c>
    </row>
    <row r="7" spans="1:14" x14ac:dyDescent="0.25">
      <c r="A7" s="64"/>
      <c r="B7" s="64">
        <f>SUM('M12'!G58+'M11'!G58+'M10'!G58+'M09'!G58)</f>
        <v>6210000</v>
      </c>
      <c r="C7" s="64">
        <f>SUM('M12'!H58+'M11'!H58+'M10'!H58+'M09'!H58)</f>
        <v>652050</v>
      </c>
      <c r="D7" s="64">
        <f>SUM('M12'!I58+'M11'!I58+'M10'!I58+'M09'!I58)</f>
        <v>589950</v>
      </c>
      <c r="E7" s="64">
        <f>SUM('M12'!J58+'M11'!J58+'M10'!J58+'M09'!J58)</f>
        <v>0</v>
      </c>
      <c r="F7" s="64">
        <f>SUM('M12'!K58+'M11'!K58+'M10'!K58+'M09'!K58)</f>
        <v>0</v>
      </c>
      <c r="G7" s="64"/>
      <c r="H7" s="64"/>
      <c r="I7" s="64"/>
      <c r="J7" s="64"/>
      <c r="K7" s="64"/>
      <c r="L7" s="64"/>
      <c r="M7" s="64"/>
      <c r="N7" s="64"/>
    </row>
    <row r="9" spans="1:14" x14ac:dyDescent="0.25">
      <c r="A9" s="139" t="s">
        <v>46</v>
      </c>
      <c r="B9" s="122"/>
      <c r="C9" s="139" t="s">
        <v>47</v>
      </c>
      <c r="D9" s="122"/>
      <c r="E9" s="139" t="s">
        <v>48</v>
      </c>
      <c r="F9" s="122"/>
      <c r="G9" s="139" t="s">
        <v>49</v>
      </c>
      <c r="H9" s="122"/>
      <c r="I9" s="139" t="s">
        <v>38</v>
      </c>
      <c r="J9" s="122"/>
      <c r="K9" s="139" t="s">
        <v>39</v>
      </c>
      <c r="L9" s="122"/>
      <c r="M9" s="139" t="s">
        <v>40</v>
      </c>
      <c r="N9" s="122"/>
    </row>
    <row r="10" spans="1:14" ht="16.5" thickBot="1" x14ac:dyDescent="0.3">
      <c r="A10" s="125" t="s">
        <v>14</v>
      </c>
      <c r="B10" s="126"/>
      <c r="C10" s="125" t="s">
        <v>15</v>
      </c>
      <c r="D10" s="126"/>
      <c r="E10" s="125" t="s">
        <v>16</v>
      </c>
      <c r="F10" s="126"/>
      <c r="G10" s="125" t="s">
        <v>17</v>
      </c>
      <c r="H10" s="126"/>
      <c r="I10" s="125" t="s">
        <v>18</v>
      </c>
      <c r="J10" s="126"/>
      <c r="K10" s="125" t="s">
        <v>19</v>
      </c>
      <c r="L10" s="126"/>
      <c r="M10" s="125" t="s">
        <v>20</v>
      </c>
      <c r="N10" s="126"/>
    </row>
    <row r="11" spans="1:14" ht="16.5" thickBot="1" x14ac:dyDescent="0.3">
      <c r="A11" s="10" t="s">
        <v>21</v>
      </c>
      <c r="B11" s="10" t="s">
        <v>22</v>
      </c>
      <c r="C11" s="10" t="s">
        <v>21</v>
      </c>
      <c r="D11" s="10" t="s">
        <v>22</v>
      </c>
      <c r="E11" s="10" t="s">
        <v>21</v>
      </c>
      <c r="F11" s="10" t="s">
        <v>22</v>
      </c>
      <c r="G11" s="10" t="s">
        <v>23</v>
      </c>
      <c r="H11" s="10" t="s">
        <v>24</v>
      </c>
      <c r="I11" s="10" t="s">
        <v>25</v>
      </c>
      <c r="J11" s="10" t="s">
        <v>26</v>
      </c>
      <c r="K11" s="10" t="s">
        <v>27</v>
      </c>
      <c r="L11" s="10" t="s">
        <v>28</v>
      </c>
      <c r="M11" s="10" t="s">
        <v>29</v>
      </c>
      <c r="N11" s="10" t="s">
        <v>30</v>
      </c>
    </row>
    <row r="12" spans="1:14" x14ac:dyDescent="0.2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</row>
    <row r="13" spans="1:14" ht="15.75" thickBot="1" x14ac:dyDescent="0.3"/>
    <row r="14" spans="1:14" ht="16.5" thickBot="1" x14ac:dyDescent="0.3">
      <c r="A14" s="140" t="s">
        <v>114</v>
      </c>
      <c r="B14" s="141"/>
      <c r="C14" s="120">
        <f>SUM(A7:N7,A12:N12)</f>
        <v>7452000</v>
      </c>
      <c r="D14" s="118"/>
      <c r="E14" s="118"/>
      <c r="F14" s="118"/>
      <c r="G14" s="118"/>
      <c r="H14" s="118"/>
      <c r="I14" s="118"/>
      <c r="J14" s="118"/>
      <c r="K14" s="141" t="s">
        <v>113</v>
      </c>
      <c r="L14" s="141"/>
      <c r="M14" s="143">
        <f>('M12'!C3+'M11'!C3+'M10'!C3+'M09'!C3+'M08'!C3+'M07'!C3+'M06'!C3+'M05'!C3+'M13'!C3+'M04'!C3+'M03'!C3+'M02'!C3+'M01'!C3)-C14</f>
        <v>96048000</v>
      </c>
      <c r="N14" s="119"/>
    </row>
  </sheetData>
  <mergeCells count="31">
    <mergeCell ref="M10:N10"/>
    <mergeCell ref="A14:B14"/>
    <mergeCell ref="A10:B10"/>
    <mergeCell ref="C10:D10"/>
    <mergeCell ref="E10:F10"/>
    <mergeCell ref="G10:H10"/>
    <mergeCell ref="I10:J10"/>
    <mergeCell ref="K10:L10"/>
    <mergeCell ref="K14:L14"/>
    <mergeCell ref="M5:N5"/>
    <mergeCell ref="A9:B9"/>
    <mergeCell ref="C9:D9"/>
    <mergeCell ref="E9:F9"/>
    <mergeCell ref="G9:H9"/>
    <mergeCell ref="I9:J9"/>
    <mergeCell ref="K9:L9"/>
    <mergeCell ref="M9:N9"/>
    <mergeCell ref="A5:B5"/>
    <mergeCell ref="C5:D5"/>
    <mergeCell ref="E5:F5"/>
    <mergeCell ref="G5:H5"/>
    <mergeCell ref="I5:J5"/>
    <mergeCell ref="K5:L5"/>
    <mergeCell ref="A1:N2"/>
    <mergeCell ref="A4:B4"/>
    <mergeCell ref="C4:D4"/>
    <mergeCell ref="E4:F4"/>
    <mergeCell ref="G4:H4"/>
    <mergeCell ref="I4:J4"/>
    <mergeCell ref="K4:L4"/>
    <mergeCell ref="M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XFD1002"/>
  <sheetViews>
    <sheetView tabSelected="1" topLeftCell="A20" zoomScale="85" zoomScaleNormal="85" workbookViewId="0">
      <pane xSplit="3" topLeftCell="D1" activePane="topRight" state="frozen"/>
      <selection pane="topRight" activeCell="H59" sqref="H59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6" width="10.7109375" customWidth="1"/>
  </cols>
  <sheetData>
    <row r="1" spans="1:36" ht="30" customHeight="1" x14ac:dyDescent="0.25">
      <c r="A1" s="142" t="s">
        <v>110</v>
      </c>
      <c r="B1" s="142"/>
      <c r="C1" s="1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6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6" x14ac:dyDescent="0.25">
      <c r="A3" s="123" t="s">
        <v>1</v>
      </c>
      <c r="B3" s="124"/>
      <c r="C3" s="5">
        <f>RESUMEN!D10</f>
        <v>6210000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6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6" x14ac:dyDescent="0.25">
      <c r="A5" s="6"/>
      <c r="B5" s="6"/>
      <c r="C5" s="6"/>
      <c r="D5" s="6"/>
      <c r="E5" s="6"/>
      <c r="F5" s="121" t="s">
        <v>39</v>
      </c>
      <c r="G5" s="122"/>
      <c r="H5" s="121" t="s">
        <v>40</v>
      </c>
      <c r="I5" s="122"/>
      <c r="J5" s="121" t="s">
        <v>41</v>
      </c>
      <c r="K5" s="122"/>
      <c r="L5" s="121" t="s">
        <v>42</v>
      </c>
      <c r="M5" s="122"/>
      <c r="N5" s="121" t="s">
        <v>43</v>
      </c>
      <c r="O5" s="122"/>
      <c r="P5" s="121" t="s">
        <v>44</v>
      </c>
      <c r="Q5" s="122"/>
      <c r="R5" s="121" t="s">
        <v>45</v>
      </c>
      <c r="S5" s="122"/>
      <c r="T5" s="121" t="s">
        <v>46</v>
      </c>
      <c r="U5" s="122"/>
      <c r="V5" s="121" t="s">
        <v>47</v>
      </c>
      <c r="W5" s="122"/>
      <c r="X5" s="121" t="s">
        <v>48</v>
      </c>
      <c r="Y5" s="122"/>
      <c r="Z5" s="121" t="s">
        <v>49</v>
      </c>
      <c r="AA5" s="122"/>
      <c r="AB5" s="121" t="s">
        <v>38</v>
      </c>
      <c r="AC5" s="122"/>
      <c r="AD5" s="121" t="s">
        <v>39</v>
      </c>
      <c r="AE5" s="122"/>
      <c r="AF5" s="121" t="s">
        <v>40</v>
      </c>
      <c r="AG5" s="122"/>
    </row>
    <row r="6" spans="1:36" ht="15.75" x14ac:dyDescent="0.25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6" ht="15.75" x14ac:dyDescent="0.25">
      <c r="A7" s="7">
        <v>1</v>
      </c>
      <c r="B7" s="7" t="s">
        <v>52</v>
      </c>
      <c r="C7" s="8">
        <f>SUM(C8:C12)</f>
        <v>0.25</v>
      </c>
      <c r="D7" s="56">
        <f>C7*C3</f>
        <v>1552500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6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0.05</v>
      </c>
      <c r="F8" s="95">
        <v>0.05</v>
      </c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  <c r="AJ8" s="57" t="s">
        <v>54</v>
      </c>
    </row>
    <row r="9" spans="1:36" x14ac:dyDescent="0.25">
      <c r="A9" s="11">
        <v>2</v>
      </c>
      <c r="B9" s="11" t="s">
        <v>55</v>
      </c>
      <c r="C9" s="12">
        <v>0.05</v>
      </c>
      <c r="D9" s="12"/>
      <c r="E9" s="103">
        <f t="shared" ref="E9:E48" si="0">SUM(F9:AG9)</f>
        <v>0.05</v>
      </c>
      <c r="F9" s="93">
        <v>0.05</v>
      </c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  <c r="AJ9" s="58" t="s">
        <v>56</v>
      </c>
    </row>
    <row r="10" spans="1:36" x14ac:dyDescent="0.25">
      <c r="A10" s="11">
        <v>3</v>
      </c>
      <c r="B10" s="11" t="s">
        <v>57</v>
      </c>
      <c r="C10" s="12">
        <v>0.05</v>
      </c>
      <c r="D10" s="12"/>
      <c r="E10" s="103">
        <f t="shared" si="0"/>
        <v>0.05</v>
      </c>
      <c r="F10" s="20"/>
      <c r="G10" s="94">
        <v>0.05</v>
      </c>
      <c r="H10" s="20"/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J10" s="57" t="s">
        <v>58</v>
      </c>
    </row>
    <row r="11" spans="1:36" x14ac:dyDescent="0.25">
      <c r="A11" s="11">
        <v>4</v>
      </c>
      <c r="B11" s="11" t="s">
        <v>59</v>
      </c>
      <c r="C11" s="12">
        <v>0.05</v>
      </c>
      <c r="D11" s="12"/>
      <c r="E11" s="103">
        <f t="shared" si="0"/>
        <v>0.05</v>
      </c>
      <c r="F11" s="20"/>
      <c r="G11" s="94">
        <v>0.05</v>
      </c>
      <c r="H11" s="20"/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J11" s="58" t="s">
        <v>60</v>
      </c>
    </row>
    <row r="12" spans="1:36" x14ac:dyDescent="0.25">
      <c r="A12" s="11">
        <v>5</v>
      </c>
      <c r="B12" s="11" t="s">
        <v>61</v>
      </c>
      <c r="C12" s="12">
        <v>0.05</v>
      </c>
      <c r="D12" s="12"/>
      <c r="E12" s="103">
        <f t="shared" si="0"/>
        <v>0.05</v>
      </c>
      <c r="F12" s="20"/>
      <c r="G12" s="94">
        <v>0.05</v>
      </c>
      <c r="H12" s="20"/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J12" s="57" t="s">
        <v>62</v>
      </c>
    </row>
    <row r="13" spans="1:36" x14ac:dyDescent="0.25">
      <c r="C13" s="22"/>
      <c r="D13" s="22"/>
      <c r="E13" s="10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J13" s="58" t="s">
        <v>63</v>
      </c>
    </row>
    <row r="14" spans="1:36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1863000</v>
      </c>
      <c r="E14" s="10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J14" s="57" t="s">
        <v>65</v>
      </c>
    </row>
    <row r="15" spans="1:36" x14ac:dyDescent="0.25">
      <c r="A15" s="11">
        <v>1</v>
      </c>
      <c r="B15" s="11" t="s">
        <v>53</v>
      </c>
      <c r="C15" s="12">
        <v>0.1</v>
      </c>
      <c r="D15" s="12"/>
      <c r="E15" s="103">
        <f t="shared" si="0"/>
        <v>0.1</v>
      </c>
      <c r="F15" s="93">
        <v>0.1</v>
      </c>
      <c r="G15" s="15"/>
      <c r="H15" s="20"/>
      <c r="I15" s="21"/>
      <c r="J15" s="21"/>
      <c r="K15" s="15"/>
      <c r="L15" s="21"/>
      <c r="M15" s="17"/>
      <c r="N15" s="21"/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J15" s="59" t="s">
        <v>66</v>
      </c>
    </row>
    <row r="16" spans="1:36" x14ac:dyDescent="0.25">
      <c r="A16" s="11">
        <v>2</v>
      </c>
      <c r="B16" s="11" t="s">
        <v>55</v>
      </c>
      <c r="C16" s="12">
        <v>0.05</v>
      </c>
      <c r="D16" s="12"/>
      <c r="E16" s="103">
        <f t="shared" si="0"/>
        <v>0.05</v>
      </c>
      <c r="F16" s="96">
        <v>0.05</v>
      </c>
      <c r="G16" s="15"/>
      <c r="H16" s="21"/>
      <c r="I16" s="20"/>
      <c r="J16" s="21"/>
      <c r="K16" s="17"/>
      <c r="L16" s="21"/>
      <c r="M16" s="15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J16" s="58" t="s">
        <v>67</v>
      </c>
    </row>
    <row r="17" spans="1:36" x14ac:dyDescent="0.25">
      <c r="A17" s="11">
        <v>3</v>
      </c>
      <c r="B17" s="11" t="s">
        <v>57</v>
      </c>
      <c r="C17" s="12">
        <v>0.05</v>
      </c>
      <c r="D17" s="12"/>
      <c r="E17" s="103">
        <f t="shared" si="0"/>
        <v>0.05</v>
      </c>
      <c r="F17" s="21"/>
      <c r="G17" s="97">
        <v>0.05</v>
      </c>
      <c r="H17" s="21"/>
      <c r="I17" s="20"/>
      <c r="J17" s="20"/>
      <c r="K17" s="17"/>
      <c r="L17" s="21"/>
      <c r="M17" s="17"/>
      <c r="N17" s="21"/>
      <c r="O17" s="17"/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J17" s="58" t="s">
        <v>68</v>
      </c>
    </row>
    <row r="18" spans="1:36" x14ac:dyDescent="0.25">
      <c r="A18" s="11">
        <v>4</v>
      </c>
      <c r="B18" s="11" t="s">
        <v>69</v>
      </c>
      <c r="C18" s="12">
        <v>0.05</v>
      </c>
      <c r="D18" s="12"/>
      <c r="E18" s="103">
        <f t="shared" si="0"/>
        <v>0.05</v>
      </c>
      <c r="F18" s="21"/>
      <c r="G18" s="97">
        <v>0.05</v>
      </c>
      <c r="H18" s="21"/>
      <c r="I18" s="21"/>
      <c r="J18" s="21"/>
      <c r="K18" s="17"/>
      <c r="L18" s="21"/>
      <c r="M18" s="15"/>
      <c r="N18" s="21"/>
      <c r="O18" s="17"/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J18" s="58" t="s">
        <v>70</v>
      </c>
    </row>
    <row r="19" spans="1:36" x14ac:dyDescent="0.25">
      <c r="A19" s="11">
        <v>5</v>
      </c>
      <c r="B19" s="11" t="s">
        <v>71</v>
      </c>
      <c r="C19" s="12">
        <v>0.05</v>
      </c>
      <c r="D19" s="12"/>
      <c r="E19" s="103">
        <f t="shared" si="0"/>
        <v>0.05</v>
      </c>
      <c r="F19" s="21"/>
      <c r="G19" s="97">
        <v>0.05</v>
      </c>
      <c r="H19" s="21"/>
      <c r="I19" s="21"/>
      <c r="J19" s="21"/>
      <c r="K19" s="15"/>
      <c r="L19" s="21"/>
      <c r="M19" s="17"/>
      <c r="N19" s="21"/>
      <c r="O19" s="15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J19" s="58" t="s">
        <v>72</v>
      </c>
    </row>
    <row r="20" spans="1:36" x14ac:dyDescent="0.25">
      <c r="A20" s="11"/>
      <c r="B20" s="11"/>
      <c r="C20" s="12"/>
      <c r="D20" s="12"/>
      <c r="E20" s="10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J20" s="60"/>
    </row>
    <row r="21" spans="1:36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621000</v>
      </c>
      <c r="E21" s="10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J21" s="60"/>
    </row>
    <row r="22" spans="1:36" x14ac:dyDescent="0.25">
      <c r="A22" s="11">
        <v>1</v>
      </c>
      <c r="B22" s="11" t="s">
        <v>53</v>
      </c>
      <c r="C22" s="12">
        <v>0.02</v>
      </c>
      <c r="D22" s="12"/>
      <c r="E22" s="103">
        <f t="shared" si="0"/>
        <v>0.02</v>
      </c>
      <c r="F22" s="20"/>
      <c r="G22" s="15"/>
      <c r="H22" s="96">
        <v>0.02</v>
      </c>
      <c r="I22" s="21"/>
      <c r="J22" s="21"/>
      <c r="K22" s="15"/>
      <c r="L22" s="21"/>
      <c r="M22" s="17"/>
      <c r="N22" s="21"/>
      <c r="O22" s="17"/>
      <c r="P22" s="21"/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J22" s="60"/>
    </row>
    <row r="23" spans="1:36" x14ac:dyDescent="0.25">
      <c r="A23" s="11">
        <v>2</v>
      </c>
      <c r="B23" s="11" t="s">
        <v>55</v>
      </c>
      <c r="C23" s="12">
        <v>0.02</v>
      </c>
      <c r="D23" s="12"/>
      <c r="E23" s="103">
        <f t="shared" si="0"/>
        <v>0.02</v>
      </c>
      <c r="F23" s="21"/>
      <c r="G23" s="15"/>
      <c r="H23" s="96">
        <v>0.02</v>
      </c>
      <c r="I23" s="20"/>
      <c r="J23" s="21"/>
      <c r="K23" s="17"/>
      <c r="L23" s="21"/>
      <c r="M23" s="15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J23" s="60"/>
    </row>
    <row r="24" spans="1:36" x14ac:dyDescent="0.25">
      <c r="A24" s="11">
        <v>3</v>
      </c>
      <c r="B24" s="11" t="s">
        <v>57</v>
      </c>
      <c r="C24" s="12">
        <v>0.02</v>
      </c>
      <c r="D24" s="12"/>
      <c r="E24" s="103">
        <f t="shared" si="0"/>
        <v>0.02</v>
      </c>
      <c r="F24" s="21"/>
      <c r="G24" s="17"/>
      <c r="H24" s="92">
        <v>0.01</v>
      </c>
      <c r="I24" s="20"/>
      <c r="J24" s="20"/>
      <c r="K24" s="94">
        <v>0.01</v>
      </c>
      <c r="L24" s="20"/>
      <c r="M24" s="17"/>
      <c r="N24" s="21"/>
      <c r="O24" s="17"/>
      <c r="P24" s="20"/>
      <c r="Q24" s="17"/>
      <c r="R24" s="20"/>
      <c r="S24" s="17"/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J24" s="60"/>
    </row>
    <row r="25" spans="1:36" x14ac:dyDescent="0.25">
      <c r="A25" s="11">
        <v>4</v>
      </c>
      <c r="B25" s="11" t="s">
        <v>69</v>
      </c>
      <c r="C25" s="12">
        <v>0.02</v>
      </c>
      <c r="D25" s="12"/>
      <c r="E25" s="103">
        <f t="shared" si="0"/>
        <v>0.02</v>
      </c>
      <c r="F25" s="21"/>
      <c r="G25" s="17"/>
      <c r="H25" s="92">
        <v>0.01</v>
      </c>
      <c r="I25" s="21"/>
      <c r="J25" s="21"/>
      <c r="K25" s="94">
        <v>0.01</v>
      </c>
      <c r="L25" s="20"/>
      <c r="M25" s="15"/>
      <c r="N25" s="21"/>
      <c r="O25" s="17"/>
      <c r="P25" s="21"/>
      <c r="Q25" s="17"/>
      <c r="R25" s="21"/>
      <c r="S25" s="17"/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J25" s="60"/>
    </row>
    <row r="26" spans="1:36" x14ac:dyDescent="0.25">
      <c r="A26" s="11">
        <v>5</v>
      </c>
      <c r="B26" s="11" t="s">
        <v>71</v>
      </c>
      <c r="C26" s="12">
        <v>0.02</v>
      </c>
      <c r="D26" s="12"/>
      <c r="E26" s="103">
        <f t="shared" si="0"/>
        <v>0.02</v>
      </c>
      <c r="F26" s="21"/>
      <c r="G26" s="17"/>
      <c r="H26" s="92">
        <v>0.01</v>
      </c>
      <c r="I26" s="21"/>
      <c r="J26" s="21"/>
      <c r="K26" s="94">
        <v>0.01</v>
      </c>
      <c r="L26" s="20"/>
      <c r="M26" s="17"/>
      <c r="N26" s="21"/>
      <c r="O26" s="15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J26" s="60"/>
    </row>
    <row r="27" spans="1:36" ht="15.75" customHeight="1" x14ac:dyDescent="0.25">
      <c r="A27" s="11"/>
      <c r="B27" s="11"/>
      <c r="C27" s="12"/>
      <c r="D27" s="12"/>
      <c r="E27" s="10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6" ht="15.75" customHeight="1" x14ac:dyDescent="0.25">
      <c r="A28" s="7">
        <v>4</v>
      </c>
      <c r="B28" s="7" t="s">
        <v>51</v>
      </c>
      <c r="C28" s="8">
        <f>SUM(C29:C33)</f>
        <v>0.18</v>
      </c>
      <c r="D28" s="56">
        <f>C28*C3</f>
        <v>1117800</v>
      </c>
      <c r="E28" s="10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6" ht="15.75" customHeight="1" x14ac:dyDescent="0.25">
      <c r="A29" s="11">
        <v>1</v>
      </c>
      <c r="B29" s="11" t="s">
        <v>53</v>
      </c>
      <c r="C29" s="12">
        <v>0.04</v>
      </c>
      <c r="D29" s="12"/>
      <c r="E29" s="103">
        <f t="shared" si="0"/>
        <v>0.04</v>
      </c>
      <c r="F29" s="21"/>
      <c r="G29" s="17"/>
      <c r="H29" s="21"/>
      <c r="I29" s="21"/>
      <c r="J29" s="21"/>
      <c r="K29" s="17"/>
      <c r="L29" s="21"/>
      <c r="M29" s="91">
        <v>0.02</v>
      </c>
      <c r="N29" s="21"/>
      <c r="O29" s="17"/>
      <c r="P29" s="21"/>
      <c r="Q29" s="17"/>
      <c r="R29" s="21"/>
      <c r="S29" s="17"/>
      <c r="T29" s="93">
        <v>0.02</v>
      </c>
      <c r="U29" s="15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6" ht="15.75" customHeight="1" x14ac:dyDescent="0.25">
      <c r="A30" s="11">
        <v>2</v>
      </c>
      <c r="B30" s="11" t="s">
        <v>55</v>
      </c>
      <c r="C30" s="12">
        <v>0.04</v>
      </c>
      <c r="D30" s="12"/>
      <c r="E30" s="103">
        <f t="shared" si="0"/>
        <v>0.04</v>
      </c>
      <c r="F30" s="21"/>
      <c r="G30" s="17"/>
      <c r="H30" s="21"/>
      <c r="I30" s="21"/>
      <c r="J30" s="21"/>
      <c r="K30" s="17"/>
      <c r="L30" s="21"/>
      <c r="M30" s="91">
        <v>0.02</v>
      </c>
      <c r="N30" s="21"/>
      <c r="O30" s="15"/>
      <c r="P30" s="20"/>
      <c r="Q30" s="17"/>
      <c r="R30" s="20"/>
      <c r="S30" s="15"/>
      <c r="T30" s="93">
        <v>0.02</v>
      </c>
      <c r="U30" s="15"/>
      <c r="V30" s="20"/>
      <c r="W30" s="17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6" ht="15.75" customHeight="1" x14ac:dyDescent="0.25">
      <c r="A31" s="11">
        <v>3</v>
      </c>
      <c r="B31" s="11" t="s">
        <v>57</v>
      </c>
      <c r="C31" s="12">
        <v>0.04</v>
      </c>
      <c r="D31" s="12"/>
      <c r="E31" s="103">
        <f t="shared" si="0"/>
        <v>0.04</v>
      </c>
      <c r="F31" s="21"/>
      <c r="G31" s="17"/>
      <c r="H31" s="21"/>
      <c r="I31" s="21"/>
      <c r="J31" s="21"/>
      <c r="K31" s="17"/>
      <c r="L31" s="21"/>
      <c r="M31" s="91">
        <v>0.02</v>
      </c>
      <c r="N31" s="21"/>
      <c r="O31" s="15"/>
      <c r="P31" s="20"/>
      <c r="Q31" s="17"/>
      <c r="R31" s="20"/>
      <c r="S31" s="17"/>
      <c r="T31" s="93">
        <v>0.02</v>
      </c>
      <c r="U31" s="15"/>
      <c r="V31" s="20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6" ht="15.75" customHeight="1" x14ac:dyDescent="0.25">
      <c r="A32" s="11">
        <v>4</v>
      </c>
      <c r="B32" s="11" t="s">
        <v>69</v>
      </c>
      <c r="C32" s="12">
        <v>0.03</v>
      </c>
      <c r="D32" s="12"/>
      <c r="E32" s="103">
        <f t="shared" si="0"/>
        <v>0.03</v>
      </c>
      <c r="F32" s="21"/>
      <c r="G32" s="17"/>
      <c r="H32" s="21"/>
      <c r="I32" s="21"/>
      <c r="J32" s="21"/>
      <c r="K32" s="17"/>
      <c r="L32" s="21"/>
      <c r="M32" s="91">
        <v>0.02</v>
      </c>
      <c r="N32" s="21"/>
      <c r="O32" s="17"/>
      <c r="P32" s="20"/>
      <c r="Q32" s="17"/>
      <c r="R32" s="20"/>
      <c r="S32" s="17"/>
      <c r="T32" s="93">
        <v>0.01</v>
      </c>
      <c r="U32" s="17"/>
      <c r="V32" s="20"/>
      <c r="W32" s="15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0.03</v>
      </c>
      <c r="D33" s="12"/>
      <c r="E33" s="103">
        <f t="shared" si="0"/>
        <v>0.03</v>
      </c>
      <c r="F33" s="21"/>
      <c r="G33" s="17"/>
      <c r="H33" s="21"/>
      <c r="I33" s="21"/>
      <c r="J33" s="21"/>
      <c r="K33" s="17"/>
      <c r="L33" s="21"/>
      <c r="M33" s="91">
        <v>0.02</v>
      </c>
      <c r="N33" s="21"/>
      <c r="O33" s="17"/>
      <c r="P33" s="21"/>
      <c r="Q33" s="17"/>
      <c r="R33" s="21"/>
      <c r="S33" s="17"/>
      <c r="T33" s="93">
        <v>0.01</v>
      </c>
      <c r="U33" s="17"/>
      <c r="V33" s="20"/>
      <c r="W33" s="15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0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496800</v>
      </c>
      <c r="E35" s="10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 t="shared" si="0"/>
        <v>0.08</v>
      </c>
      <c r="F36" s="21"/>
      <c r="G36" s="17"/>
      <c r="H36" s="21"/>
      <c r="I36" s="92">
        <v>0.04</v>
      </c>
      <c r="J36" s="96">
        <v>0.04</v>
      </c>
      <c r="K36" s="17"/>
      <c r="L36" s="21"/>
      <c r="M36" s="17"/>
      <c r="N36" s="21"/>
      <c r="O36" s="17"/>
      <c r="P36" s="21"/>
      <c r="Q36" s="15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0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x14ac:dyDescent="0.25">
      <c r="A38" s="7">
        <v>6</v>
      </c>
      <c r="B38" s="7" t="s">
        <v>31</v>
      </c>
      <c r="C38" s="8">
        <f>SUM(C39:C43)</f>
        <v>0.05</v>
      </c>
      <c r="D38" s="56">
        <f>C38*C3</f>
        <v>310500</v>
      </c>
      <c r="E38" s="10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0.01</v>
      </c>
      <c r="D39" s="12"/>
      <c r="E39" s="103">
        <f t="shared" si="0"/>
        <v>0.01</v>
      </c>
      <c r="F39" s="21"/>
      <c r="G39" s="17"/>
      <c r="H39" s="21"/>
      <c r="I39" s="21"/>
      <c r="J39" s="21"/>
      <c r="K39" s="91">
        <v>5.0000000000000001E-3</v>
      </c>
      <c r="L39" s="21"/>
      <c r="M39" s="17"/>
      <c r="N39" s="21"/>
      <c r="O39" s="17"/>
      <c r="P39" s="21"/>
      <c r="Q39" s="17"/>
      <c r="R39" s="21"/>
      <c r="S39" s="17"/>
      <c r="T39" s="93">
        <v>5.0000000000000001E-3</v>
      </c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0.01</v>
      </c>
      <c r="D40" s="12"/>
      <c r="E40" s="103">
        <f t="shared" si="0"/>
        <v>0.01</v>
      </c>
      <c r="F40" s="21"/>
      <c r="G40" s="17"/>
      <c r="H40" s="21"/>
      <c r="I40" s="21"/>
      <c r="J40" s="21"/>
      <c r="K40" s="91">
        <v>5.0000000000000001E-3</v>
      </c>
      <c r="L40" s="21"/>
      <c r="M40" s="17"/>
      <c r="N40" s="21"/>
      <c r="O40" s="17"/>
      <c r="P40" s="21"/>
      <c r="Q40" s="17"/>
      <c r="R40" s="21"/>
      <c r="S40" s="17"/>
      <c r="T40" s="93">
        <v>5.0000000000000001E-3</v>
      </c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0.01</v>
      </c>
      <c r="D41" s="12"/>
      <c r="E41" s="103">
        <f t="shared" si="0"/>
        <v>0.01</v>
      </c>
      <c r="F41" s="21"/>
      <c r="G41" s="17"/>
      <c r="H41" s="21"/>
      <c r="I41" s="21"/>
      <c r="J41" s="21"/>
      <c r="K41" s="91">
        <v>5.0000000000000001E-3</v>
      </c>
      <c r="L41" s="21"/>
      <c r="M41" s="17"/>
      <c r="N41" s="21"/>
      <c r="O41" s="17"/>
      <c r="P41" s="21"/>
      <c r="Q41" s="17"/>
      <c r="R41" s="21"/>
      <c r="S41" s="17"/>
      <c r="T41" s="93">
        <v>5.0000000000000001E-3</v>
      </c>
      <c r="U41" s="17"/>
      <c r="V41" s="21"/>
      <c r="W41" s="30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0.01</v>
      </c>
      <c r="D42" s="12"/>
      <c r="E42" s="103">
        <f t="shared" si="0"/>
        <v>0.01</v>
      </c>
      <c r="F42" s="21"/>
      <c r="G42" s="17"/>
      <c r="H42" s="21"/>
      <c r="I42" s="21"/>
      <c r="J42" s="21"/>
      <c r="K42" s="91">
        <v>5.0000000000000001E-3</v>
      </c>
      <c r="L42" s="21"/>
      <c r="M42" s="17"/>
      <c r="N42" s="21"/>
      <c r="O42" s="17"/>
      <c r="P42" s="21"/>
      <c r="Q42" s="17"/>
      <c r="R42" s="21"/>
      <c r="S42" s="17"/>
      <c r="T42" s="93">
        <v>5.0000000000000001E-3</v>
      </c>
      <c r="U42" s="17"/>
      <c r="V42" s="21"/>
      <c r="W42" s="30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0.01</v>
      </c>
      <c r="D43" s="12"/>
      <c r="E43" s="103">
        <f t="shared" si="0"/>
        <v>0.01</v>
      </c>
      <c r="F43" s="21"/>
      <c r="G43" s="17"/>
      <c r="H43" s="21"/>
      <c r="I43" s="21"/>
      <c r="J43" s="21"/>
      <c r="K43" s="91">
        <v>5.0000000000000001E-3</v>
      </c>
      <c r="L43" s="21"/>
      <c r="M43" s="17"/>
      <c r="N43" s="21"/>
      <c r="O43" s="17"/>
      <c r="P43" s="21"/>
      <c r="Q43" s="17"/>
      <c r="R43" s="21"/>
      <c r="S43" s="17"/>
      <c r="T43" s="93">
        <v>5.0000000000000001E-3</v>
      </c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C44" s="22"/>
      <c r="D44" s="22"/>
      <c r="E44" s="103"/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0.04</v>
      </c>
      <c r="D45" s="56">
        <f>C45*C3</f>
        <v>248400</v>
      </c>
      <c r="E45" s="10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0.01</v>
      </c>
      <c r="D46" s="12"/>
      <c r="E46" s="103">
        <f t="shared" si="0"/>
        <v>0.01</v>
      </c>
      <c r="F46" s="21"/>
      <c r="G46" s="94">
        <v>0.01</v>
      </c>
      <c r="H46" s="21"/>
      <c r="I46" s="21"/>
      <c r="J46" s="20"/>
      <c r="K46" s="17"/>
      <c r="L46" s="21"/>
      <c r="M46" s="17"/>
      <c r="N46" s="21"/>
      <c r="O46" s="17"/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0.01</v>
      </c>
      <c r="D47" s="12"/>
      <c r="E47" s="103">
        <f t="shared" si="0"/>
        <v>0.01</v>
      </c>
      <c r="F47" s="21"/>
      <c r="G47" s="17"/>
      <c r="H47" s="21"/>
      <c r="I47" s="21"/>
      <c r="J47" s="21"/>
      <c r="K47" s="94">
        <v>0.01</v>
      </c>
      <c r="L47" s="21"/>
      <c r="M47" s="17"/>
      <c r="N47" s="21"/>
      <c r="O47" s="17"/>
      <c r="P47" s="21"/>
      <c r="Q47" s="17"/>
      <c r="R47" s="21"/>
      <c r="S47" s="15"/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0.02</v>
      </c>
      <c r="D48" s="12"/>
      <c r="E48" s="103">
        <f t="shared" si="0"/>
        <v>0.02</v>
      </c>
      <c r="F48" s="21"/>
      <c r="G48" s="17"/>
      <c r="H48" s="21"/>
      <c r="I48" s="21"/>
      <c r="J48" s="21"/>
      <c r="K48" s="94">
        <v>0.02</v>
      </c>
      <c r="L48" s="21"/>
      <c r="M48" s="17"/>
      <c r="N48" s="21"/>
      <c r="O48" s="17"/>
      <c r="P48" s="21"/>
      <c r="Q48" s="17"/>
      <c r="R48" s="21"/>
      <c r="S48" s="17"/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 16384:16384" ht="15.75" customHeight="1" x14ac:dyDescent="0.25">
      <c r="A49" s="11"/>
      <c r="B49" s="11"/>
      <c r="C49" s="12"/>
      <c r="D49" s="12"/>
      <c r="E49" s="10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 16384:16384" ht="15.75" customHeight="1" x14ac:dyDescent="0.3">
      <c r="A50" s="32"/>
      <c r="B50" s="33" t="s">
        <v>32</v>
      </c>
      <c r="C50" s="34">
        <f>SUM(C7+C14+C21+C28+C35+C38+C45)</f>
        <v>1</v>
      </c>
      <c r="D50" s="34"/>
      <c r="E50" s="61">
        <f>SUM(F50:AG50)</f>
        <v>1.0000000000000002</v>
      </c>
      <c r="F50" s="62">
        <f>SUM(F8:F49)</f>
        <v>0.25</v>
      </c>
      <c r="G50" s="62">
        <f>SUM(G8:G49)</f>
        <v>0.31</v>
      </c>
      <c r="H50" s="62">
        <f>SUM(H8:H49)</f>
        <v>7.0000000000000007E-2</v>
      </c>
      <c r="I50" s="62">
        <f>SUM(I8:I49)</f>
        <v>0.04</v>
      </c>
      <c r="J50" s="62">
        <f>SUM(J8:J49)</f>
        <v>0.04</v>
      </c>
      <c r="K50" s="62">
        <f>SUM(K8:K49)</f>
        <v>8.4999999999999992E-2</v>
      </c>
      <c r="L50" s="62">
        <f>SUM(L8:L49)</f>
        <v>0</v>
      </c>
      <c r="M50" s="62">
        <f>SUM(M8:M49)</f>
        <v>0.1</v>
      </c>
      <c r="N50" s="62">
        <f>SUM(N8:N49)</f>
        <v>0</v>
      </c>
      <c r="O50" s="62">
        <f>SUM(O8:O49)</f>
        <v>0</v>
      </c>
      <c r="P50" s="62">
        <f>SUM(P8:P49)</f>
        <v>0</v>
      </c>
      <c r="Q50" s="62">
        <f>SUM(Q8:Q49)</f>
        <v>0</v>
      </c>
      <c r="R50" s="62">
        <f>SUM(R8:R49)</f>
        <v>0</v>
      </c>
      <c r="S50" s="62">
        <f>SUM(S8:S49)</f>
        <v>0</v>
      </c>
      <c r="T50" s="62">
        <f>SUM(T8:T49)</f>
        <v>0.10500000000000001</v>
      </c>
      <c r="U50" s="62">
        <f>SUM(U8:U49)</f>
        <v>0</v>
      </c>
      <c r="V50" s="62">
        <f>SUM(V8:V49)</f>
        <v>0</v>
      </c>
      <c r="W50" s="62">
        <f>SUM(W8:W49)</f>
        <v>0</v>
      </c>
      <c r="X50" s="62">
        <f>SUM(X8:X49)</f>
        <v>0</v>
      </c>
      <c r="Y50" s="62">
        <f>SUM(Y8:Y49)</f>
        <v>0</v>
      </c>
      <c r="Z50" s="62">
        <f>SUM(Z8:Z49)</f>
        <v>0</v>
      </c>
      <c r="AA50" s="62">
        <f>SUM(AA8:AA49)</f>
        <v>0</v>
      </c>
      <c r="AB50" s="62">
        <f>SUM(AB8:AB49)</f>
        <v>0</v>
      </c>
      <c r="AC50" s="62">
        <f>SUM(AC8:AC49)</f>
        <v>0</v>
      </c>
      <c r="AD50" s="62">
        <f>SUM(AD8:AD49)</f>
        <v>0</v>
      </c>
      <c r="AE50" s="62">
        <f>SUM(AE8:AE49)</f>
        <v>0</v>
      </c>
      <c r="AF50" s="62">
        <f>SUM(AF8:AF49)</f>
        <v>0</v>
      </c>
      <c r="AG50" s="62">
        <f>SUM(AG8:AG49)</f>
        <v>0</v>
      </c>
    </row>
    <row r="51" spans="1:33 16384:16384" ht="15.75" customHeight="1" x14ac:dyDescent="0.25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 16384:16384" ht="15.75" customHeight="1" x14ac:dyDescent="0.25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 16384:16384" ht="15.75" customHeight="1" x14ac:dyDescent="0.25"/>
    <row r="54" spans="1:33 16384:16384" ht="15.75" hidden="1" customHeight="1" outlineLevel="1" x14ac:dyDescent="0.25">
      <c r="A54" s="131" t="s">
        <v>34</v>
      </c>
      <c r="B54" s="128"/>
      <c r="C54" s="128"/>
      <c r="D54" s="128"/>
      <c r="E54" s="129"/>
      <c r="F54" s="40">
        <f>C3+(C3*F52)</f>
        <v>6210000</v>
      </c>
      <c r="G54" s="40">
        <f t="shared" ref="G54:AG54" si="1">F54+(F54*G52)</f>
        <v>6210000</v>
      </c>
      <c r="H54" s="40">
        <f t="shared" si="1"/>
        <v>6210000</v>
      </c>
      <c r="I54" s="40">
        <f t="shared" si="1"/>
        <v>6210000</v>
      </c>
      <c r="J54" s="40">
        <f t="shared" si="1"/>
        <v>6210000</v>
      </c>
      <c r="K54" s="40">
        <f t="shared" si="1"/>
        <v>6210000</v>
      </c>
      <c r="L54" s="40">
        <f t="shared" si="1"/>
        <v>6210000</v>
      </c>
      <c r="M54" s="40">
        <f t="shared" si="1"/>
        <v>6210000</v>
      </c>
      <c r="N54" s="40">
        <f t="shared" si="1"/>
        <v>6210000</v>
      </c>
      <c r="O54" s="40">
        <f t="shared" si="1"/>
        <v>6210000</v>
      </c>
      <c r="P54" s="40">
        <f t="shared" si="1"/>
        <v>6210000</v>
      </c>
      <c r="Q54" s="40">
        <f t="shared" si="1"/>
        <v>6210000</v>
      </c>
      <c r="R54" s="40">
        <f t="shared" si="1"/>
        <v>6210000</v>
      </c>
      <c r="S54" s="40">
        <f t="shared" si="1"/>
        <v>6210000</v>
      </c>
      <c r="T54" s="40">
        <f t="shared" si="1"/>
        <v>6210000</v>
      </c>
      <c r="U54" s="40">
        <f t="shared" si="1"/>
        <v>6210000</v>
      </c>
      <c r="V54" s="40">
        <f t="shared" si="1"/>
        <v>6210000</v>
      </c>
      <c r="W54" s="40">
        <f t="shared" si="1"/>
        <v>6210000</v>
      </c>
      <c r="X54" s="40">
        <f t="shared" si="1"/>
        <v>6210000</v>
      </c>
      <c r="Y54" s="40">
        <f t="shared" si="1"/>
        <v>6210000</v>
      </c>
      <c r="Z54" s="40">
        <f t="shared" si="1"/>
        <v>6210000</v>
      </c>
      <c r="AA54" s="40">
        <f t="shared" si="1"/>
        <v>6210000</v>
      </c>
      <c r="AB54" s="40">
        <f t="shared" si="1"/>
        <v>6210000</v>
      </c>
      <c r="AC54" s="40">
        <f t="shared" si="1"/>
        <v>6210000</v>
      </c>
      <c r="AD54" s="40">
        <f t="shared" si="1"/>
        <v>6210000</v>
      </c>
      <c r="AE54" s="40">
        <f t="shared" si="1"/>
        <v>6210000</v>
      </c>
      <c r="AF54" s="40">
        <f t="shared" si="1"/>
        <v>6210000</v>
      </c>
      <c r="AG54" s="40">
        <f t="shared" si="1"/>
        <v>6210000</v>
      </c>
    </row>
    <row r="55" spans="1:33 16384:16384" ht="15.75" hidden="1" customHeight="1" outlineLevel="1" x14ac:dyDescent="0.25"/>
    <row r="56" spans="1:33 16384:16384" ht="15.75" hidden="1" customHeight="1" outlineLevel="1" x14ac:dyDescent="0.25">
      <c r="A56" s="132" t="s">
        <v>35</v>
      </c>
      <c r="B56" s="128"/>
      <c r="C56" s="128"/>
      <c r="D56" s="128"/>
      <c r="E56" s="129"/>
      <c r="F56" s="41">
        <f t="shared" ref="F56:AG56" si="2">F50*F54</f>
        <v>1552500</v>
      </c>
      <c r="G56" s="41">
        <f t="shared" si="2"/>
        <v>1925100</v>
      </c>
      <c r="H56" s="41">
        <f t="shared" si="2"/>
        <v>434700.00000000006</v>
      </c>
      <c r="I56" s="41">
        <f t="shared" si="2"/>
        <v>248400</v>
      </c>
      <c r="J56" s="41">
        <f t="shared" si="2"/>
        <v>248400</v>
      </c>
      <c r="K56" s="41">
        <f t="shared" si="2"/>
        <v>527850</v>
      </c>
      <c r="L56" s="41">
        <f t="shared" si="2"/>
        <v>0</v>
      </c>
      <c r="M56" s="41">
        <f t="shared" si="2"/>
        <v>621000</v>
      </c>
      <c r="N56" s="41">
        <f t="shared" si="2"/>
        <v>0</v>
      </c>
      <c r="O56" s="41">
        <f t="shared" si="2"/>
        <v>0</v>
      </c>
      <c r="P56" s="41">
        <f t="shared" si="2"/>
        <v>0</v>
      </c>
      <c r="Q56" s="41">
        <f t="shared" si="2"/>
        <v>0</v>
      </c>
      <c r="R56" s="41">
        <f t="shared" si="2"/>
        <v>0</v>
      </c>
      <c r="S56" s="41">
        <f t="shared" si="2"/>
        <v>0</v>
      </c>
      <c r="T56" s="41">
        <f t="shared" si="2"/>
        <v>652050.00000000012</v>
      </c>
      <c r="U56" s="41">
        <f t="shared" si="2"/>
        <v>0</v>
      </c>
      <c r="V56" s="41">
        <f t="shared" si="2"/>
        <v>0</v>
      </c>
      <c r="W56" s="41">
        <f t="shared" si="2"/>
        <v>0</v>
      </c>
      <c r="X56" s="41">
        <f t="shared" si="2"/>
        <v>0</v>
      </c>
      <c r="Y56" s="41">
        <f t="shared" si="2"/>
        <v>0</v>
      </c>
      <c r="Z56" s="41">
        <f t="shared" si="2"/>
        <v>0</v>
      </c>
      <c r="AA56" s="41">
        <f t="shared" si="2"/>
        <v>0</v>
      </c>
      <c r="AB56" s="41">
        <f t="shared" si="2"/>
        <v>0</v>
      </c>
      <c r="AC56" s="41">
        <f t="shared" si="2"/>
        <v>0</v>
      </c>
      <c r="AD56" s="41">
        <f t="shared" si="2"/>
        <v>0</v>
      </c>
      <c r="AE56" s="41">
        <f t="shared" si="2"/>
        <v>0</v>
      </c>
      <c r="AF56" s="41">
        <f t="shared" si="2"/>
        <v>0</v>
      </c>
      <c r="AG56" s="41">
        <f t="shared" si="2"/>
        <v>0</v>
      </c>
    </row>
    <row r="57" spans="1:33 16384:16384" ht="15.75" hidden="1" customHeight="1" outlineLevel="1" x14ac:dyDescent="0.25"/>
    <row r="58" spans="1:33 16384:16384" ht="15.75" customHeight="1" collapsed="1" x14ac:dyDescent="0.3">
      <c r="A58" s="127" t="s">
        <v>36</v>
      </c>
      <c r="B58" s="128"/>
      <c r="C58" s="128"/>
      <c r="D58" s="128"/>
      <c r="E58" s="129"/>
      <c r="F58" s="42">
        <f>F56-(F56*D4)</f>
        <v>1552500</v>
      </c>
      <c r="G58" s="43">
        <f>G56-(G56*D4)</f>
        <v>1925100</v>
      </c>
      <c r="H58" s="43">
        <f>H56-(H56*D4)</f>
        <v>434700.00000000006</v>
      </c>
      <c r="I58" s="43">
        <f>I56-(I56*D4)</f>
        <v>248400</v>
      </c>
      <c r="J58" s="43">
        <f>J56-(J56*D4)</f>
        <v>248400</v>
      </c>
      <c r="K58" s="43">
        <f>K56-(K56*D4)</f>
        <v>527850</v>
      </c>
      <c r="L58" s="43">
        <f>L56-(L56*D4)</f>
        <v>0</v>
      </c>
      <c r="M58" s="43">
        <f>M56-(M56*D4)</f>
        <v>621000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652050.00000000012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 16384:16384" ht="15.75" customHeight="1" x14ac:dyDescent="0.25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 16384:16384" ht="15.75" customHeight="1" x14ac:dyDescent="0.25">
      <c r="A60" s="130" t="s">
        <v>37</v>
      </c>
      <c r="B60" s="128"/>
      <c r="C60" s="128"/>
      <c r="D60" s="128"/>
      <c r="E60" s="129"/>
      <c r="F60" s="45">
        <f>F54-F58-C4</f>
        <v>4657500</v>
      </c>
      <c r="G60" s="45">
        <f t="shared" ref="G60:AG60" si="3">(F60+(F60*G52))-G58</f>
        <v>2732400</v>
      </c>
      <c r="H60" s="46">
        <f t="shared" si="3"/>
        <v>2297700</v>
      </c>
      <c r="I60" s="46">
        <f t="shared" si="3"/>
        <v>2049300</v>
      </c>
      <c r="J60" s="45">
        <f t="shared" si="3"/>
        <v>1800900</v>
      </c>
      <c r="K60" s="45">
        <f t="shared" si="3"/>
        <v>1273050</v>
      </c>
      <c r="L60" s="45">
        <f t="shared" si="3"/>
        <v>1273050</v>
      </c>
      <c r="M60" s="45">
        <f t="shared" si="3"/>
        <v>652050</v>
      </c>
      <c r="N60" s="45">
        <f t="shared" si="3"/>
        <v>652050</v>
      </c>
      <c r="O60" s="45">
        <f t="shared" si="3"/>
        <v>652050</v>
      </c>
      <c r="P60" s="45">
        <f t="shared" si="3"/>
        <v>652050</v>
      </c>
      <c r="Q60" s="45">
        <f t="shared" si="3"/>
        <v>652050</v>
      </c>
      <c r="R60" s="45">
        <f t="shared" si="3"/>
        <v>652050</v>
      </c>
      <c r="S60" s="45">
        <f t="shared" si="3"/>
        <v>652050</v>
      </c>
      <c r="T60" s="45">
        <f t="shared" si="3"/>
        <v>0</v>
      </c>
      <c r="U60" s="45">
        <f t="shared" si="3"/>
        <v>0</v>
      </c>
      <c r="V60" s="45">
        <f t="shared" si="3"/>
        <v>0</v>
      </c>
      <c r="W60" s="45">
        <f t="shared" si="3"/>
        <v>0</v>
      </c>
      <c r="X60" s="45">
        <f t="shared" si="3"/>
        <v>0</v>
      </c>
      <c r="Y60" s="45">
        <f t="shared" si="3"/>
        <v>0</v>
      </c>
      <c r="Z60" s="45">
        <f t="shared" si="3"/>
        <v>0</v>
      </c>
      <c r="AA60" s="45">
        <f t="shared" si="3"/>
        <v>0</v>
      </c>
      <c r="AB60" s="45">
        <f t="shared" si="3"/>
        <v>0</v>
      </c>
      <c r="AC60" s="45">
        <f t="shared" si="3"/>
        <v>0</v>
      </c>
      <c r="AD60" s="45">
        <f t="shared" si="3"/>
        <v>0</v>
      </c>
      <c r="AE60" s="45">
        <f t="shared" si="3"/>
        <v>0</v>
      </c>
      <c r="AF60" s="45">
        <f t="shared" si="3"/>
        <v>0</v>
      </c>
      <c r="AG60" s="45">
        <f t="shared" si="3"/>
        <v>0</v>
      </c>
    </row>
    <row r="61" spans="1:33 16384:16384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 16384:16384" ht="15.75" customHeight="1" x14ac:dyDescent="0.25">
      <c r="F62" s="49">
        <f>F58/2</f>
        <v>776250</v>
      </c>
      <c r="G62" s="49">
        <v>776250</v>
      </c>
      <c r="H62" s="49">
        <v>776250</v>
      </c>
      <c r="I62" s="64">
        <v>776250</v>
      </c>
      <c r="J62" s="64">
        <v>776250</v>
      </c>
      <c r="K62" s="75">
        <v>776250</v>
      </c>
      <c r="L62" s="47"/>
      <c r="M62" s="50"/>
      <c r="N62" s="50"/>
      <c r="O62" s="51"/>
      <c r="P62" s="52"/>
    </row>
    <row r="63" spans="1:33 16384:16384" ht="15.75" customHeight="1" x14ac:dyDescent="0.25">
      <c r="F63" s="74">
        <v>474370</v>
      </c>
      <c r="G63" s="74">
        <v>474370</v>
      </c>
      <c r="H63" s="74">
        <v>474370</v>
      </c>
      <c r="I63" s="74">
        <v>474370</v>
      </c>
      <c r="J63" s="74">
        <v>474370</v>
      </c>
      <c r="K63" s="74">
        <v>474370</v>
      </c>
      <c r="V63" s="44"/>
      <c r="W63" s="49"/>
      <c r="XFD63" s="74">
        <v>474370</v>
      </c>
    </row>
    <row r="64" spans="1:33 16384:16384" ht="15.75" customHeight="1" x14ac:dyDescent="0.25">
      <c r="F64" s="53">
        <f>SUM(F62:F63)</f>
        <v>1250620</v>
      </c>
      <c r="Q64" s="44"/>
      <c r="W64" s="53"/>
    </row>
    <row r="65" spans="6:11" ht="15.75" customHeight="1" x14ac:dyDescent="0.25">
      <c r="F65" s="76">
        <f>F64*4</f>
        <v>5002480</v>
      </c>
      <c r="G65" s="49"/>
      <c r="H65" s="49"/>
      <c r="I65" s="11"/>
      <c r="J65" s="44"/>
      <c r="K65" s="53"/>
    </row>
    <row r="66" spans="6:11" ht="15.75" customHeight="1" x14ac:dyDescent="0.25">
      <c r="G66" s="54"/>
      <c r="H66" s="54"/>
      <c r="I66" s="11"/>
      <c r="J66" s="44"/>
    </row>
    <row r="67" spans="6:11" ht="15.75" customHeight="1" x14ac:dyDescent="0.25">
      <c r="G67" s="54"/>
      <c r="H67" s="54"/>
    </row>
    <row r="68" spans="6:11" ht="15.75" customHeight="1" x14ac:dyDescent="0.25">
      <c r="F68" s="106">
        <f>F58*2</f>
        <v>3105000</v>
      </c>
      <c r="G68" s="54"/>
      <c r="H68" s="54"/>
    </row>
    <row r="69" spans="6:11" ht="15.75" customHeight="1" x14ac:dyDescent="0.25">
      <c r="F69" s="64">
        <v>3696498</v>
      </c>
      <c r="G69" s="54">
        <f>F69/4</f>
        <v>924124.5</v>
      </c>
      <c r="H69" s="54"/>
      <c r="J69" s="53"/>
    </row>
    <row r="70" spans="6:11" ht="15.75" customHeight="1" x14ac:dyDescent="0.25">
      <c r="G70" s="54"/>
      <c r="H70" s="54"/>
    </row>
    <row r="71" spans="6:11" ht="15.75" customHeight="1" x14ac:dyDescent="0.25">
      <c r="G71" s="54"/>
      <c r="H71" s="54"/>
    </row>
    <row r="72" spans="6:11" ht="15.75" customHeight="1" x14ac:dyDescent="0.25">
      <c r="G72" s="54"/>
      <c r="H72" s="54"/>
    </row>
    <row r="73" spans="6:11" ht="15.75" customHeight="1" x14ac:dyDescent="0.25">
      <c r="G73" s="54"/>
      <c r="H73" s="54"/>
    </row>
    <row r="74" spans="6:11" ht="15.75" customHeight="1" x14ac:dyDescent="0.25"/>
    <row r="75" spans="6:11" ht="15.75" customHeight="1" x14ac:dyDescent="0.25"/>
    <row r="76" spans="6:11" ht="15.75" customHeight="1" x14ac:dyDescent="0.25"/>
    <row r="77" spans="6:11" ht="15.75" customHeight="1" x14ac:dyDescent="0.25"/>
    <row r="78" spans="6:11" ht="15.75" customHeight="1" x14ac:dyDescent="0.25"/>
    <row r="79" spans="6:11" ht="15.75" customHeight="1" x14ac:dyDescent="0.25"/>
    <row r="80" spans="6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7">
    <mergeCell ref="AB5:AC5"/>
    <mergeCell ref="AD5:AE5"/>
    <mergeCell ref="AF5:AG5"/>
    <mergeCell ref="N5:O5"/>
    <mergeCell ref="P5:Q5"/>
    <mergeCell ref="R5:S5"/>
    <mergeCell ref="T5:U5"/>
    <mergeCell ref="V5:W5"/>
    <mergeCell ref="X5:Y5"/>
    <mergeCell ref="Z5:AA5"/>
    <mergeCell ref="AD6:AE6"/>
    <mergeCell ref="AF6:AG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52:E52"/>
    <mergeCell ref="A54:E54"/>
    <mergeCell ref="A56:E56"/>
    <mergeCell ref="A58:E58"/>
    <mergeCell ref="A60:E60"/>
    <mergeCell ref="A1:C1"/>
    <mergeCell ref="J5:K5"/>
    <mergeCell ref="L5:M5"/>
    <mergeCell ref="A2:B2"/>
    <mergeCell ref="A3:B3"/>
    <mergeCell ref="A4:B4"/>
    <mergeCell ref="F5:G5"/>
    <mergeCell ref="H5:I5"/>
  </mergeCells>
  <printOptions horizontalCentered="1" verticalCentered="1" gridLines="1"/>
  <pageMargins left="0.25" right="0.25" top="0.75" bottom="0.75" header="0.3" footer="0.3"/>
  <pageSetup paperSize="9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AJ1002"/>
  <sheetViews>
    <sheetView zoomScale="85" zoomScaleNormal="85" workbookViewId="0">
      <pane xSplit="3" topLeftCell="E1" activePane="topRight" state="frozen"/>
      <selection pane="topRight" activeCell="E1" sqref="E1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6" width="10.7109375" customWidth="1"/>
  </cols>
  <sheetData>
    <row r="1" spans="1:36" ht="30" customHeight="1" x14ac:dyDescent="0.25">
      <c r="A1" s="142" t="s">
        <v>111</v>
      </c>
      <c r="B1" s="142"/>
      <c r="C1" s="14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6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6" x14ac:dyDescent="0.25">
      <c r="A3" s="123" t="s">
        <v>1</v>
      </c>
      <c r="B3" s="124"/>
      <c r="C3" s="5">
        <f>RESUMEN!D11</f>
        <v>9056250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6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6" x14ac:dyDescent="0.25">
      <c r="A5" s="6"/>
      <c r="B5" s="6"/>
      <c r="C5" s="6"/>
      <c r="D5" s="6"/>
      <c r="E5" s="6"/>
      <c r="F5" s="121" t="s">
        <v>39</v>
      </c>
      <c r="G5" s="122"/>
      <c r="H5" s="121" t="s">
        <v>40</v>
      </c>
      <c r="I5" s="122"/>
      <c r="J5" s="121" t="s">
        <v>41</v>
      </c>
      <c r="K5" s="122"/>
      <c r="L5" s="121" t="s">
        <v>42</v>
      </c>
      <c r="M5" s="122"/>
      <c r="N5" s="121" t="s">
        <v>43</v>
      </c>
      <c r="O5" s="122"/>
      <c r="P5" s="121" t="s">
        <v>44</v>
      </c>
      <c r="Q5" s="122"/>
      <c r="R5" s="121" t="s">
        <v>45</v>
      </c>
      <c r="S5" s="122"/>
      <c r="T5" s="121" t="s">
        <v>46</v>
      </c>
      <c r="U5" s="122"/>
      <c r="V5" s="121" t="s">
        <v>47</v>
      </c>
      <c r="W5" s="122"/>
      <c r="X5" s="121" t="s">
        <v>48</v>
      </c>
      <c r="Y5" s="122"/>
      <c r="Z5" s="121" t="s">
        <v>49</v>
      </c>
      <c r="AA5" s="122"/>
      <c r="AB5" s="121" t="s">
        <v>38</v>
      </c>
      <c r="AC5" s="122"/>
      <c r="AD5" s="121" t="s">
        <v>39</v>
      </c>
      <c r="AE5" s="122"/>
      <c r="AF5" s="121" t="s">
        <v>40</v>
      </c>
      <c r="AG5" s="122"/>
    </row>
    <row r="6" spans="1:36" ht="16.5" thickBot="1" x14ac:dyDescent="0.3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6" ht="16.5" thickBot="1" x14ac:dyDescent="0.3">
      <c r="A7" s="7">
        <v>1</v>
      </c>
      <c r="B7" s="7" t="s">
        <v>52</v>
      </c>
      <c r="C7" s="8">
        <f>SUM(C8:C12)</f>
        <v>0.25</v>
      </c>
      <c r="D7" s="56">
        <f>C7*C3</f>
        <v>2264062.5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6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0.05</v>
      </c>
      <c r="F8" s="98">
        <v>2.5000000000000001E-2</v>
      </c>
      <c r="G8" s="15"/>
      <c r="H8" s="14"/>
      <c r="I8" s="16"/>
      <c r="J8" s="16"/>
      <c r="K8" s="17"/>
      <c r="L8" s="16"/>
      <c r="M8" s="17"/>
      <c r="N8" s="101">
        <v>2.5000000000000001E-2</v>
      </c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  <c r="AJ8" s="57" t="s">
        <v>54</v>
      </c>
    </row>
    <row r="9" spans="1:36" x14ac:dyDescent="0.25">
      <c r="A9" s="11">
        <v>2</v>
      </c>
      <c r="B9" s="11" t="s">
        <v>55</v>
      </c>
      <c r="C9" s="12">
        <v>0.05</v>
      </c>
      <c r="D9" s="12"/>
      <c r="E9" s="103">
        <f t="shared" ref="E9:E12" si="0">SUM(F9:AG9)</f>
        <v>0.05</v>
      </c>
      <c r="F9" s="20"/>
      <c r="G9" s="99">
        <v>2.5000000000000001E-2</v>
      </c>
      <c r="H9" s="20"/>
      <c r="I9" s="21"/>
      <c r="J9" s="21"/>
      <c r="K9" s="17"/>
      <c r="L9" s="21"/>
      <c r="M9" s="17"/>
      <c r="N9" s="96">
        <v>2.5000000000000001E-2</v>
      </c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  <c r="AJ9" s="58" t="s">
        <v>56</v>
      </c>
    </row>
    <row r="10" spans="1:36" x14ac:dyDescent="0.25">
      <c r="A10" s="11">
        <v>3</v>
      </c>
      <c r="B10" s="11" t="s">
        <v>57</v>
      </c>
      <c r="C10" s="12">
        <v>0.05</v>
      </c>
      <c r="D10" s="12"/>
      <c r="E10" s="103">
        <f t="shared" si="0"/>
        <v>0.05</v>
      </c>
      <c r="F10" s="20"/>
      <c r="G10" s="15"/>
      <c r="H10" s="100">
        <v>2.5000000000000001E-2</v>
      </c>
      <c r="I10" s="20"/>
      <c r="J10" s="21"/>
      <c r="K10" s="17"/>
      <c r="L10" s="21"/>
      <c r="M10" s="17"/>
      <c r="N10" s="21"/>
      <c r="O10" s="97">
        <v>2.5000000000000001E-2</v>
      </c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J10" s="57" t="s">
        <v>58</v>
      </c>
    </row>
    <row r="11" spans="1:36" x14ac:dyDescent="0.25">
      <c r="A11" s="11">
        <v>4</v>
      </c>
      <c r="B11" s="11" t="s">
        <v>59</v>
      </c>
      <c r="C11" s="12">
        <v>0.05</v>
      </c>
      <c r="D11" s="12"/>
      <c r="E11" s="103">
        <f t="shared" si="0"/>
        <v>0.05</v>
      </c>
      <c r="F11" s="20"/>
      <c r="G11" s="15"/>
      <c r="H11" s="20"/>
      <c r="I11" s="100">
        <v>2.5000000000000001E-2</v>
      </c>
      <c r="J11" s="21"/>
      <c r="K11" s="17"/>
      <c r="L11" s="21"/>
      <c r="M11" s="17"/>
      <c r="N11" s="21"/>
      <c r="O11" s="97">
        <v>2.5000000000000001E-2</v>
      </c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J11" s="58" t="s">
        <v>60</v>
      </c>
    </row>
    <row r="12" spans="1:36" x14ac:dyDescent="0.25">
      <c r="A12" s="11">
        <v>5</v>
      </c>
      <c r="B12" s="11" t="s">
        <v>61</v>
      </c>
      <c r="C12" s="12">
        <v>0.05</v>
      </c>
      <c r="D12" s="12"/>
      <c r="E12" s="103">
        <f t="shared" si="0"/>
        <v>0.05</v>
      </c>
      <c r="F12" s="20"/>
      <c r="G12" s="15"/>
      <c r="H12" s="20"/>
      <c r="I12" s="20"/>
      <c r="J12" s="92">
        <v>2.5000000000000001E-2</v>
      </c>
      <c r="K12" s="17"/>
      <c r="L12" s="21"/>
      <c r="M12" s="17"/>
      <c r="N12" s="21"/>
      <c r="O12" s="97">
        <v>2.5000000000000001E-2</v>
      </c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J12" s="57" t="s">
        <v>62</v>
      </c>
    </row>
    <row r="13" spans="1:36" x14ac:dyDescent="0.25">
      <c r="C13" s="22"/>
      <c r="D13" s="22"/>
      <c r="E13" s="1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J13" s="58" t="s">
        <v>63</v>
      </c>
    </row>
    <row r="14" spans="1:36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2716875</v>
      </c>
      <c r="E14" s="2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J14" s="57" t="s">
        <v>65</v>
      </c>
    </row>
    <row r="15" spans="1:36" x14ac:dyDescent="0.25">
      <c r="A15" s="11">
        <v>1</v>
      </c>
      <c r="B15" s="11" t="s">
        <v>53</v>
      </c>
      <c r="C15" s="12">
        <v>0.1</v>
      </c>
      <c r="D15" s="12"/>
      <c r="E15" s="103">
        <f t="shared" ref="E15:E19" si="1">SUM(F15:AG15)</f>
        <v>0.1</v>
      </c>
      <c r="F15" s="92">
        <v>0.05</v>
      </c>
      <c r="G15" s="15"/>
      <c r="H15" s="20"/>
      <c r="I15" s="21"/>
      <c r="J15" s="21"/>
      <c r="K15" s="15"/>
      <c r="L15" s="21"/>
      <c r="M15" s="17"/>
      <c r="N15" s="96">
        <v>0.05</v>
      </c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J15" s="59" t="s">
        <v>66</v>
      </c>
    </row>
    <row r="16" spans="1:36" x14ac:dyDescent="0.25">
      <c r="A16" s="11">
        <v>2</v>
      </c>
      <c r="B16" s="11" t="s">
        <v>55</v>
      </c>
      <c r="C16" s="12">
        <v>0.05</v>
      </c>
      <c r="D16" s="12"/>
      <c r="E16" s="103">
        <f t="shared" si="1"/>
        <v>0.05</v>
      </c>
      <c r="F16" s="21"/>
      <c r="G16" s="99">
        <v>2.5000000000000001E-2</v>
      </c>
      <c r="H16" s="21"/>
      <c r="I16" s="20"/>
      <c r="J16" s="21"/>
      <c r="K16" s="17"/>
      <c r="L16" s="21"/>
      <c r="M16" s="15"/>
      <c r="N16" s="96">
        <v>2.5000000000000001E-2</v>
      </c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J16" s="58" t="s">
        <v>67</v>
      </c>
    </row>
    <row r="17" spans="1:36" x14ac:dyDescent="0.25">
      <c r="A17" s="11">
        <v>3</v>
      </c>
      <c r="B17" s="11" t="s">
        <v>57</v>
      </c>
      <c r="C17" s="12">
        <v>0.05</v>
      </c>
      <c r="D17" s="12"/>
      <c r="E17" s="103">
        <f t="shared" si="1"/>
        <v>0.05</v>
      </c>
      <c r="F17" s="21"/>
      <c r="G17" s="17"/>
      <c r="H17" s="92">
        <v>2.5000000000000001E-2</v>
      </c>
      <c r="I17" s="20"/>
      <c r="J17" s="20"/>
      <c r="K17" s="17"/>
      <c r="L17" s="21"/>
      <c r="M17" s="17"/>
      <c r="N17" s="21"/>
      <c r="O17" s="97">
        <v>2.5000000000000001E-2</v>
      </c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J17" s="58" t="s">
        <v>68</v>
      </c>
    </row>
    <row r="18" spans="1:36" x14ac:dyDescent="0.25">
      <c r="A18" s="11">
        <v>4</v>
      </c>
      <c r="B18" s="11" t="s">
        <v>69</v>
      </c>
      <c r="C18" s="12">
        <v>0.05</v>
      </c>
      <c r="D18" s="12"/>
      <c r="E18" s="103">
        <f t="shared" si="1"/>
        <v>0.05</v>
      </c>
      <c r="F18" s="21"/>
      <c r="G18" s="17"/>
      <c r="H18" s="21"/>
      <c r="I18" s="92">
        <v>2.5000000000000001E-2</v>
      </c>
      <c r="J18" s="21"/>
      <c r="K18" s="17"/>
      <c r="L18" s="21"/>
      <c r="M18" s="15"/>
      <c r="N18" s="21"/>
      <c r="O18" s="97">
        <v>2.5000000000000001E-2</v>
      </c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J18" s="58" t="s">
        <v>70</v>
      </c>
    </row>
    <row r="19" spans="1:36" x14ac:dyDescent="0.25">
      <c r="A19" s="11">
        <v>5</v>
      </c>
      <c r="B19" s="11" t="s">
        <v>71</v>
      </c>
      <c r="C19" s="12">
        <v>0.05</v>
      </c>
      <c r="D19" s="12"/>
      <c r="E19" s="103">
        <f t="shared" si="1"/>
        <v>0.05</v>
      </c>
      <c r="F19" s="21"/>
      <c r="G19" s="17"/>
      <c r="H19" s="21"/>
      <c r="I19" s="21"/>
      <c r="J19" s="92">
        <v>2.5000000000000001E-2</v>
      </c>
      <c r="K19" s="15"/>
      <c r="L19" s="21"/>
      <c r="M19" s="17"/>
      <c r="N19" s="21"/>
      <c r="O19" s="94">
        <v>2.5000000000000001E-2</v>
      </c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J19" s="58" t="s">
        <v>72</v>
      </c>
    </row>
    <row r="20" spans="1:36" x14ac:dyDescent="0.25">
      <c r="A20" s="11"/>
      <c r="B20" s="11"/>
      <c r="C20" s="12"/>
      <c r="D20" s="12"/>
      <c r="E20" s="1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J20" s="60"/>
    </row>
    <row r="21" spans="1:36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905625</v>
      </c>
      <c r="E21" s="2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J21" s="60"/>
    </row>
    <row r="22" spans="1:36" x14ac:dyDescent="0.25">
      <c r="A22" s="11">
        <v>1</v>
      </c>
      <c r="B22" s="11" t="s">
        <v>53</v>
      </c>
      <c r="C22" s="12">
        <v>0.02</v>
      </c>
      <c r="D22" s="12"/>
      <c r="E22" s="103">
        <f t="shared" ref="E22:E26" si="2">SUM(F22:AG22)</f>
        <v>0.02</v>
      </c>
      <c r="F22" s="100">
        <v>0.01</v>
      </c>
      <c r="G22" s="15"/>
      <c r="H22" s="20"/>
      <c r="I22" s="21"/>
      <c r="J22" s="21"/>
      <c r="K22" s="15"/>
      <c r="L22" s="21"/>
      <c r="M22" s="17"/>
      <c r="N22" s="21"/>
      <c r="O22" s="17"/>
      <c r="P22" s="96">
        <v>0.01</v>
      </c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J22" s="60"/>
    </row>
    <row r="23" spans="1:36" x14ac:dyDescent="0.25">
      <c r="A23" s="11">
        <v>2</v>
      </c>
      <c r="B23" s="11" t="s">
        <v>55</v>
      </c>
      <c r="C23" s="12">
        <v>0.02</v>
      </c>
      <c r="D23" s="12"/>
      <c r="E23" s="103">
        <f t="shared" si="2"/>
        <v>0.02</v>
      </c>
      <c r="F23" s="21"/>
      <c r="G23" s="99">
        <v>0.01</v>
      </c>
      <c r="H23" s="21"/>
      <c r="I23" s="20"/>
      <c r="J23" s="21"/>
      <c r="K23" s="17"/>
      <c r="L23" s="21"/>
      <c r="M23" s="15"/>
      <c r="N23" s="21"/>
      <c r="O23" s="17"/>
      <c r="P23" s="96">
        <v>0.01</v>
      </c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J23" s="60"/>
    </row>
    <row r="24" spans="1:36" x14ac:dyDescent="0.25">
      <c r="A24" s="11">
        <v>3</v>
      </c>
      <c r="B24" s="11" t="s">
        <v>57</v>
      </c>
      <c r="C24" s="12">
        <v>0.02</v>
      </c>
      <c r="D24" s="12"/>
      <c r="E24" s="103">
        <f t="shared" si="2"/>
        <v>0.02</v>
      </c>
      <c r="F24" s="21"/>
      <c r="G24" s="17"/>
      <c r="H24" s="92">
        <v>0.01</v>
      </c>
      <c r="I24" s="20"/>
      <c r="J24" s="20"/>
      <c r="K24" s="17"/>
      <c r="L24" s="21"/>
      <c r="M24" s="17"/>
      <c r="N24" s="21"/>
      <c r="O24" s="17"/>
      <c r="P24" s="21"/>
      <c r="Q24" s="17"/>
      <c r="R24" s="20"/>
      <c r="S24" s="94">
        <v>0.01</v>
      </c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J24" s="60"/>
    </row>
    <row r="25" spans="1:36" x14ac:dyDescent="0.25">
      <c r="A25" s="11">
        <v>4</v>
      </c>
      <c r="B25" s="11" t="s">
        <v>69</v>
      </c>
      <c r="C25" s="12">
        <v>0.02</v>
      </c>
      <c r="D25" s="12"/>
      <c r="E25" s="103">
        <f t="shared" si="2"/>
        <v>0.02</v>
      </c>
      <c r="F25" s="21"/>
      <c r="G25" s="17"/>
      <c r="H25" s="21"/>
      <c r="I25" s="92">
        <v>0.01</v>
      </c>
      <c r="J25" s="21"/>
      <c r="K25" s="17"/>
      <c r="L25" s="21"/>
      <c r="M25" s="15"/>
      <c r="N25" s="21"/>
      <c r="O25" s="17"/>
      <c r="P25" s="21"/>
      <c r="Q25" s="17"/>
      <c r="R25" s="21"/>
      <c r="S25" s="94">
        <v>0.01</v>
      </c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J25" s="60"/>
    </row>
    <row r="26" spans="1:36" x14ac:dyDescent="0.25">
      <c r="A26" s="11">
        <v>5</v>
      </c>
      <c r="B26" s="11" t="s">
        <v>71</v>
      </c>
      <c r="C26" s="12">
        <v>0.02</v>
      </c>
      <c r="D26" s="12"/>
      <c r="E26" s="103">
        <f t="shared" si="2"/>
        <v>0.02</v>
      </c>
      <c r="F26" s="21"/>
      <c r="G26" s="17"/>
      <c r="H26" s="21"/>
      <c r="I26" s="21"/>
      <c r="J26" s="92">
        <v>0.01</v>
      </c>
      <c r="K26" s="15"/>
      <c r="L26" s="21"/>
      <c r="M26" s="17"/>
      <c r="N26" s="21"/>
      <c r="O26" s="15"/>
      <c r="P26" s="21"/>
      <c r="Q26" s="17"/>
      <c r="R26" s="21"/>
      <c r="S26" s="94">
        <v>0.01</v>
      </c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J26" s="60"/>
    </row>
    <row r="27" spans="1:36" ht="15.75" customHeight="1" x14ac:dyDescent="0.25">
      <c r="A27" s="11"/>
      <c r="B27" s="11"/>
      <c r="C27" s="12"/>
      <c r="D27" s="12"/>
      <c r="E27" s="1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6" ht="15.75" customHeight="1" x14ac:dyDescent="0.25">
      <c r="A28" s="7">
        <v>4</v>
      </c>
      <c r="B28" s="7" t="s">
        <v>51</v>
      </c>
      <c r="C28" s="8">
        <f>SUM(C29:C33)</f>
        <v>0.18</v>
      </c>
      <c r="D28" s="56">
        <f>C28*C3</f>
        <v>1630125</v>
      </c>
      <c r="E28" s="2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6" ht="15.75" customHeight="1" x14ac:dyDescent="0.25">
      <c r="A29" s="11">
        <v>1</v>
      </c>
      <c r="B29" s="11" t="s">
        <v>53</v>
      </c>
      <c r="C29" s="12">
        <v>0.04</v>
      </c>
      <c r="D29" s="12"/>
      <c r="E29" s="103">
        <f t="shared" ref="E29:E33" si="3">SUM(F29:AG29)</f>
        <v>0.04</v>
      </c>
      <c r="F29" s="21"/>
      <c r="G29" s="17"/>
      <c r="H29" s="21"/>
      <c r="I29" s="21"/>
      <c r="J29" s="21"/>
      <c r="K29" s="17"/>
      <c r="L29" s="21"/>
      <c r="M29" s="15"/>
      <c r="N29" s="21"/>
      <c r="O29" s="17"/>
      <c r="P29" s="21"/>
      <c r="Q29" s="17"/>
      <c r="R29" s="21"/>
      <c r="S29" s="17"/>
      <c r="T29" s="92">
        <v>0.02</v>
      </c>
      <c r="U29" s="15"/>
      <c r="V29" s="21"/>
      <c r="W29" s="17"/>
      <c r="X29" s="19"/>
      <c r="Y29" s="19"/>
      <c r="Z29" s="19"/>
      <c r="AA29" s="19"/>
      <c r="AB29" s="105">
        <v>0.02</v>
      </c>
      <c r="AC29" s="19"/>
      <c r="AD29" s="19"/>
      <c r="AE29" s="19"/>
      <c r="AF29" s="19"/>
      <c r="AG29" s="19"/>
    </row>
    <row r="30" spans="1:36" ht="15.75" customHeight="1" x14ac:dyDescent="0.25">
      <c r="A30" s="11">
        <v>2</v>
      </c>
      <c r="B30" s="11" t="s">
        <v>55</v>
      </c>
      <c r="C30" s="12">
        <v>0.04</v>
      </c>
      <c r="D30" s="12"/>
      <c r="E30" s="103">
        <f t="shared" si="3"/>
        <v>0.04</v>
      </c>
      <c r="F30" s="21"/>
      <c r="G30" s="17"/>
      <c r="H30" s="21"/>
      <c r="I30" s="21"/>
      <c r="J30" s="21"/>
      <c r="K30" s="17"/>
      <c r="L30" s="21"/>
      <c r="M30" s="17"/>
      <c r="N30" s="21"/>
      <c r="O30" s="15"/>
      <c r="P30" s="20"/>
      <c r="Q30" s="17"/>
      <c r="R30" s="20"/>
      <c r="S30" s="15"/>
      <c r="T30" s="92">
        <v>0.02</v>
      </c>
      <c r="U30" s="15"/>
      <c r="V30" s="20"/>
      <c r="W30" s="17"/>
      <c r="X30" s="19"/>
      <c r="Y30" s="19"/>
      <c r="Z30" s="19"/>
      <c r="AA30" s="19"/>
      <c r="AB30" s="105">
        <v>0.02</v>
      </c>
      <c r="AC30" s="19"/>
      <c r="AD30" s="19"/>
      <c r="AE30" s="19"/>
      <c r="AF30" s="19"/>
      <c r="AG30" s="19"/>
    </row>
    <row r="31" spans="1:36" ht="15.75" customHeight="1" x14ac:dyDescent="0.25">
      <c r="A31" s="11">
        <v>3</v>
      </c>
      <c r="B31" s="11" t="s">
        <v>57</v>
      </c>
      <c r="C31" s="12">
        <v>0.04</v>
      </c>
      <c r="D31" s="12"/>
      <c r="E31" s="103">
        <f t="shared" si="3"/>
        <v>0.04</v>
      </c>
      <c r="F31" s="21"/>
      <c r="G31" s="17"/>
      <c r="H31" s="21"/>
      <c r="I31" s="21"/>
      <c r="J31" s="21"/>
      <c r="K31" s="17"/>
      <c r="L31" s="21"/>
      <c r="M31" s="17"/>
      <c r="N31" s="21"/>
      <c r="O31" s="15"/>
      <c r="P31" s="20"/>
      <c r="Q31" s="17"/>
      <c r="R31" s="20"/>
      <c r="S31" s="17"/>
      <c r="T31" s="92">
        <v>0.02</v>
      </c>
      <c r="U31" s="15"/>
      <c r="V31" s="20"/>
      <c r="W31" s="17"/>
      <c r="X31" s="19"/>
      <c r="Y31" s="19"/>
      <c r="Z31" s="19"/>
      <c r="AA31" s="19"/>
      <c r="AB31" s="105">
        <v>0.02</v>
      </c>
      <c r="AC31" s="19"/>
      <c r="AD31" s="19"/>
      <c r="AE31" s="19"/>
      <c r="AF31" s="19"/>
      <c r="AG31" s="19"/>
    </row>
    <row r="32" spans="1:36" ht="15.75" customHeight="1" x14ac:dyDescent="0.25">
      <c r="A32" s="11">
        <v>4</v>
      </c>
      <c r="B32" s="11" t="s">
        <v>69</v>
      </c>
      <c r="C32" s="12">
        <v>0.03</v>
      </c>
      <c r="D32" s="12"/>
      <c r="E32" s="103">
        <f t="shared" si="3"/>
        <v>0.03</v>
      </c>
      <c r="F32" s="21"/>
      <c r="G32" s="17"/>
      <c r="H32" s="21"/>
      <c r="I32" s="21"/>
      <c r="J32" s="21"/>
      <c r="K32" s="17"/>
      <c r="L32" s="21"/>
      <c r="M32" s="17"/>
      <c r="N32" s="21"/>
      <c r="O32" s="17"/>
      <c r="P32" s="20"/>
      <c r="Q32" s="17"/>
      <c r="R32" s="20"/>
      <c r="S32" s="17"/>
      <c r="T32" s="92">
        <v>0.01</v>
      </c>
      <c r="U32" s="17"/>
      <c r="V32" s="20"/>
      <c r="W32" s="15"/>
      <c r="X32" s="19"/>
      <c r="Y32" s="19"/>
      <c r="Z32" s="19"/>
      <c r="AA32" s="19"/>
      <c r="AB32" s="105">
        <v>0.02</v>
      </c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0.03</v>
      </c>
      <c r="D33" s="12"/>
      <c r="E33" s="103">
        <f t="shared" si="3"/>
        <v>0.03</v>
      </c>
      <c r="F33" s="21"/>
      <c r="G33" s="17"/>
      <c r="H33" s="21"/>
      <c r="I33" s="21"/>
      <c r="J33" s="21"/>
      <c r="K33" s="17"/>
      <c r="L33" s="21"/>
      <c r="M33" s="17"/>
      <c r="N33" s="21"/>
      <c r="O33" s="17"/>
      <c r="P33" s="21"/>
      <c r="Q33" s="17"/>
      <c r="R33" s="21"/>
      <c r="S33" s="17"/>
      <c r="T33" s="92">
        <v>1.4999999999999999E-2</v>
      </c>
      <c r="U33" s="17"/>
      <c r="V33" s="20"/>
      <c r="W33" s="15"/>
      <c r="X33" s="29"/>
      <c r="Y33" s="29"/>
      <c r="Z33" s="29"/>
      <c r="AA33" s="29"/>
      <c r="AB33" s="105">
        <v>1.4999999999999999E-2</v>
      </c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724500</v>
      </c>
      <c r="E35" s="2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>SUM(F36:AG36)</f>
        <v>0.08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99">
        <v>0.04</v>
      </c>
      <c r="R36" s="96">
        <v>0.04</v>
      </c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x14ac:dyDescent="0.25">
      <c r="A38" s="7">
        <v>6</v>
      </c>
      <c r="B38" s="7" t="s">
        <v>31</v>
      </c>
      <c r="C38" s="8">
        <f>SUM(C39:C43)</f>
        <v>0.05</v>
      </c>
      <c r="D38" s="56">
        <f>C38*C3</f>
        <v>452812.5</v>
      </c>
      <c r="E38" s="2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0.01</v>
      </c>
      <c r="D39" s="12"/>
      <c r="E39" s="103">
        <f t="shared" ref="E39:E43" si="4">SUM(F39:AG39)</f>
        <v>0.01</v>
      </c>
      <c r="F39" s="20"/>
      <c r="G39" s="17"/>
      <c r="H39" s="21"/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97">
        <v>5.0000000000000001E-3</v>
      </c>
      <c r="T39" s="21"/>
      <c r="U39" s="17"/>
      <c r="V39" s="21"/>
      <c r="W39" s="30"/>
      <c r="X39" s="29"/>
      <c r="Y39" s="29"/>
      <c r="Z39" s="29"/>
      <c r="AA39" s="29"/>
      <c r="AB39" s="105">
        <v>5.0000000000000001E-3</v>
      </c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0.01</v>
      </c>
      <c r="D40" s="12"/>
      <c r="E40" s="103">
        <f t="shared" si="4"/>
        <v>0.01</v>
      </c>
      <c r="F40" s="21"/>
      <c r="G40" s="15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97">
        <v>5.0000000000000001E-3</v>
      </c>
      <c r="T40" s="21"/>
      <c r="U40" s="17"/>
      <c r="V40" s="21"/>
      <c r="W40" s="30"/>
      <c r="X40" s="29"/>
      <c r="Y40" s="29"/>
      <c r="Z40" s="29"/>
      <c r="AA40" s="29"/>
      <c r="AB40" s="105">
        <v>5.0000000000000001E-3</v>
      </c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0.01</v>
      </c>
      <c r="D41" s="12"/>
      <c r="E41" s="103">
        <f t="shared" si="4"/>
        <v>0.01</v>
      </c>
      <c r="F41" s="21"/>
      <c r="G41" s="17"/>
      <c r="H41" s="20"/>
      <c r="I41" s="21"/>
      <c r="J41" s="21"/>
      <c r="K41" s="17"/>
      <c r="L41" s="21"/>
      <c r="M41" s="17"/>
      <c r="N41" s="21"/>
      <c r="O41" s="17"/>
      <c r="P41" s="21"/>
      <c r="Q41" s="17"/>
      <c r="R41" s="21"/>
      <c r="S41" s="97">
        <v>5.0000000000000001E-3</v>
      </c>
      <c r="T41" s="21"/>
      <c r="U41" s="17"/>
      <c r="V41" s="21"/>
      <c r="W41" s="30"/>
      <c r="X41" s="29"/>
      <c r="Y41" s="29"/>
      <c r="Z41" s="29"/>
      <c r="AA41" s="29"/>
      <c r="AB41" s="105">
        <v>5.0000000000000001E-3</v>
      </c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0.01</v>
      </c>
      <c r="D42" s="12"/>
      <c r="E42" s="103">
        <f t="shared" si="4"/>
        <v>0.01</v>
      </c>
      <c r="F42" s="21"/>
      <c r="G42" s="17"/>
      <c r="H42" s="21"/>
      <c r="I42" s="20"/>
      <c r="J42" s="21"/>
      <c r="K42" s="17"/>
      <c r="L42" s="21"/>
      <c r="M42" s="17"/>
      <c r="N42" s="21"/>
      <c r="O42" s="17"/>
      <c r="P42" s="21"/>
      <c r="Q42" s="17"/>
      <c r="R42" s="21"/>
      <c r="S42" s="97">
        <v>5.0000000000000001E-3</v>
      </c>
      <c r="T42" s="21"/>
      <c r="U42" s="17"/>
      <c r="V42" s="21"/>
      <c r="W42" s="30"/>
      <c r="X42" s="29"/>
      <c r="Y42" s="29"/>
      <c r="Z42" s="29"/>
      <c r="AA42" s="29"/>
      <c r="AB42" s="105">
        <v>5.0000000000000001E-3</v>
      </c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0.01</v>
      </c>
      <c r="D43" s="12"/>
      <c r="E43" s="103">
        <f t="shared" si="4"/>
        <v>0.01</v>
      </c>
      <c r="F43" s="21"/>
      <c r="G43" s="17"/>
      <c r="H43" s="21"/>
      <c r="I43" s="21"/>
      <c r="J43" s="20"/>
      <c r="K43" s="17"/>
      <c r="L43" s="21"/>
      <c r="M43" s="17"/>
      <c r="N43" s="21"/>
      <c r="O43" s="17"/>
      <c r="P43" s="21"/>
      <c r="Q43" s="17"/>
      <c r="R43" s="21"/>
      <c r="S43" s="97">
        <v>5.0000000000000001E-3</v>
      </c>
      <c r="T43" s="21"/>
      <c r="U43" s="17"/>
      <c r="V43" s="21"/>
      <c r="W43" s="30"/>
      <c r="X43" s="29"/>
      <c r="Y43" s="29"/>
      <c r="Z43" s="29"/>
      <c r="AA43" s="29"/>
      <c r="AB43" s="105">
        <v>5.0000000000000001E-3</v>
      </c>
      <c r="AC43" s="29"/>
      <c r="AD43" s="29"/>
      <c r="AE43" s="29"/>
      <c r="AF43" s="29"/>
      <c r="AG43" s="29"/>
    </row>
    <row r="44" spans="1:33" ht="15.75" customHeight="1" x14ac:dyDescent="0.25">
      <c r="C44" s="22"/>
      <c r="D44" s="22"/>
      <c r="E44" s="13"/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0.04</v>
      </c>
      <c r="D45" s="56">
        <f>C45*C3</f>
        <v>362250</v>
      </c>
      <c r="E45" s="2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0.01</v>
      </c>
      <c r="D46" s="12"/>
      <c r="E46" s="103">
        <f t="shared" ref="E46:E48" si="5">SUM(F46:AG46)</f>
        <v>0.01</v>
      </c>
      <c r="F46" s="21"/>
      <c r="G46" s="17"/>
      <c r="H46" s="21"/>
      <c r="I46" s="21"/>
      <c r="J46" s="20"/>
      <c r="K46" s="17"/>
      <c r="L46" s="21"/>
      <c r="M46" s="17"/>
      <c r="N46" s="21"/>
      <c r="O46" s="97">
        <v>0.01</v>
      </c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0.01</v>
      </c>
      <c r="D47" s="12"/>
      <c r="E47" s="103">
        <f t="shared" si="5"/>
        <v>0.01</v>
      </c>
      <c r="F47" s="21"/>
      <c r="G47" s="17"/>
      <c r="H47" s="21"/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94">
        <v>0.01</v>
      </c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0.02</v>
      </c>
      <c r="D48" s="12"/>
      <c r="E48" s="103">
        <f t="shared" si="5"/>
        <v>0.02</v>
      </c>
      <c r="F48" s="21"/>
      <c r="G48" s="17"/>
      <c r="H48" s="21"/>
      <c r="I48" s="21"/>
      <c r="J48" s="21"/>
      <c r="K48" s="17"/>
      <c r="L48" s="21"/>
      <c r="M48" s="17"/>
      <c r="N48" s="21"/>
      <c r="O48" s="17"/>
      <c r="P48" s="21"/>
      <c r="Q48" s="17"/>
      <c r="R48" s="21"/>
      <c r="S48" s="97">
        <v>0.02</v>
      </c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5.75" customHeight="1" thickBot="1" x14ac:dyDescent="0.3">
      <c r="A49" s="11"/>
      <c r="B49" s="11"/>
      <c r="C49" s="12"/>
      <c r="D49" s="12"/>
      <c r="E49" s="1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5.75" customHeight="1" thickBot="1" x14ac:dyDescent="0.35">
      <c r="A50" s="32"/>
      <c r="B50" s="33" t="s">
        <v>32</v>
      </c>
      <c r="C50" s="34">
        <f>SUM(C7+C14+C21+C28+C35+C38+C45)</f>
        <v>1</v>
      </c>
      <c r="D50" s="34"/>
      <c r="E50" s="63">
        <f>SUM(F50:AG50)</f>
        <v>1</v>
      </c>
      <c r="F50" s="62">
        <f t="shared" ref="F50:AG50" si="6">SUM(F8:F49)</f>
        <v>8.5000000000000006E-2</v>
      </c>
      <c r="G50" s="62">
        <f t="shared" si="6"/>
        <v>6.0000000000000005E-2</v>
      </c>
      <c r="H50" s="62">
        <f t="shared" si="6"/>
        <v>6.0000000000000005E-2</v>
      </c>
      <c r="I50" s="62">
        <f t="shared" si="6"/>
        <v>6.0000000000000005E-2</v>
      </c>
      <c r="J50" s="62">
        <f t="shared" si="6"/>
        <v>6.0000000000000005E-2</v>
      </c>
      <c r="K50" s="62">
        <f t="shared" si="6"/>
        <v>0</v>
      </c>
      <c r="L50" s="62">
        <f t="shared" si="6"/>
        <v>0</v>
      </c>
      <c r="M50" s="62">
        <f t="shared" si="6"/>
        <v>0</v>
      </c>
      <c r="N50" s="62">
        <f t="shared" si="6"/>
        <v>0.125</v>
      </c>
      <c r="O50" s="62">
        <f t="shared" si="6"/>
        <v>0.16</v>
      </c>
      <c r="P50" s="62">
        <f t="shared" si="6"/>
        <v>0.02</v>
      </c>
      <c r="Q50" s="62">
        <f t="shared" si="6"/>
        <v>0.04</v>
      </c>
      <c r="R50" s="62">
        <f t="shared" si="6"/>
        <v>0.04</v>
      </c>
      <c r="S50" s="62">
        <f t="shared" si="6"/>
        <v>8.4999999999999992E-2</v>
      </c>
      <c r="T50" s="62">
        <f t="shared" si="6"/>
        <v>8.4999999999999992E-2</v>
      </c>
      <c r="U50" s="62">
        <f t="shared" si="6"/>
        <v>0</v>
      </c>
      <c r="V50" s="62">
        <f t="shared" si="6"/>
        <v>0</v>
      </c>
      <c r="W50" s="62">
        <f t="shared" si="6"/>
        <v>0</v>
      </c>
      <c r="X50" s="62">
        <f t="shared" si="6"/>
        <v>0</v>
      </c>
      <c r="Y50" s="62">
        <f t="shared" si="6"/>
        <v>0</v>
      </c>
      <c r="Z50" s="62">
        <f t="shared" si="6"/>
        <v>0</v>
      </c>
      <c r="AA50" s="62">
        <f t="shared" si="6"/>
        <v>0</v>
      </c>
      <c r="AB50" s="62">
        <f t="shared" si="6"/>
        <v>0.12000000000000002</v>
      </c>
      <c r="AC50" s="62">
        <f t="shared" si="6"/>
        <v>0</v>
      </c>
      <c r="AD50" s="62">
        <f t="shared" si="6"/>
        <v>0</v>
      </c>
      <c r="AE50" s="62">
        <f t="shared" si="6"/>
        <v>0</v>
      </c>
      <c r="AF50" s="62">
        <f t="shared" si="6"/>
        <v>0</v>
      </c>
      <c r="AG50" s="62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31" t="s">
        <v>34</v>
      </c>
      <c r="B54" s="128"/>
      <c r="C54" s="128"/>
      <c r="D54" s="128"/>
      <c r="E54" s="129"/>
      <c r="F54" s="40">
        <f>C3+(C3*F52)</f>
        <v>9056250</v>
      </c>
      <c r="G54" s="40">
        <f t="shared" ref="G54:AG54" si="7">F54+(F54*G52)</f>
        <v>9056250</v>
      </c>
      <c r="H54" s="40">
        <f t="shared" si="7"/>
        <v>9056250</v>
      </c>
      <c r="I54" s="40">
        <f t="shared" si="7"/>
        <v>9056250</v>
      </c>
      <c r="J54" s="40">
        <f t="shared" si="7"/>
        <v>9056250</v>
      </c>
      <c r="K54" s="40">
        <f t="shared" si="7"/>
        <v>9056250</v>
      </c>
      <c r="L54" s="40">
        <f t="shared" si="7"/>
        <v>9056250</v>
      </c>
      <c r="M54" s="40">
        <f t="shared" si="7"/>
        <v>9056250</v>
      </c>
      <c r="N54" s="40">
        <f t="shared" si="7"/>
        <v>9056250</v>
      </c>
      <c r="O54" s="40">
        <f t="shared" si="7"/>
        <v>9056250</v>
      </c>
      <c r="P54" s="40">
        <f t="shared" si="7"/>
        <v>9056250</v>
      </c>
      <c r="Q54" s="40">
        <f t="shared" si="7"/>
        <v>9056250</v>
      </c>
      <c r="R54" s="40">
        <f t="shared" si="7"/>
        <v>9056250</v>
      </c>
      <c r="S54" s="40">
        <f t="shared" si="7"/>
        <v>9056250</v>
      </c>
      <c r="T54" s="40">
        <f t="shared" si="7"/>
        <v>9056250</v>
      </c>
      <c r="U54" s="40">
        <f t="shared" si="7"/>
        <v>9056250</v>
      </c>
      <c r="V54" s="40">
        <f t="shared" si="7"/>
        <v>9056250</v>
      </c>
      <c r="W54" s="40">
        <f t="shared" si="7"/>
        <v>9056250</v>
      </c>
      <c r="X54" s="40">
        <f t="shared" si="7"/>
        <v>9056250</v>
      </c>
      <c r="Y54" s="40">
        <f t="shared" si="7"/>
        <v>9056250</v>
      </c>
      <c r="Z54" s="40">
        <f t="shared" si="7"/>
        <v>9056250</v>
      </c>
      <c r="AA54" s="40">
        <f t="shared" si="7"/>
        <v>9056250</v>
      </c>
      <c r="AB54" s="40">
        <f t="shared" si="7"/>
        <v>9056250</v>
      </c>
      <c r="AC54" s="40">
        <f t="shared" si="7"/>
        <v>9056250</v>
      </c>
      <c r="AD54" s="40">
        <f t="shared" si="7"/>
        <v>9056250</v>
      </c>
      <c r="AE54" s="40">
        <f t="shared" si="7"/>
        <v>9056250</v>
      </c>
      <c r="AF54" s="40">
        <f t="shared" si="7"/>
        <v>9056250</v>
      </c>
      <c r="AG54" s="40">
        <f t="shared" si="7"/>
        <v>9056250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32" t="s">
        <v>35</v>
      </c>
      <c r="B56" s="128"/>
      <c r="C56" s="128"/>
      <c r="D56" s="128"/>
      <c r="E56" s="129"/>
      <c r="F56" s="41">
        <f t="shared" ref="F56:AG56" si="8">F50*F54</f>
        <v>769781.25</v>
      </c>
      <c r="G56" s="41">
        <f t="shared" si="8"/>
        <v>543375</v>
      </c>
      <c r="H56" s="41">
        <f t="shared" si="8"/>
        <v>543375</v>
      </c>
      <c r="I56" s="41">
        <f t="shared" si="8"/>
        <v>543375</v>
      </c>
      <c r="J56" s="41">
        <f t="shared" si="8"/>
        <v>543375</v>
      </c>
      <c r="K56" s="41">
        <f t="shared" si="8"/>
        <v>0</v>
      </c>
      <c r="L56" s="41">
        <f t="shared" si="8"/>
        <v>0</v>
      </c>
      <c r="M56" s="41">
        <f t="shared" si="8"/>
        <v>0</v>
      </c>
      <c r="N56" s="41">
        <f t="shared" si="8"/>
        <v>1132031.25</v>
      </c>
      <c r="O56" s="41">
        <f t="shared" si="8"/>
        <v>1449000</v>
      </c>
      <c r="P56" s="41">
        <f t="shared" si="8"/>
        <v>181125</v>
      </c>
      <c r="Q56" s="41">
        <f t="shared" si="8"/>
        <v>362250</v>
      </c>
      <c r="R56" s="41">
        <f t="shared" si="8"/>
        <v>362250</v>
      </c>
      <c r="S56" s="41">
        <f t="shared" si="8"/>
        <v>769781.24999999988</v>
      </c>
      <c r="T56" s="41">
        <f t="shared" si="8"/>
        <v>769781.24999999988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1086750.0000000002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127" t="s">
        <v>36</v>
      </c>
      <c r="B58" s="128"/>
      <c r="C58" s="128"/>
      <c r="D58" s="128"/>
      <c r="E58" s="129"/>
      <c r="F58" s="42">
        <f>F56-(F56*D4)</f>
        <v>769781.25</v>
      </c>
      <c r="G58" s="43">
        <f>G56-(G56*D4)</f>
        <v>543375</v>
      </c>
      <c r="H58" s="43">
        <f>H56-(H56*D4)</f>
        <v>543375</v>
      </c>
      <c r="I58" s="43">
        <f>I56-(I56*D4)</f>
        <v>543375</v>
      </c>
      <c r="J58" s="43">
        <f>J56-(J56*D4)</f>
        <v>543375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1132031.25</v>
      </c>
      <c r="O58" s="43">
        <f>O56-(O56*D4)</f>
        <v>1449000</v>
      </c>
      <c r="P58" s="43">
        <f>P56-(P56*D4)</f>
        <v>181125</v>
      </c>
      <c r="Q58" s="43">
        <f>Q56-(Q56*D4)</f>
        <v>362250</v>
      </c>
      <c r="R58" s="43">
        <f>R56-(R56*D4)</f>
        <v>362250</v>
      </c>
      <c r="S58" s="43">
        <f>S56-(S56*D4)</f>
        <v>769781.24999999988</v>
      </c>
      <c r="T58" s="43">
        <f>T56-(T56*D4)</f>
        <v>769781.24999999988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1086750.0000000002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130" t="s">
        <v>37</v>
      </c>
      <c r="B60" s="128"/>
      <c r="C60" s="128"/>
      <c r="D60" s="128"/>
      <c r="E60" s="129"/>
      <c r="F60" s="45">
        <f>F54-F58-C4</f>
        <v>8286468.75</v>
      </c>
      <c r="G60" s="45">
        <f t="shared" ref="G60:AG60" si="9">(F60+(F60*G52))-G58</f>
        <v>7743093.75</v>
      </c>
      <c r="H60" s="46">
        <f t="shared" si="9"/>
        <v>7199718.75</v>
      </c>
      <c r="I60" s="46">
        <f t="shared" si="9"/>
        <v>6656343.75</v>
      </c>
      <c r="J60" s="45">
        <f t="shared" si="9"/>
        <v>6112968.75</v>
      </c>
      <c r="K60" s="45">
        <f t="shared" si="9"/>
        <v>6112968.75</v>
      </c>
      <c r="L60" s="45">
        <f t="shared" si="9"/>
        <v>6112968.75</v>
      </c>
      <c r="M60" s="45">
        <f t="shared" si="9"/>
        <v>6112968.75</v>
      </c>
      <c r="N60" s="45">
        <f t="shared" si="9"/>
        <v>4980937.5</v>
      </c>
      <c r="O60" s="45">
        <f t="shared" si="9"/>
        <v>3531937.5</v>
      </c>
      <c r="P60" s="45">
        <f t="shared" si="9"/>
        <v>3350812.5</v>
      </c>
      <c r="Q60" s="45">
        <f t="shared" si="9"/>
        <v>2988562.5</v>
      </c>
      <c r="R60" s="45">
        <f t="shared" si="9"/>
        <v>2626312.5</v>
      </c>
      <c r="S60" s="45">
        <f t="shared" si="9"/>
        <v>1856531.25</v>
      </c>
      <c r="T60" s="45">
        <f t="shared" si="9"/>
        <v>1086750</v>
      </c>
      <c r="U60" s="45">
        <f t="shared" si="9"/>
        <v>1086750</v>
      </c>
      <c r="V60" s="45">
        <f t="shared" si="9"/>
        <v>1086750</v>
      </c>
      <c r="W60" s="45">
        <f t="shared" si="9"/>
        <v>1086750</v>
      </c>
      <c r="X60" s="45">
        <f t="shared" si="9"/>
        <v>1086750</v>
      </c>
      <c r="Y60" s="45">
        <f t="shared" si="9"/>
        <v>1086750</v>
      </c>
      <c r="Z60" s="45">
        <f t="shared" si="9"/>
        <v>1086750</v>
      </c>
      <c r="AA60" s="45">
        <f t="shared" si="9"/>
        <v>1086750</v>
      </c>
      <c r="AB60" s="45">
        <f t="shared" si="9"/>
        <v>0</v>
      </c>
      <c r="AC60" s="45">
        <f t="shared" si="9"/>
        <v>0</v>
      </c>
      <c r="AD60" s="45">
        <f t="shared" si="9"/>
        <v>0</v>
      </c>
      <c r="AE60" s="45">
        <f t="shared" si="9"/>
        <v>0</v>
      </c>
      <c r="AF60" s="45">
        <f t="shared" si="9"/>
        <v>0</v>
      </c>
      <c r="AG60" s="45">
        <f t="shared" si="9"/>
        <v>0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/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7"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J5:K5"/>
    <mergeCell ref="AF6:AG6"/>
    <mergeCell ref="T6:U6"/>
    <mergeCell ref="V6:W6"/>
    <mergeCell ref="X6:Y6"/>
    <mergeCell ref="Z6:AA6"/>
    <mergeCell ref="A56:E56"/>
    <mergeCell ref="P6:Q6"/>
    <mergeCell ref="R6:S6"/>
    <mergeCell ref="F6:G6"/>
    <mergeCell ref="H6:I6"/>
    <mergeCell ref="A1:C1"/>
    <mergeCell ref="A58:E58"/>
    <mergeCell ref="A60:E60"/>
    <mergeCell ref="AB6:AC6"/>
    <mergeCell ref="AD6:AE6"/>
    <mergeCell ref="X5:Y5"/>
    <mergeCell ref="Z5:AA5"/>
    <mergeCell ref="AB5:AC5"/>
    <mergeCell ref="AD5:AE5"/>
    <mergeCell ref="A2:B2"/>
    <mergeCell ref="A3:B3"/>
    <mergeCell ref="A4:B4"/>
    <mergeCell ref="F5:G5"/>
    <mergeCell ref="H5:I5"/>
    <mergeCell ref="A52:E52"/>
    <mergeCell ref="A54:E54"/>
  </mergeCells>
  <printOptions horizontalCentered="1" verticalCentered="1" gridLines="1"/>
  <pageMargins left="0.25" right="0.25" top="0.75" bottom="0.75" header="0" footer="0"/>
  <pageSetup paperSize="8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XFD1002"/>
  <sheetViews>
    <sheetView topLeftCell="A23" zoomScale="85" zoomScaleNormal="85" workbookViewId="0">
      <pane xSplit="3" topLeftCell="D1" activePane="topRight" state="frozen"/>
      <selection pane="topRight" activeCell="F79" sqref="F79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6" width="10.7109375" customWidth="1"/>
  </cols>
  <sheetData>
    <row r="1" spans="1:36" ht="30" customHeight="1" x14ac:dyDescent="0.25">
      <c r="A1" s="1"/>
      <c r="B1" s="102" t="s">
        <v>99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6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6" x14ac:dyDescent="0.25">
      <c r="A3" s="123" t="s">
        <v>1</v>
      </c>
      <c r="B3" s="124"/>
      <c r="C3" s="5">
        <f>RESUMEN!D10</f>
        <v>6210000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6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6" x14ac:dyDescent="0.25">
      <c r="A5" s="6"/>
      <c r="B5" s="6"/>
      <c r="C5" s="6"/>
      <c r="D5" s="6"/>
      <c r="E5" s="6"/>
      <c r="F5" s="121" t="s">
        <v>39</v>
      </c>
      <c r="G5" s="122"/>
      <c r="H5" s="121" t="s">
        <v>40</v>
      </c>
      <c r="I5" s="122"/>
      <c r="J5" s="121" t="s">
        <v>41</v>
      </c>
      <c r="K5" s="122"/>
      <c r="L5" s="121" t="s">
        <v>42</v>
      </c>
      <c r="M5" s="122"/>
      <c r="N5" s="121" t="s">
        <v>43</v>
      </c>
      <c r="O5" s="122"/>
      <c r="P5" s="121" t="s">
        <v>44</v>
      </c>
      <c r="Q5" s="122"/>
      <c r="R5" s="121" t="s">
        <v>45</v>
      </c>
      <c r="S5" s="122"/>
      <c r="T5" s="121" t="s">
        <v>46</v>
      </c>
      <c r="U5" s="122"/>
      <c r="V5" s="121" t="s">
        <v>47</v>
      </c>
      <c r="W5" s="122"/>
      <c r="X5" s="121" t="s">
        <v>48</v>
      </c>
      <c r="Y5" s="122"/>
      <c r="Z5" s="121" t="s">
        <v>49</v>
      </c>
      <c r="AA5" s="122"/>
      <c r="AB5" s="121" t="s">
        <v>38</v>
      </c>
      <c r="AC5" s="122"/>
      <c r="AD5" s="121" t="s">
        <v>39</v>
      </c>
      <c r="AE5" s="122"/>
      <c r="AF5" s="121" t="s">
        <v>40</v>
      </c>
      <c r="AG5" s="122"/>
    </row>
    <row r="6" spans="1:36" ht="16.5" thickBot="1" x14ac:dyDescent="0.3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6" ht="16.5" thickBot="1" x14ac:dyDescent="0.3">
      <c r="A7" s="7">
        <v>1</v>
      </c>
      <c r="B7" s="7" t="s">
        <v>52</v>
      </c>
      <c r="C7" s="8">
        <f>SUM(C8:C12)</f>
        <v>0.25</v>
      </c>
      <c r="D7" s="56">
        <f>C7*C3</f>
        <v>1552500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6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</v>
      </c>
      <c r="F8" s="14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  <c r="AJ8" s="57" t="s">
        <v>54</v>
      </c>
    </row>
    <row r="9" spans="1:36" x14ac:dyDescent="0.25">
      <c r="A9" s="11">
        <v>2</v>
      </c>
      <c r="B9" s="11" t="s">
        <v>55</v>
      </c>
      <c r="C9" s="12">
        <v>0.05</v>
      </c>
      <c r="D9" s="12"/>
      <c r="E9" s="103">
        <f t="shared" ref="E9:E12" si="0"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  <c r="AJ9" s="58" t="s">
        <v>56</v>
      </c>
    </row>
    <row r="10" spans="1:36" x14ac:dyDescent="0.25">
      <c r="A10" s="11">
        <v>3</v>
      </c>
      <c r="B10" s="11" t="s">
        <v>57</v>
      </c>
      <c r="C10" s="12">
        <v>0.05</v>
      </c>
      <c r="D10" s="12"/>
      <c r="E10" s="103">
        <f t="shared" si="0"/>
        <v>0</v>
      </c>
      <c r="F10" s="20"/>
      <c r="G10" s="15"/>
      <c r="H10" s="20"/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J10" s="57" t="s">
        <v>58</v>
      </c>
    </row>
    <row r="11" spans="1:36" x14ac:dyDescent="0.25">
      <c r="A11" s="11">
        <v>4</v>
      </c>
      <c r="B11" s="11" t="s">
        <v>59</v>
      </c>
      <c r="C11" s="12">
        <v>0.05</v>
      </c>
      <c r="D11" s="12"/>
      <c r="E11" s="103">
        <f t="shared" si="0"/>
        <v>0</v>
      </c>
      <c r="F11" s="20"/>
      <c r="G11" s="15"/>
      <c r="H11" s="20"/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J11" s="58" t="s">
        <v>60</v>
      </c>
    </row>
    <row r="12" spans="1:36" x14ac:dyDescent="0.25">
      <c r="A12" s="11">
        <v>5</v>
      </c>
      <c r="B12" s="11" t="s">
        <v>61</v>
      </c>
      <c r="C12" s="12">
        <v>0.05</v>
      </c>
      <c r="D12" s="12"/>
      <c r="E12" s="103">
        <f t="shared" si="0"/>
        <v>0</v>
      </c>
      <c r="F12" s="20"/>
      <c r="G12" s="15"/>
      <c r="H12" s="20"/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J12" s="57" t="s">
        <v>62</v>
      </c>
    </row>
    <row r="13" spans="1:36" x14ac:dyDescent="0.25">
      <c r="C13" s="22"/>
      <c r="D13" s="22"/>
      <c r="E13" s="1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J13" s="58" t="s">
        <v>63</v>
      </c>
    </row>
    <row r="14" spans="1:36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1863000</v>
      </c>
      <c r="E14" s="2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J14" s="57" t="s">
        <v>65</v>
      </c>
    </row>
    <row r="15" spans="1:36" x14ac:dyDescent="0.25">
      <c r="A15" s="11">
        <v>1</v>
      </c>
      <c r="B15" s="11" t="s">
        <v>53</v>
      </c>
      <c r="C15" s="12">
        <v>0.1</v>
      </c>
      <c r="D15" s="12"/>
      <c r="E15" s="103">
        <f t="shared" ref="E15:E19" si="1">SUM(F15:AG15)</f>
        <v>0.1</v>
      </c>
      <c r="F15" s="20">
        <v>0.1</v>
      </c>
      <c r="G15" s="15"/>
      <c r="H15" s="20"/>
      <c r="I15" s="21"/>
      <c r="J15" s="21"/>
      <c r="K15" s="15"/>
      <c r="L15" s="21"/>
      <c r="M15" s="17"/>
      <c r="N15" s="21"/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J15" s="59" t="s">
        <v>66</v>
      </c>
    </row>
    <row r="16" spans="1:36" x14ac:dyDescent="0.25">
      <c r="A16" s="11">
        <v>2</v>
      </c>
      <c r="B16" s="11" t="s">
        <v>55</v>
      </c>
      <c r="C16" s="12">
        <v>0.05</v>
      </c>
      <c r="D16" s="12"/>
      <c r="E16" s="103">
        <f t="shared" si="1"/>
        <v>0.05</v>
      </c>
      <c r="F16" s="80">
        <v>0.05</v>
      </c>
      <c r="G16" s="15"/>
      <c r="H16" s="21"/>
      <c r="I16" s="20"/>
      <c r="J16" s="21"/>
      <c r="K16" s="17"/>
      <c r="L16" s="21"/>
      <c r="M16" s="15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J16" s="58" t="s">
        <v>67</v>
      </c>
    </row>
    <row r="17" spans="1:36" x14ac:dyDescent="0.25">
      <c r="A17" s="11">
        <v>3</v>
      </c>
      <c r="B17" s="11" t="s">
        <v>57</v>
      </c>
      <c r="C17" s="12">
        <v>0.05</v>
      </c>
      <c r="D17" s="12"/>
      <c r="E17" s="103">
        <f t="shared" si="1"/>
        <v>0</v>
      </c>
      <c r="F17" s="20"/>
      <c r="G17" s="79"/>
      <c r="H17" s="21"/>
      <c r="I17" s="20"/>
      <c r="J17" s="20"/>
      <c r="K17" s="17"/>
      <c r="L17" s="21"/>
      <c r="M17" s="17"/>
      <c r="N17" s="21"/>
      <c r="O17" s="17"/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J17" s="58" t="s">
        <v>68</v>
      </c>
    </row>
    <row r="18" spans="1:36" x14ac:dyDescent="0.25">
      <c r="A18" s="11">
        <v>4</v>
      </c>
      <c r="B18" s="11" t="s">
        <v>69</v>
      </c>
      <c r="C18" s="12">
        <v>0.05</v>
      </c>
      <c r="D18" s="12"/>
      <c r="E18" s="103">
        <f t="shared" si="1"/>
        <v>0</v>
      </c>
      <c r="F18" s="20"/>
      <c r="G18" s="79"/>
      <c r="H18" s="21"/>
      <c r="I18" s="21"/>
      <c r="J18" s="21"/>
      <c r="K18" s="17"/>
      <c r="L18" s="21"/>
      <c r="M18" s="15"/>
      <c r="N18" s="21"/>
      <c r="O18" s="17"/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J18" s="58" t="s">
        <v>70</v>
      </c>
    </row>
    <row r="19" spans="1:36" x14ac:dyDescent="0.25">
      <c r="A19" s="11">
        <v>5</v>
      </c>
      <c r="B19" s="11" t="s">
        <v>71</v>
      </c>
      <c r="C19" s="12">
        <v>0.05</v>
      </c>
      <c r="D19" s="12"/>
      <c r="E19" s="103">
        <f t="shared" si="1"/>
        <v>0</v>
      </c>
      <c r="F19" s="20"/>
      <c r="G19" s="79"/>
      <c r="H19" s="21"/>
      <c r="I19" s="21"/>
      <c r="J19" s="21"/>
      <c r="K19" s="15"/>
      <c r="L19" s="21"/>
      <c r="M19" s="17"/>
      <c r="N19" s="21"/>
      <c r="O19" s="15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J19" s="58" t="s">
        <v>72</v>
      </c>
    </row>
    <row r="20" spans="1:36" x14ac:dyDescent="0.25">
      <c r="A20" s="11"/>
      <c r="B20" s="11"/>
      <c r="C20" s="12"/>
      <c r="D20" s="12"/>
      <c r="E20" s="1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J20" s="60"/>
    </row>
    <row r="21" spans="1:36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621000</v>
      </c>
      <c r="E21" s="2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J21" s="60"/>
    </row>
    <row r="22" spans="1:36" x14ac:dyDescent="0.25">
      <c r="A22" s="11">
        <v>1</v>
      </c>
      <c r="B22" s="11" t="s">
        <v>53</v>
      </c>
      <c r="C22" s="12">
        <v>0.02</v>
      </c>
      <c r="D22" s="12"/>
      <c r="E22" s="103">
        <f t="shared" ref="E22:E26" si="2">SUM(F22:AG22)</f>
        <v>0.04</v>
      </c>
      <c r="F22" s="20">
        <v>0.02</v>
      </c>
      <c r="G22" s="15">
        <v>0.02</v>
      </c>
      <c r="H22" s="80"/>
      <c r="I22" s="21"/>
      <c r="J22" s="21"/>
      <c r="K22" s="15"/>
      <c r="L22" s="21"/>
      <c r="M22" s="17"/>
      <c r="N22" s="21"/>
      <c r="O22" s="17"/>
      <c r="P22" s="21"/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J22" s="60"/>
    </row>
    <row r="23" spans="1:36" x14ac:dyDescent="0.25">
      <c r="A23" s="11">
        <v>2</v>
      </c>
      <c r="B23" s="11" t="s">
        <v>55</v>
      </c>
      <c r="C23" s="12">
        <v>0.02</v>
      </c>
      <c r="D23" s="12"/>
      <c r="E23" s="103">
        <f t="shared" si="2"/>
        <v>0.04</v>
      </c>
      <c r="F23" s="20">
        <v>0.02</v>
      </c>
      <c r="G23" s="15">
        <v>0.02</v>
      </c>
      <c r="H23" s="80"/>
      <c r="I23" s="20"/>
      <c r="J23" s="21"/>
      <c r="K23" s="17"/>
      <c r="L23" s="21"/>
      <c r="M23" s="15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J23" s="60"/>
    </row>
    <row r="24" spans="1:36" x14ac:dyDescent="0.25">
      <c r="A24" s="11">
        <v>3</v>
      </c>
      <c r="B24" s="11" t="s">
        <v>57</v>
      </c>
      <c r="C24" s="12">
        <v>0.02</v>
      </c>
      <c r="D24" s="12"/>
      <c r="E24" s="103">
        <f t="shared" si="2"/>
        <v>0</v>
      </c>
      <c r="F24" s="20"/>
      <c r="G24" s="17"/>
      <c r="H24" s="80"/>
      <c r="I24" s="20"/>
      <c r="J24" s="20"/>
      <c r="K24" s="17"/>
      <c r="L24" s="21"/>
      <c r="M24" s="17"/>
      <c r="N24" s="21"/>
      <c r="O24" s="17"/>
      <c r="P24" s="20"/>
      <c r="Q24" s="17"/>
      <c r="R24" s="20"/>
      <c r="S24" s="17"/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J24" s="60"/>
    </row>
    <row r="25" spans="1:36" x14ac:dyDescent="0.25">
      <c r="A25" s="11">
        <v>4</v>
      </c>
      <c r="B25" s="11" t="s">
        <v>69</v>
      </c>
      <c r="C25" s="12">
        <v>0.02</v>
      </c>
      <c r="D25" s="12"/>
      <c r="E25" s="103">
        <f t="shared" si="2"/>
        <v>0</v>
      </c>
      <c r="F25" s="20"/>
      <c r="G25" s="17"/>
      <c r="H25" s="80"/>
      <c r="I25" s="21"/>
      <c r="J25" s="21"/>
      <c r="K25" s="17"/>
      <c r="L25" s="21"/>
      <c r="M25" s="15"/>
      <c r="N25" s="21"/>
      <c r="O25" s="17"/>
      <c r="P25" s="21"/>
      <c r="Q25" s="17"/>
      <c r="R25" s="21"/>
      <c r="S25" s="17"/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J25" s="60"/>
    </row>
    <row r="26" spans="1:36" x14ac:dyDescent="0.25">
      <c r="A26" s="11">
        <v>5</v>
      </c>
      <c r="B26" s="11" t="s">
        <v>71</v>
      </c>
      <c r="C26" s="12">
        <v>0.02</v>
      </c>
      <c r="D26" s="12"/>
      <c r="E26" s="103">
        <f t="shared" si="2"/>
        <v>0.02</v>
      </c>
      <c r="F26" s="21"/>
      <c r="G26" s="15">
        <v>0.02</v>
      </c>
      <c r="H26" s="80"/>
      <c r="I26" s="21"/>
      <c r="J26" s="21"/>
      <c r="K26" s="15"/>
      <c r="L26" s="21"/>
      <c r="M26" s="17"/>
      <c r="N26" s="21"/>
      <c r="O26" s="15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J26" s="60"/>
    </row>
    <row r="27" spans="1:36" ht="15.75" customHeight="1" x14ac:dyDescent="0.25">
      <c r="A27" s="11"/>
      <c r="B27" s="11"/>
      <c r="C27" s="12"/>
      <c r="D27" s="12"/>
      <c r="E27" s="1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6" ht="15.75" customHeight="1" x14ac:dyDescent="0.25">
      <c r="A28" s="7">
        <v>4</v>
      </c>
      <c r="B28" s="7" t="s">
        <v>51</v>
      </c>
      <c r="C28" s="8">
        <f>SUM(C29:C33)</f>
        <v>0.18</v>
      </c>
      <c r="D28" s="56">
        <f>C28*C3</f>
        <v>1117800</v>
      </c>
      <c r="E28" s="2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6" ht="15.75" customHeight="1" x14ac:dyDescent="0.25">
      <c r="A29" s="11">
        <v>1</v>
      </c>
      <c r="B29" s="11" t="s">
        <v>53</v>
      </c>
      <c r="C29" s="12">
        <v>0.04</v>
      </c>
      <c r="D29" s="12"/>
      <c r="E29" s="103">
        <f t="shared" ref="E29:E33" si="3">SUM(F29:AG29)</f>
        <v>0</v>
      </c>
      <c r="F29" s="21"/>
      <c r="G29" s="17"/>
      <c r="H29" s="21"/>
      <c r="I29" s="21"/>
      <c r="J29" s="21"/>
      <c r="K29" s="17"/>
      <c r="L29" s="21"/>
      <c r="M29" s="15"/>
      <c r="N29" s="21"/>
      <c r="O29" s="17"/>
      <c r="P29" s="21"/>
      <c r="Q29" s="17"/>
      <c r="R29" s="21"/>
      <c r="S29" s="17"/>
      <c r="T29" s="21"/>
      <c r="U29" s="15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6" ht="15.75" customHeight="1" x14ac:dyDescent="0.25">
      <c r="A30" s="11">
        <v>2</v>
      </c>
      <c r="B30" s="11" t="s">
        <v>55</v>
      </c>
      <c r="C30" s="12">
        <v>0.04</v>
      </c>
      <c r="D30" s="12"/>
      <c r="E30" s="103">
        <f t="shared" si="3"/>
        <v>0</v>
      </c>
      <c r="F30" s="21"/>
      <c r="G30" s="17"/>
      <c r="H30" s="21"/>
      <c r="I30" s="21"/>
      <c r="J30" s="21"/>
      <c r="K30" s="17"/>
      <c r="L30" s="21"/>
      <c r="M30" s="79"/>
      <c r="N30" s="21"/>
      <c r="O30" s="15"/>
      <c r="P30" s="20"/>
      <c r="Q30" s="17"/>
      <c r="R30" s="20"/>
      <c r="S30" s="15"/>
      <c r="T30" s="20"/>
      <c r="U30" s="15"/>
      <c r="V30" s="20"/>
      <c r="W30" s="17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6" ht="15.75" customHeight="1" x14ac:dyDescent="0.25">
      <c r="A31" s="11">
        <v>3</v>
      </c>
      <c r="B31" s="11" t="s">
        <v>57</v>
      </c>
      <c r="C31" s="12">
        <v>0.04</v>
      </c>
      <c r="D31" s="12"/>
      <c r="E31" s="103">
        <f t="shared" si="3"/>
        <v>0</v>
      </c>
      <c r="F31" s="21"/>
      <c r="G31" s="17"/>
      <c r="H31" s="21"/>
      <c r="I31" s="21"/>
      <c r="J31" s="21"/>
      <c r="K31" s="17"/>
      <c r="L31" s="21"/>
      <c r="M31" s="79"/>
      <c r="N31" s="21"/>
      <c r="O31" s="15"/>
      <c r="P31" s="20"/>
      <c r="Q31" s="17"/>
      <c r="R31" s="20"/>
      <c r="S31" s="17"/>
      <c r="T31" s="20"/>
      <c r="U31" s="15"/>
      <c r="V31" s="20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6" ht="15.75" customHeight="1" x14ac:dyDescent="0.25">
      <c r="A32" s="11">
        <v>4</v>
      </c>
      <c r="B32" s="11" t="s">
        <v>69</v>
      </c>
      <c r="C32" s="12">
        <v>0.03</v>
      </c>
      <c r="D32" s="12"/>
      <c r="E32" s="103">
        <f t="shared" si="3"/>
        <v>0</v>
      </c>
      <c r="F32" s="21"/>
      <c r="G32" s="17"/>
      <c r="H32" s="21"/>
      <c r="I32" s="21"/>
      <c r="J32" s="21"/>
      <c r="K32" s="17"/>
      <c r="L32" s="21"/>
      <c r="M32" s="79"/>
      <c r="N32" s="21"/>
      <c r="O32" s="17"/>
      <c r="P32" s="20"/>
      <c r="Q32" s="17"/>
      <c r="R32" s="20"/>
      <c r="S32" s="17"/>
      <c r="T32" s="20"/>
      <c r="U32" s="17"/>
      <c r="V32" s="20"/>
      <c r="W32" s="15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0.03</v>
      </c>
      <c r="D33" s="12"/>
      <c r="E33" s="103">
        <f t="shared" si="3"/>
        <v>0</v>
      </c>
      <c r="F33" s="21"/>
      <c r="G33" s="17"/>
      <c r="H33" s="21"/>
      <c r="I33" s="21"/>
      <c r="J33" s="21"/>
      <c r="K33" s="17"/>
      <c r="L33" s="21"/>
      <c r="M33" s="79"/>
      <c r="N33" s="21"/>
      <c r="O33" s="17"/>
      <c r="P33" s="21"/>
      <c r="Q33" s="17"/>
      <c r="R33" s="21"/>
      <c r="S33" s="17"/>
      <c r="T33" s="21"/>
      <c r="U33" s="17"/>
      <c r="V33" s="20"/>
      <c r="W33" s="15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496800</v>
      </c>
      <c r="E35" s="2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>SUM(F36:AG36)</f>
        <v>0</v>
      </c>
      <c r="F36" s="21"/>
      <c r="G36" s="17"/>
      <c r="H36" s="21"/>
      <c r="I36" s="21"/>
      <c r="J36" s="80"/>
      <c r="K36" s="17"/>
      <c r="L36" s="21"/>
      <c r="M36" s="17"/>
      <c r="N36" s="21"/>
      <c r="O36" s="17"/>
      <c r="P36" s="21"/>
      <c r="Q36" s="15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thickBot="1" x14ac:dyDescent="0.3">
      <c r="A38" s="7">
        <v>6</v>
      </c>
      <c r="B38" s="7" t="s">
        <v>31</v>
      </c>
      <c r="C38" s="8">
        <f>SUM(C39:C43)</f>
        <v>0.05</v>
      </c>
      <c r="D38" s="56">
        <f>C38*C3</f>
        <v>310500</v>
      </c>
      <c r="E38" s="2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0.01</v>
      </c>
      <c r="D39" s="12"/>
      <c r="E39" s="103">
        <f t="shared" ref="E39:E43" si="4">SUM(F39:AG39)</f>
        <v>0</v>
      </c>
      <c r="F39" s="21"/>
      <c r="G39" s="17"/>
      <c r="H39" s="81"/>
      <c r="I39" s="84"/>
      <c r="J39" s="88"/>
      <c r="K39" s="90"/>
      <c r="L39" s="82"/>
      <c r="M39" s="17"/>
      <c r="N39" s="21"/>
      <c r="O39" s="17"/>
      <c r="P39" s="21"/>
      <c r="Q39" s="17"/>
      <c r="R39" s="21"/>
      <c r="S39" s="17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0.01</v>
      </c>
      <c r="D40" s="12"/>
      <c r="E40" s="103">
        <f t="shared" si="4"/>
        <v>0</v>
      </c>
      <c r="F40" s="21"/>
      <c r="G40" s="17"/>
      <c r="H40" s="81"/>
      <c r="I40" s="85"/>
      <c r="J40" s="83"/>
      <c r="K40" s="89"/>
      <c r="L40" s="82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0.01</v>
      </c>
      <c r="D41" s="12"/>
      <c r="E41" s="103">
        <f t="shared" si="4"/>
        <v>0</v>
      </c>
      <c r="F41" s="21"/>
      <c r="G41" s="17"/>
      <c r="H41" s="81"/>
      <c r="I41" s="86"/>
      <c r="J41" s="83"/>
      <c r="K41" s="89"/>
      <c r="L41" s="82"/>
      <c r="M41" s="17"/>
      <c r="N41" s="21"/>
      <c r="O41" s="17"/>
      <c r="P41" s="21"/>
      <c r="Q41" s="17"/>
      <c r="R41" s="21"/>
      <c r="S41" s="17"/>
      <c r="T41" s="21"/>
      <c r="U41" s="17"/>
      <c r="V41" s="21"/>
      <c r="W41" s="30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0.01</v>
      </c>
      <c r="D42" s="12"/>
      <c r="E42" s="103">
        <f t="shared" si="4"/>
        <v>0</v>
      </c>
      <c r="F42" s="21"/>
      <c r="G42" s="17"/>
      <c r="H42" s="81"/>
      <c r="I42" s="86"/>
      <c r="J42" s="83"/>
      <c r="K42" s="89"/>
      <c r="L42" s="82"/>
      <c r="M42" s="17"/>
      <c r="N42" s="21"/>
      <c r="O42" s="17"/>
      <c r="P42" s="21"/>
      <c r="Q42" s="17"/>
      <c r="R42" s="21"/>
      <c r="S42" s="17"/>
      <c r="T42" s="21"/>
      <c r="U42" s="17"/>
      <c r="V42" s="21"/>
      <c r="W42" s="30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0.01</v>
      </c>
      <c r="D43" s="12"/>
      <c r="E43" s="103">
        <f t="shared" si="4"/>
        <v>0</v>
      </c>
      <c r="F43" s="21"/>
      <c r="G43" s="17"/>
      <c r="H43" s="81"/>
      <c r="I43" s="86"/>
      <c r="J43" s="83"/>
      <c r="K43" s="89"/>
      <c r="L43" s="82"/>
      <c r="M43" s="17"/>
      <c r="N43" s="21"/>
      <c r="O43" s="17"/>
      <c r="P43" s="21"/>
      <c r="Q43" s="17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thickBot="1" x14ac:dyDescent="0.3">
      <c r="C44" s="22"/>
      <c r="D44" s="22"/>
      <c r="E44" s="13"/>
      <c r="F44" s="21"/>
      <c r="G44" s="17"/>
      <c r="H44" s="81"/>
      <c r="I44" s="87"/>
      <c r="J44" s="88"/>
      <c r="K44" s="87"/>
      <c r="L44" s="82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0.04</v>
      </c>
      <c r="D45" s="56">
        <f>C45*C3</f>
        <v>248400</v>
      </c>
      <c r="E45" s="2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0.01</v>
      </c>
      <c r="D46" s="12"/>
      <c r="E46" s="103">
        <f t="shared" ref="E46:E48" si="5">SUM(F46:AG46)</f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0.01</v>
      </c>
      <c r="D47" s="12"/>
      <c r="E47" s="103">
        <f t="shared" si="5"/>
        <v>0</v>
      </c>
      <c r="F47" s="21"/>
      <c r="G47" s="17"/>
      <c r="H47" s="21"/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5"/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0.02</v>
      </c>
      <c r="D48" s="12"/>
      <c r="E48" s="103">
        <f t="shared" si="5"/>
        <v>0</v>
      </c>
      <c r="F48" s="21"/>
      <c r="G48" s="17"/>
      <c r="H48" s="21"/>
      <c r="I48" s="21"/>
      <c r="J48" s="21"/>
      <c r="K48" s="17"/>
      <c r="L48" s="21"/>
      <c r="M48" s="17"/>
      <c r="N48" s="21"/>
      <c r="O48" s="17"/>
      <c r="P48" s="21"/>
      <c r="Q48" s="17"/>
      <c r="R48" s="21"/>
      <c r="S48" s="17"/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 16384:16384" ht="15.75" customHeight="1" thickBot="1" x14ac:dyDescent="0.3">
      <c r="A49" s="11"/>
      <c r="B49" s="11"/>
      <c r="C49" s="12"/>
      <c r="D49" s="12"/>
      <c r="E49" s="1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 16384:16384" ht="15.75" customHeight="1" thickBot="1" x14ac:dyDescent="0.35">
      <c r="A50" s="32"/>
      <c r="B50" s="33" t="s">
        <v>32</v>
      </c>
      <c r="C50" s="34">
        <f>SUM(C7+C14+C21+C28+C35+C38+C45)</f>
        <v>1</v>
      </c>
      <c r="D50" s="34"/>
      <c r="E50" s="61">
        <f>SUM(G50:AG50)</f>
        <v>0.06</v>
      </c>
      <c r="F50" s="62">
        <f>SUM(F8:F49)</f>
        <v>0.19</v>
      </c>
      <c r="G50" s="62">
        <f>SUM(G8:G49)</f>
        <v>0.06</v>
      </c>
      <c r="H50" s="62">
        <f>SUM(H8:H49)</f>
        <v>0</v>
      </c>
      <c r="I50" s="62">
        <f>SUM(I8:I49)</f>
        <v>0</v>
      </c>
      <c r="J50" s="62">
        <f>SUM(J8:J49)</f>
        <v>0</v>
      </c>
      <c r="K50" s="62">
        <f>SUM(K8:K49)</f>
        <v>0</v>
      </c>
      <c r="L50" s="62">
        <f>SUM(L8:L49)</f>
        <v>0</v>
      </c>
      <c r="M50" s="62">
        <f>SUM(M8:M49)</f>
        <v>0</v>
      </c>
      <c r="N50" s="62">
        <f>SUM(N8:N49)</f>
        <v>0</v>
      </c>
      <c r="O50" s="62">
        <f>SUM(O8:O49)</f>
        <v>0</v>
      </c>
      <c r="P50" s="62">
        <f>SUM(P8:P49)</f>
        <v>0</v>
      </c>
      <c r="Q50" s="62">
        <f>SUM(Q8:Q49)</f>
        <v>0</v>
      </c>
      <c r="R50" s="62">
        <f>SUM(R8:R49)</f>
        <v>0</v>
      </c>
      <c r="S50" s="62">
        <f>SUM(S8:S49)</f>
        <v>0</v>
      </c>
      <c r="T50" s="62">
        <f>SUM(T8:T49)</f>
        <v>0</v>
      </c>
      <c r="U50" s="62">
        <f>SUM(U8:U49)</f>
        <v>0</v>
      </c>
      <c r="V50" s="62">
        <f>SUM(V8:V49)</f>
        <v>0</v>
      </c>
      <c r="W50" s="62">
        <f>SUM(W8:W49)</f>
        <v>0</v>
      </c>
      <c r="X50" s="62">
        <f>SUM(X8:X49)</f>
        <v>0</v>
      </c>
      <c r="Y50" s="62">
        <f>SUM(Y8:Y49)</f>
        <v>0</v>
      </c>
      <c r="Z50" s="62">
        <f>SUM(Z8:Z49)</f>
        <v>0</v>
      </c>
      <c r="AA50" s="62">
        <f>SUM(AA8:AA49)</f>
        <v>0</v>
      </c>
      <c r="AB50" s="62">
        <f>SUM(AB8:AB49)</f>
        <v>0</v>
      </c>
      <c r="AC50" s="62">
        <f>SUM(AC8:AC49)</f>
        <v>0</v>
      </c>
      <c r="AD50" s="62">
        <f>SUM(AD8:AD49)</f>
        <v>0</v>
      </c>
      <c r="AE50" s="62">
        <f>SUM(AE8:AE49)</f>
        <v>0</v>
      </c>
      <c r="AF50" s="62">
        <f>SUM(AF8:AF49)</f>
        <v>0</v>
      </c>
      <c r="AG50" s="62">
        <f>SUM(AG8:AG49)</f>
        <v>0</v>
      </c>
    </row>
    <row r="51" spans="1:33 16384:16384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 16384:16384" ht="15.75" customHeight="1" thickBot="1" x14ac:dyDescent="0.3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 16384:16384" ht="15.75" customHeight="1" thickBot="1" x14ac:dyDescent="0.3"/>
    <row r="54" spans="1:33 16384:16384" ht="15.75" hidden="1" customHeight="1" outlineLevel="1" thickBot="1" x14ac:dyDescent="0.3">
      <c r="A54" s="131" t="s">
        <v>34</v>
      </c>
      <c r="B54" s="128"/>
      <c r="C54" s="128"/>
      <c r="D54" s="128"/>
      <c r="E54" s="129"/>
      <c r="F54" s="40">
        <f>C3+(C3*F52)</f>
        <v>6210000</v>
      </c>
      <c r="G54" s="40">
        <f t="shared" ref="G54:AG54" si="6">F54+(F54*G52)</f>
        <v>6210000</v>
      </c>
      <c r="H54" s="40">
        <f t="shared" si="6"/>
        <v>6210000</v>
      </c>
      <c r="I54" s="40">
        <f t="shared" si="6"/>
        <v>6210000</v>
      </c>
      <c r="J54" s="40">
        <f t="shared" si="6"/>
        <v>6210000</v>
      </c>
      <c r="K54" s="40">
        <f t="shared" si="6"/>
        <v>6210000</v>
      </c>
      <c r="L54" s="40">
        <f t="shared" si="6"/>
        <v>6210000</v>
      </c>
      <c r="M54" s="40">
        <f t="shared" si="6"/>
        <v>6210000</v>
      </c>
      <c r="N54" s="40">
        <f t="shared" si="6"/>
        <v>6210000</v>
      </c>
      <c r="O54" s="40">
        <f t="shared" si="6"/>
        <v>6210000</v>
      </c>
      <c r="P54" s="40">
        <f t="shared" si="6"/>
        <v>6210000</v>
      </c>
      <c r="Q54" s="40">
        <f t="shared" si="6"/>
        <v>6210000</v>
      </c>
      <c r="R54" s="40">
        <f t="shared" si="6"/>
        <v>6210000</v>
      </c>
      <c r="S54" s="40">
        <f t="shared" si="6"/>
        <v>6210000</v>
      </c>
      <c r="T54" s="40">
        <f t="shared" si="6"/>
        <v>6210000</v>
      </c>
      <c r="U54" s="40">
        <f t="shared" si="6"/>
        <v>6210000</v>
      </c>
      <c r="V54" s="40">
        <f t="shared" si="6"/>
        <v>6210000</v>
      </c>
      <c r="W54" s="40">
        <f t="shared" si="6"/>
        <v>6210000</v>
      </c>
      <c r="X54" s="40">
        <f t="shared" si="6"/>
        <v>6210000</v>
      </c>
      <c r="Y54" s="40">
        <f t="shared" si="6"/>
        <v>6210000</v>
      </c>
      <c r="Z54" s="40">
        <f t="shared" si="6"/>
        <v>6210000</v>
      </c>
      <c r="AA54" s="40">
        <f t="shared" si="6"/>
        <v>6210000</v>
      </c>
      <c r="AB54" s="40">
        <f t="shared" si="6"/>
        <v>6210000</v>
      </c>
      <c r="AC54" s="40">
        <f t="shared" si="6"/>
        <v>6210000</v>
      </c>
      <c r="AD54" s="40">
        <f t="shared" si="6"/>
        <v>6210000</v>
      </c>
      <c r="AE54" s="40">
        <f t="shared" si="6"/>
        <v>6210000</v>
      </c>
      <c r="AF54" s="40">
        <f t="shared" si="6"/>
        <v>6210000</v>
      </c>
      <c r="AG54" s="40">
        <f t="shared" si="6"/>
        <v>6210000</v>
      </c>
    </row>
    <row r="55" spans="1:33 16384:16384" ht="15.75" hidden="1" customHeight="1" outlineLevel="1" thickBot="1" x14ac:dyDescent="0.3"/>
    <row r="56" spans="1:33 16384:16384" ht="15.75" hidden="1" customHeight="1" outlineLevel="1" thickBot="1" x14ac:dyDescent="0.3">
      <c r="A56" s="132" t="s">
        <v>35</v>
      </c>
      <c r="B56" s="128"/>
      <c r="C56" s="128"/>
      <c r="D56" s="128"/>
      <c r="E56" s="129"/>
      <c r="F56" s="41">
        <f t="shared" ref="F56:AG56" si="7">F50*F54</f>
        <v>1179900</v>
      </c>
      <c r="G56" s="41">
        <f t="shared" si="7"/>
        <v>372600</v>
      </c>
      <c r="H56" s="41">
        <f t="shared" si="7"/>
        <v>0</v>
      </c>
      <c r="I56" s="41">
        <f t="shared" si="7"/>
        <v>0</v>
      </c>
      <c r="J56" s="41">
        <f t="shared" si="7"/>
        <v>0</v>
      </c>
      <c r="K56" s="41">
        <f t="shared" si="7"/>
        <v>0</v>
      </c>
      <c r="L56" s="41">
        <f t="shared" si="7"/>
        <v>0</v>
      </c>
      <c r="M56" s="41">
        <f t="shared" si="7"/>
        <v>0</v>
      </c>
      <c r="N56" s="41">
        <f t="shared" si="7"/>
        <v>0</v>
      </c>
      <c r="O56" s="41">
        <f t="shared" si="7"/>
        <v>0</v>
      </c>
      <c r="P56" s="41">
        <f t="shared" si="7"/>
        <v>0</v>
      </c>
      <c r="Q56" s="41">
        <f t="shared" si="7"/>
        <v>0</v>
      </c>
      <c r="R56" s="41">
        <f t="shared" si="7"/>
        <v>0</v>
      </c>
      <c r="S56" s="41">
        <f t="shared" si="7"/>
        <v>0</v>
      </c>
      <c r="T56" s="41">
        <f t="shared" si="7"/>
        <v>0</v>
      </c>
      <c r="U56" s="41">
        <f t="shared" si="7"/>
        <v>0</v>
      </c>
      <c r="V56" s="41">
        <f t="shared" si="7"/>
        <v>0</v>
      </c>
      <c r="W56" s="41">
        <f t="shared" si="7"/>
        <v>0</v>
      </c>
      <c r="X56" s="41">
        <f t="shared" si="7"/>
        <v>0</v>
      </c>
      <c r="Y56" s="41">
        <f t="shared" si="7"/>
        <v>0</v>
      </c>
      <c r="Z56" s="41">
        <f t="shared" si="7"/>
        <v>0</v>
      </c>
      <c r="AA56" s="41">
        <f t="shared" si="7"/>
        <v>0</v>
      </c>
      <c r="AB56" s="41">
        <f t="shared" si="7"/>
        <v>0</v>
      </c>
      <c r="AC56" s="41">
        <f t="shared" si="7"/>
        <v>0</v>
      </c>
      <c r="AD56" s="41">
        <f t="shared" si="7"/>
        <v>0</v>
      </c>
      <c r="AE56" s="41">
        <f t="shared" si="7"/>
        <v>0</v>
      </c>
      <c r="AF56" s="41">
        <f t="shared" si="7"/>
        <v>0</v>
      </c>
      <c r="AG56" s="41">
        <f t="shared" si="7"/>
        <v>0</v>
      </c>
    </row>
    <row r="57" spans="1:33 16384:16384" ht="15.75" hidden="1" customHeight="1" outlineLevel="1" thickBot="1" x14ac:dyDescent="0.3"/>
    <row r="58" spans="1:33 16384:16384" ht="15.75" customHeight="1" collapsed="1" thickBot="1" x14ac:dyDescent="0.35">
      <c r="A58" s="127" t="s">
        <v>36</v>
      </c>
      <c r="B58" s="128"/>
      <c r="C58" s="128"/>
      <c r="D58" s="128"/>
      <c r="E58" s="129"/>
      <c r="F58" s="42">
        <f>F56-(F56*D4)</f>
        <v>1179900</v>
      </c>
      <c r="G58" s="43">
        <f>G56-(G56*D4)</f>
        <v>372600</v>
      </c>
      <c r="H58" s="43">
        <f>H56-(H56*D4)</f>
        <v>0</v>
      </c>
      <c r="I58" s="43">
        <f>I56-(I56*D4)</f>
        <v>0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 16384:16384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 16384:16384" ht="15.75" customHeight="1" thickBot="1" x14ac:dyDescent="0.3">
      <c r="A60" s="130" t="s">
        <v>37</v>
      </c>
      <c r="B60" s="128"/>
      <c r="C60" s="128"/>
      <c r="D60" s="128"/>
      <c r="E60" s="129"/>
      <c r="F60" s="45">
        <f>F54-F58-C4</f>
        <v>5030100</v>
      </c>
      <c r="G60" s="45">
        <f t="shared" ref="G60:AG60" si="8">(F60+(F60*G52))-G58</f>
        <v>4657500</v>
      </c>
      <c r="H60" s="46">
        <f t="shared" si="8"/>
        <v>4657500</v>
      </c>
      <c r="I60" s="46">
        <f t="shared" si="8"/>
        <v>4657500</v>
      </c>
      <c r="J60" s="45">
        <f t="shared" si="8"/>
        <v>4657500</v>
      </c>
      <c r="K60" s="45">
        <f t="shared" si="8"/>
        <v>4657500</v>
      </c>
      <c r="L60" s="45">
        <f t="shared" si="8"/>
        <v>4657500</v>
      </c>
      <c r="M60" s="45">
        <f t="shared" si="8"/>
        <v>4657500</v>
      </c>
      <c r="N60" s="45">
        <f t="shared" si="8"/>
        <v>4657500</v>
      </c>
      <c r="O60" s="45">
        <f t="shared" si="8"/>
        <v>4657500</v>
      </c>
      <c r="P60" s="45">
        <f t="shared" si="8"/>
        <v>4657500</v>
      </c>
      <c r="Q60" s="45">
        <f t="shared" si="8"/>
        <v>4657500</v>
      </c>
      <c r="R60" s="45">
        <f t="shared" si="8"/>
        <v>4657500</v>
      </c>
      <c r="S60" s="45">
        <f t="shared" si="8"/>
        <v>4657500</v>
      </c>
      <c r="T60" s="45">
        <f t="shared" si="8"/>
        <v>4657500</v>
      </c>
      <c r="U60" s="45">
        <f t="shared" si="8"/>
        <v>4657500</v>
      </c>
      <c r="V60" s="45">
        <f t="shared" si="8"/>
        <v>4657500</v>
      </c>
      <c r="W60" s="45">
        <f t="shared" si="8"/>
        <v>4657500</v>
      </c>
      <c r="X60" s="45">
        <f t="shared" si="8"/>
        <v>4657500</v>
      </c>
      <c r="Y60" s="45">
        <f t="shared" si="8"/>
        <v>4657500</v>
      </c>
      <c r="Z60" s="45">
        <f t="shared" si="8"/>
        <v>4657500</v>
      </c>
      <c r="AA60" s="45">
        <f t="shared" si="8"/>
        <v>4657500</v>
      </c>
      <c r="AB60" s="45">
        <f t="shared" si="8"/>
        <v>4657500</v>
      </c>
      <c r="AC60" s="45">
        <f t="shared" si="8"/>
        <v>4657500</v>
      </c>
      <c r="AD60" s="45">
        <f t="shared" si="8"/>
        <v>4657500</v>
      </c>
      <c r="AE60" s="45">
        <f t="shared" si="8"/>
        <v>4657500</v>
      </c>
      <c r="AF60" s="45">
        <f t="shared" si="8"/>
        <v>4657500</v>
      </c>
      <c r="AG60" s="45">
        <f t="shared" si="8"/>
        <v>4657500</v>
      </c>
    </row>
    <row r="61" spans="1:33 16384:16384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 16384:16384" ht="15.75" customHeight="1" x14ac:dyDescent="0.25">
      <c r="F62" s="49"/>
      <c r="G62" s="49"/>
      <c r="H62" s="49"/>
      <c r="I62" s="64"/>
      <c r="J62" s="64"/>
      <c r="K62" s="75"/>
      <c r="L62" s="47"/>
      <c r="M62" s="50"/>
      <c r="N62" s="50"/>
      <c r="O62" s="51"/>
      <c r="P62" s="52"/>
    </row>
    <row r="63" spans="1:33 16384:16384" ht="15.75" customHeight="1" x14ac:dyDescent="0.25">
      <c r="F63" s="74"/>
      <c r="G63" s="74"/>
      <c r="H63" s="74"/>
      <c r="I63" s="74"/>
      <c r="J63" s="74"/>
      <c r="K63" s="74"/>
      <c r="V63" s="44"/>
      <c r="W63" s="49"/>
      <c r="XFD63" s="74">
        <v>474370</v>
      </c>
    </row>
    <row r="64" spans="1:33 16384:16384" ht="15.75" customHeight="1" x14ac:dyDescent="0.25">
      <c r="F64" s="53"/>
      <c r="Q64" s="44"/>
      <c r="W64" s="53"/>
    </row>
    <row r="65" spans="6:11" ht="15.75" customHeight="1" x14ac:dyDescent="0.25">
      <c r="F65" s="76"/>
      <c r="G65" s="49"/>
      <c r="H65" s="49"/>
      <c r="I65" s="11"/>
      <c r="J65" s="44"/>
      <c r="K65" s="53"/>
    </row>
    <row r="66" spans="6:11" ht="15.75" customHeight="1" x14ac:dyDescent="0.25">
      <c r="G66" s="54"/>
      <c r="H66" s="54"/>
      <c r="I66" s="11"/>
      <c r="J66" s="44"/>
    </row>
    <row r="67" spans="6:11" ht="15.75" customHeight="1" x14ac:dyDescent="0.25">
      <c r="G67" s="54"/>
      <c r="H67" s="54"/>
    </row>
    <row r="68" spans="6:11" ht="15.75" customHeight="1" x14ac:dyDescent="0.25">
      <c r="G68" s="54"/>
      <c r="H68" s="54"/>
    </row>
    <row r="69" spans="6:11" ht="15.75" customHeight="1" x14ac:dyDescent="0.25">
      <c r="G69" s="54"/>
      <c r="H69" s="54"/>
      <c r="J69" s="53"/>
    </row>
    <row r="70" spans="6:11" ht="15.75" customHeight="1" x14ac:dyDescent="0.25">
      <c r="G70" s="54"/>
      <c r="H70" s="54"/>
    </row>
    <row r="71" spans="6:11" ht="15.75" customHeight="1" x14ac:dyDescent="0.25">
      <c r="G71" s="54"/>
      <c r="H71" s="54"/>
    </row>
    <row r="72" spans="6:11" ht="15.75" customHeight="1" x14ac:dyDescent="0.25">
      <c r="G72" s="54"/>
      <c r="H72" s="54"/>
    </row>
    <row r="73" spans="6:11" ht="15.75" customHeight="1" x14ac:dyDescent="0.25">
      <c r="G73" s="54"/>
      <c r="H73" s="54"/>
    </row>
    <row r="74" spans="6:11" ht="15.75" customHeight="1" x14ac:dyDescent="0.25"/>
    <row r="75" spans="6:11" ht="15.75" customHeight="1" x14ac:dyDescent="0.25"/>
    <row r="76" spans="6:11" ht="15.75" customHeight="1" x14ac:dyDescent="0.25"/>
    <row r="77" spans="6:11" ht="15.75" customHeight="1" x14ac:dyDescent="0.25"/>
    <row r="78" spans="6:11" ht="15.75" customHeight="1" x14ac:dyDescent="0.25"/>
    <row r="79" spans="6:11" ht="15.75" customHeight="1" x14ac:dyDescent="0.25"/>
    <row r="80" spans="6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6"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rintOptions horizontalCentered="1" verticalCentered="1" gridLines="1"/>
  <pageMargins left="0.25" right="0.25" top="0.75" bottom="0.75" header="0" footer="0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G1002"/>
  <sheetViews>
    <sheetView zoomScale="85" zoomScaleNormal="85" workbookViewId="0">
      <pane xSplit="3" topLeftCell="D1" activePane="topRight" state="frozen"/>
      <selection pane="topRight" activeCell="I60" sqref="A1:I60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5" width="10.7109375" customWidth="1"/>
  </cols>
  <sheetData>
    <row r="1" spans="1:33" ht="30" customHeight="1" x14ac:dyDescent="0.25">
      <c r="A1" s="1"/>
      <c r="B1" s="102" t="s">
        <v>86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23" t="s">
        <v>1</v>
      </c>
      <c r="B3" s="124"/>
      <c r="C3" s="5">
        <f>RESUMEN!D10</f>
        <v>6210000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21" t="s">
        <v>39</v>
      </c>
      <c r="G5" s="122"/>
      <c r="H5" s="121" t="s">
        <v>40</v>
      </c>
      <c r="I5" s="122"/>
      <c r="J5" s="121" t="s">
        <v>41</v>
      </c>
      <c r="K5" s="122"/>
      <c r="L5" s="121" t="s">
        <v>42</v>
      </c>
      <c r="M5" s="122"/>
      <c r="N5" s="121" t="s">
        <v>43</v>
      </c>
      <c r="O5" s="122"/>
      <c r="P5" s="121" t="s">
        <v>44</v>
      </c>
      <c r="Q5" s="122"/>
      <c r="R5" s="121" t="s">
        <v>45</v>
      </c>
      <c r="S5" s="122"/>
      <c r="T5" s="121" t="s">
        <v>46</v>
      </c>
      <c r="U5" s="122"/>
      <c r="V5" s="121" t="s">
        <v>47</v>
      </c>
      <c r="W5" s="122"/>
      <c r="X5" s="121" t="s">
        <v>48</v>
      </c>
      <c r="Y5" s="122"/>
      <c r="Z5" s="121" t="s">
        <v>49</v>
      </c>
      <c r="AA5" s="122"/>
      <c r="AB5" s="121" t="s">
        <v>38</v>
      </c>
      <c r="AC5" s="122"/>
      <c r="AD5" s="121" t="s">
        <v>39</v>
      </c>
      <c r="AE5" s="122"/>
      <c r="AF5" s="121" t="s">
        <v>40</v>
      </c>
      <c r="AG5" s="122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3" ht="16.5" thickBot="1" x14ac:dyDescent="0.3">
      <c r="A7" s="7">
        <v>1</v>
      </c>
      <c r="B7" s="7" t="s">
        <v>52</v>
      </c>
      <c r="C7" s="8">
        <f>SUM(C8:C12)</f>
        <v>0.25</v>
      </c>
      <c r="D7" s="56">
        <f>C7*C3</f>
        <v>1552500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</v>
      </c>
      <c r="F8" s="16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55</v>
      </c>
      <c r="C9" s="12">
        <v>0.05</v>
      </c>
      <c r="D9" s="12"/>
      <c r="E9" s="103">
        <f>SUM(F9:AG9)</f>
        <v>0</v>
      </c>
      <c r="F9" s="21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57</v>
      </c>
      <c r="C10" s="12">
        <v>0.05</v>
      </c>
      <c r="D10" s="12"/>
      <c r="E10" s="103">
        <f>SUM(F10:AG10)</f>
        <v>0</v>
      </c>
      <c r="F10" s="21"/>
      <c r="G10" s="15"/>
      <c r="H10" s="20"/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59</v>
      </c>
      <c r="C11" s="12">
        <v>0.05</v>
      </c>
      <c r="D11" s="12"/>
      <c r="E11" s="103">
        <f>SUM(F11:AG11)</f>
        <v>0</v>
      </c>
      <c r="F11" s="21"/>
      <c r="G11" s="15"/>
      <c r="H11" s="20"/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61</v>
      </c>
      <c r="C12" s="12">
        <v>0.05</v>
      </c>
      <c r="D12" s="12"/>
      <c r="E12" s="103">
        <f>SUM(F12:AG12)</f>
        <v>0</v>
      </c>
      <c r="F12" s="21"/>
      <c r="G12" s="15"/>
      <c r="H12" s="20"/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1863000</v>
      </c>
      <c r="E14" s="2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53</v>
      </c>
      <c r="C15" s="12">
        <v>0.1</v>
      </c>
      <c r="D15" s="12"/>
      <c r="E15" s="103">
        <f t="shared" ref="E15:E19" si="0">SUM(F15:AG15)</f>
        <v>0.1</v>
      </c>
      <c r="F15" s="20"/>
      <c r="G15" s="15">
        <v>0.1</v>
      </c>
      <c r="H15" s="20"/>
      <c r="I15" s="21"/>
      <c r="J15" s="21"/>
      <c r="K15" s="15"/>
      <c r="L15" s="21"/>
      <c r="M15" s="17"/>
      <c r="N15" s="21"/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55</v>
      </c>
      <c r="C16" s="12">
        <v>0.05</v>
      </c>
      <c r="D16" s="12"/>
      <c r="E16" s="103">
        <f t="shared" si="0"/>
        <v>4.9999999999999996E-2</v>
      </c>
      <c r="F16" s="21"/>
      <c r="G16" s="17">
        <v>2.5000000000000001E-2</v>
      </c>
      <c r="H16" s="21">
        <v>0.02</v>
      </c>
      <c r="I16" s="20">
        <v>5.0000000000000001E-3</v>
      </c>
      <c r="J16" s="21"/>
      <c r="K16" s="17"/>
      <c r="L16" s="21"/>
      <c r="M16" s="15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3</v>
      </c>
      <c r="B17" s="11" t="s">
        <v>57</v>
      </c>
      <c r="C17" s="12">
        <v>0.05</v>
      </c>
      <c r="D17" s="12"/>
      <c r="E17" s="103">
        <f t="shared" si="0"/>
        <v>4.9999999999999996E-2</v>
      </c>
      <c r="F17" s="21"/>
      <c r="G17" s="17">
        <v>2.5000000000000001E-2</v>
      </c>
      <c r="H17" s="21">
        <v>0.02</v>
      </c>
      <c r="I17" s="20">
        <v>5.0000000000000001E-3</v>
      </c>
      <c r="J17" s="20"/>
      <c r="K17" s="17"/>
      <c r="L17" s="21"/>
      <c r="M17" s="17"/>
      <c r="N17" s="21"/>
      <c r="O17" s="17"/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4</v>
      </c>
      <c r="B18" s="11" t="s">
        <v>69</v>
      </c>
      <c r="C18" s="12">
        <v>0.05</v>
      </c>
      <c r="D18" s="12"/>
      <c r="E18" s="103">
        <f t="shared" si="0"/>
        <v>4.9999999999999996E-2</v>
      </c>
      <c r="F18" s="21"/>
      <c r="G18" s="17">
        <v>2.5000000000000001E-2</v>
      </c>
      <c r="H18" s="21">
        <v>0.02</v>
      </c>
      <c r="I18" s="20">
        <v>5.0000000000000001E-3</v>
      </c>
      <c r="J18" s="21"/>
      <c r="K18" s="17"/>
      <c r="L18" s="21"/>
      <c r="M18" s="15"/>
      <c r="N18" s="21"/>
      <c r="O18" s="17"/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5</v>
      </c>
      <c r="B19" s="11" t="s">
        <v>71</v>
      </c>
      <c r="C19" s="12">
        <v>0.05</v>
      </c>
      <c r="D19" s="12"/>
      <c r="E19" s="103">
        <f t="shared" si="0"/>
        <v>4.9999999999999996E-2</v>
      </c>
      <c r="F19" s="21"/>
      <c r="G19" s="17">
        <v>2.5000000000000001E-2</v>
      </c>
      <c r="H19" s="21">
        <v>0.02</v>
      </c>
      <c r="I19" s="20">
        <v>5.0000000000000001E-3</v>
      </c>
      <c r="J19" s="21"/>
      <c r="K19" s="15"/>
      <c r="L19" s="21"/>
      <c r="M19" s="17"/>
      <c r="N19" s="21"/>
      <c r="O19" s="15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/>
      <c r="B20" s="11"/>
      <c r="C20" s="12"/>
      <c r="D20" s="12"/>
      <c r="E20" s="1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621000</v>
      </c>
      <c r="E21" s="2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x14ac:dyDescent="0.25">
      <c r="A22" s="11">
        <v>1</v>
      </c>
      <c r="B22" s="11" t="s">
        <v>53</v>
      </c>
      <c r="C22" s="12">
        <v>0.02</v>
      </c>
      <c r="D22" s="12"/>
      <c r="E22" s="103">
        <f t="shared" ref="E22:E26" si="1">SUM(F22:AG22)</f>
        <v>0.02</v>
      </c>
      <c r="F22" s="21"/>
      <c r="G22" s="17">
        <v>1.4999999999999999E-2</v>
      </c>
      <c r="H22" s="20"/>
      <c r="I22" s="21">
        <v>5.0000000000000001E-3</v>
      </c>
      <c r="J22" s="21"/>
      <c r="K22" s="15"/>
      <c r="L22" s="21"/>
      <c r="M22" s="17"/>
      <c r="N22" s="21"/>
      <c r="O22" s="17"/>
      <c r="P22" s="21"/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x14ac:dyDescent="0.25">
      <c r="A23" s="11">
        <v>2</v>
      </c>
      <c r="B23" s="11" t="s">
        <v>55</v>
      </c>
      <c r="C23" s="12">
        <v>0.02</v>
      </c>
      <c r="D23" s="12"/>
      <c r="E23" s="103">
        <f t="shared" si="1"/>
        <v>0.02</v>
      </c>
      <c r="F23" s="21"/>
      <c r="G23" s="17">
        <v>1.4999999999999999E-2</v>
      </c>
      <c r="H23" s="21"/>
      <c r="I23" s="20">
        <v>5.0000000000000001E-3</v>
      </c>
      <c r="J23" s="21"/>
      <c r="K23" s="17"/>
      <c r="L23" s="21"/>
      <c r="M23" s="15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x14ac:dyDescent="0.25">
      <c r="A24" s="11">
        <v>3</v>
      </c>
      <c r="B24" s="11" t="s">
        <v>57</v>
      </c>
      <c r="C24" s="12">
        <v>0.02</v>
      </c>
      <c r="D24" s="12"/>
      <c r="E24" s="103">
        <f t="shared" si="1"/>
        <v>0.02</v>
      </c>
      <c r="F24" s="21"/>
      <c r="G24" s="17">
        <v>1.4999999999999999E-2</v>
      </c>
      <c r="H24" s="21"/>
      <c r="I24" s="20">
        <v>5.0000000000000001E-3</v>
      </c>
      <c r="J24" s="20"/>
      <c r="K24" s="17"/>
      <c r="L24" s="21"/>
      <c r="M24" s="17"/>
      <c r="N24" s="21"/>
      <c r="O24" s="17"/>
      <c r="P24" s="20"/>
      <c r="Q24" s="17"/>
      <c r="R24" s="20"/>
      <c r="S24" s="17"/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x14ac:dyDescent="0.25">
      <c r="A25" s="11">
        <v>4</v>
      </c>
      <c r="B25" s="11" t="s">
        <v>69</v>
      </c>
      <c r="C25" s="12">
        <v>0.02</v>
      </c>
      <c r="D25" s="12"/>
      <c r="E25" s="103">
        <f t="shared" si="1"/>
        <v>0.02</v>
      </c>
      <c r="F25" s="21"/>
      <c r="G25" s="17">
        <v>1.4999999999999999E-2</v>
      </c>
      <c r="H25" s="21"/>
      <c r="I25" s="21">
        <v>5.0000000000000001E-3</v>
      </c>
      <c r="J25" s="21"/>
      <c r="K25" s="17"/>
      <c r="L25" s="21"/>
      <c r="M25" s="15"/>
      <c r="N25" s="21"/>
      <c r="O25" s="17"/>
      <c r="P25" s="21"/>
      <c r="Q25" s="17"/>
      <c r="R25" s="21"/>
      <c r="S25" s="17"/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x14ac:dyDescent="0.25">
      <c r="A26" s="11">
        <v>5</v>
      </c>
      <c r="B26" s="11" t="s">
        <v>71</v>
      </c>
      <c r="C26" s="12">
        <v>0.02</v>
      </c>
      <c r="D26" s="12"/>
      <c r="E26" s="103">
        <f t="shared" si="1"/>
        <v>0.02</v>
      </c>
      <c r="F26" s="21"/>
      <c r="G26" s="17">
        <v>1.4999999999999999E-2</v>
      </c>
      <c r="H26" s="21"/>
      <c r="I26" s="21">
        <v>5.0000000000000001E-3</v>
      </c>
      <c r="J26" s="21"/>
      <c r="K26" s="15"/>
      <c r="L26" s="21"/>
      <c r="M26" s="17"/>
      <c r="N26" s="21"/>
      <c r="O26" s="15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/>
      <c r="B27" s="11"/>
      <c r="C27" s="12"/>
      <c r="D27" s="12"/>
      <c r="E27" s="1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7">
        <v>4</v>
      </c>
      <c r="B28" s="7" t="s">
        <v>51</v>
      </c>
      <c r="C28" s="8">
        <f>SUM(C29:C33)</f>
        <v>0.1</v>
      </c>
      <c r="D28" s="56">
        <f>C28*C3</f>
        <v>621000</v>
      </c>
      <c r="E28" s="2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.75" customHeight="1" x14ac:dyDescent="0.25">
      <c r="A29" s="11">
        <v>1</v>
      </c>
      <c r="B29" s="11" t="s">
        <v>53</v>
      </c>
      <c r="C29" s="12">
        <v>0.02</v>
      </c>
      <c r="D29" s="12"/>
      <c r="E29" s="103">
        <f t="shared" ref="E29:E33" si="2">SUM(F29:AG29)</f>
        <v>0</v>
      </c>
      <c r="F29" s="21"/>
      <c r="G29" s="17"/>
      <c r="H29" s="21"/>
      <c r="I29" s="21"/>
      <c r="J29" s="21"/>
      <c r="K29" s="17"/>
      <c r="L29" s="21"/>
      <c r="M29" s="15"/>
      <c r="N29" s="21"/>
      <c r="O29" s="17"/>
      <c r="P29" s="21"/>
      <c r="Q29" s="17"/>
      <c r="R29" s="21"/>
      <c r="S29" s="17"/>
      <c r="T29" s="21"/>
      <c r="U29" s="15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11">
        <v>2</v>
      </c>
      <c r="B30" s="11" t="s">
        <v>55</v>
      </c>
      <c r="C30" s="12">
        <v>0.02</v>
      </c>
      <c r="D30" s="12"/>
      <c r="E30" s="103">
        <f t="shared" si="2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5"/>
      <c r="P30" s="20"/>
      <c r="Q30" s="17"/>
      <c r="R30" s="20"/>
      <c r="S30" s="15"/>
      <c r="T30" s="20"/>
      <c r="U30" s="15"/>
      <c r="V30" s="20"/>
      <c r="W30" s="17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 ht="15.75" customHeight="1" x14ac:dyDescent="0.25">
      <c r="A31" s="11">
        <v>3</v>
      </c>
      <c r="B31" s="11" t="s">
        <v>57</v>
      </c>
      <c r="C31" s="12">
        <v>0.02</v>
      </c>
      <c r="D31" s="12"/>
      <c r="E31" s="103">
        <f t="shared" si="2"/>
        <v>0</v>
      </c>
      <c r="F31" s="21"/>
      <c r="G31" s="17"/>
      <c r="H31" s="21"/>
      <c r="I31" s="21"/>
      <c r="J31" s="21"/>
      <c r="K31" s="17"/>
      <c r="L31" s="21"/>
      <c r="M31" s="17"/>
      <c r="N31" s="21"/>
      <c r="O31" s="15"/>
      <c r="P31" s="20"/>
      <c r="Q31" s="17"/>
      <c r="R31" s="20"/>
      <c r="S31" s="17"/>
      <c r="T31" s="20"/>
      <c r="U31" s="15"/>
      <c r="V31" s="20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4</v>
      </c>
      <c r="B32" s="11" t="s">
        <v>69</v>
      </c>
      <c r="C32" s="12">
        <v>0.02</v>
      </c>
      <c r="D32" s="12"/>
      <c r="E32" s="103">
        <f t="shared" si="2"/>
        <v>0</v>
      </c>
      <c r="F32" s="21"/>
      <c r="G32" s="17"/>
      <c r="H32" s="21"/>
      <c r="I32" s="21"/>
      <c r="J32" s="21"/>
      <c r="K32" s="17"/>
      <c r="L32" s="21"/>
      <c r="M32" s="17"/>
      <c r="N32" s="21"/>
      <c r="O32" s="17"/>
      <c r="P32" s="20"/>
      <c r="Q32" s="17"/>
      <c r="R32" s="20"/>
      <c r="S32" s="17"/>
      <c r="T32" s="20"/>
      <c r="U32" s="17"/>
      <c r="V32" s="20"/>
      <c r="W32" s="15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0.02</v>
      </c>
      <c r="D33" s="12"/>
      <c r="E33" s="103">
        <f t="shared" si="2"/>
        <v>0</v>
      </c>
      <c r="F33" s="21"/>
      <c r="G33" s="17"/>
      <c r="H33" s="21"/>
      <c r="I33" s="21"/>
      <c r="J33" s="21"/>
      <c r="K33" s="17"/>
      <c r="L33" s="21"/>
      <c r="M33" s="17"/>
      <c r="N33" s="21"/>
      <c r="O33" s="17"/>
      <c r="P33" s="21"/>
      <c r="Q33" s="17"/>
      <c r="R33" s="21"/>
      <c r="S33" s="17"/>
      <c r="T33" s="21"/>
      <c r="U33" s="17"/>
      <c r="V33" s="20"/>
      <c r="W33" s="15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496800</v>
      </c>
      <c r="E35" s="2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>SUM(F36:AG36)</f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5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x14ac:dyDescent="0.25">
      <c r="A38" s="7">
        <v>6</v>
      </c>
      <c r="B38" s="7" t="s">
        <v>31</v>
      </c>
      <c r="C38" s="8">
        <f>SUM(C39:C43)</f>
        <v>0.1</v>
      </c>
      <c r="D38" s="56">
        <f>C38*C3</f>
        <v>621000</v>
      </c>
      <c r="E38" s="2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0.02</v>
      </c>
      <c r="D39" s="12"/>
      <c r="E39" s="103">
        <f t="shared" ref="E39:E43" si="3">SUM(F39:AG39)</f>
        <v>0</v>
      </c>
      <c r="F39" s="21"/>
      <c r="G39" s="17"/>
      <c r="H39" s="21"/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17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0.02</v>
      </c>
      <c r="D40" s="12"/>
      <c r="E40" s="103">
        <f t="shared" si="3"/>
        <v>0</v>
      </c>
      <c r="F40" s="21"/>
      <c r="G40" s="17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0.02</v>
      </c>
      <c r="D41" s="12"/>
      <c r="E41" s="103">
        <f t="shared" si="3"/>
        <v>0</v>
      </c>
      <c r="F41" s="21"/>
      <c r="G41" s="17"/>
      <c r="H41" s="21"/>
      <c r="I41" s="21"/>
      <c r="J41" s="21"/>
      <c r="K41" s="17"/>
      <c r="L41" s="21"/>
      <c r="M41" s="17"/>
      <c r="N41" s="21"/>
      <c r="O41" s="17"/>
      <c r="P41" s="21"/>
      <c r="Q41" s="17"/>
      <c r="R41" s="21"/>
      <c r="S41" s="17"/>
      <c r="T41" s="21"/>
      <c r="U41" s="17"/>
      <c r="V41" s="21"/>
      <c r="W41" s="30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0.02</v>
      </c>
      <c r="D42" s="12"/>
      <c r="E42" s="103">
        <f t="shared" si="3"/>
        <v>0</v>
      </c>
      <c r="F42" s="21"/>
      <c r="G42" s="17"/>
      <c r="H42" s="21"/>
      <c r="I42" s="21"/>
      <c r="J42" s="21"/>
      <c r="K42" s="17"/>
      <c r="L42" s="21"/>
      <c r="M42" s="17"/>
      <c r="N42" s="21"/>
      <c r="O42" s="17"/>
      <c r="P42" s="21"/>
      <c r="Q42" s="17"/>
      <c r="R42" s="21"/>
      <c r="S42" s="17"/>
      <c r="T42" s="21"/>
      <c r="U42" s="17"/>
      <c r="V42" s="21"/>
      <c r="W42" s="30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0.02</v>
      </c>
      <c r="D43" s="12"/>
      <c r="E43" s="103">
        <f t="shared" si="3"/>
        <v>0</v>
      </c>
      <c r="F43" s="21"/>
      <c r="G43" s="17"/>
      <c r="H43" s="21"/>
      <c r="I43" s="21"/>
      <c r="J43" s="21"/>
      <c r="K43" s="17"/>
      <c r="L43" s="21"/>
      <c r="M43" s="17"/>
      <c r="N43" s="21"/>
      <c r="O43" s="17"/>
      <c r="P43" s="21"/>
      <c r="Q43" s="17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C44" s="22"/>
      <c r="D44" s="22"/>
      <c r="E44" s="13"/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7.0000000000000007E-2</v>
      </c>
      <c r="D45" s="56">
        <f>C45*C3</f>
        <v>434700.00000000006</v>
      </c>
      <c r="E45" s="2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0.02</v>
      </c>
      <c r="D46" s="12"/>
      <c r="E46" s="103">
        <f t="shared" ref="E46:E48" si="4">SUM(F46:AG46)</f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0.02</v>
      </c>
      <c r="D47" s="12"/>
      <c r="E47" s="103">
        <f t="shared" si="4"/>
        <v>0</v>
      </c>
      <c r="F47" s="21"/>
      <c r="G47" s="17"/>
      <c r="H47" s="21"/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5"/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0.03</v>
      </c>
      <c r="D48" s="12"/>
      <c r="E48" s="103">
        <f t="shared" si="4"/>
        <v>0</v>
      </c>
      <c r="F48" s="21"/>
      <c r="G48" s="17"/>
      <c r="H48" s="21"/>
      <c r="I48" s="21"/>
      <c r="J48" s="21"/>
      <c r="K48" s="17"/>
      <c r="L48" s="21"/>
      <c r="M48" s="17"/>
      <c r="N48" s="21"/>
      <c r="O48" s="17"/>
      <c r="P48" s="21"/>
      <c r="Q48" s="17"/>
      <c r="R48" s="21"/>
      <c r="S48" s="17"/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5.75" customHeight="1" thickBot="1" x14ac:dyDescent="0.3">
      <c r="A49" s="11"/>
      <c r="B49" s="11"/>
      <c r="C49" s="12"/>
      <c r="D49" s="12"/>
      <c r="E49" s="10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5.75" customHeight="1" thickBot="1" x14ac:dyDescent="0.35">
      <c r="A50" s="32"/>
      <c r="B50" s="33" t="s">
        <v>32</v>
      </c>
      <c r="C50" s="34">
        <f>SUM(C7+C14+C21+C28+C35+C38+C45)</f>
        <v>1</v>
      </c>
      <c r="D50" s="34"/>
      <c r="E50" s="35">
        <f>SUM(F50:AG50)</f>
        <v>0.4</v>
      </c>
      <c r="F50" s="62">
        <f t="shared" ref="F50:AG50" si="5">SUM(F8:F49)</f>
        <v>0</v>
      </c>
      <c r="G50" s="62">
        <f t="shared" si="5"/>
        <v>0.27500000000000002</v>
      </c>
      <c r="H50" s="62">
        <f t="shared" si="5"/>
        <v>0.08</v>
      </c>
      <c r="I50" s="62">
        <f t="shared" si="5"/>
        <v>4.4999999999999998E-2</v>
      </c>
      <c r="J50" s="62">
        <f t="shared" si="5"/>
        <v>0</v>
      </c>
      <c r="K50" s="62">
        <f t="shared" si="5"/>
        <v>0</v>
      </c>
      <c r="L50" s="62">
        <f t="shared" si="5"/>
        <v>0</v>
      </c>
      <c r="M50" s="62">
        <f t="shared" si="5"/>
        <v>0</v>
      </c>
      <c r="N50" s="62">
        <f t="shared" si="5"/>
        <v>0</v>
      </c>
      <c r="O50" s="62">
        <f t="shared" si="5"/>
        <v>0</v>
      </c>
      <c r="P50" s="62">
        <f t="shared" si="5"/>
        <v>0</v>
      </c>
      <c r="Q50" s="62">
        <f t="shared" si="5"/>
        <v>0</v>
      </c>
      <c r="R50" s="62">
        <f t="shared" si="5"/>
        <v>0</v>
      </c>
      <c r="S50" s="62">
        <f t="shared" si="5"/>
        <v>0</v>
      </c>
      <c r="T50" s="62">
        <f t="shared" si="5"/>
        <v>0</v>
      </c>
      <c r="U50" s="62">
        <f t="shared" si="5"/>
        <v>0</v>
      </c>
      <c r="V50" s="62">
        <f t="shared" si="5"/>
        <v>0</v>
      </c>
      <c r="W50" s="62">
        <f t="shared" si="5"/>
        <v>0</v>
      </c>
      <c r="X50" s="62">
        <f t="shared" si="5"/>
        <v>0</v>
      </c>
      <c r="Y50" s="62">
        <f t="shared" si="5"/>
        <v>0</v>
      </c>
      <c r="Z50" s="62">
        <f t="shared" si="5"/>
        <v>0</v>
      </c>
      <c r="AA50" s="62">
        <f t="shared" si="5"/>
        <v>0</v>
      </c>
      <c r="AB50" s="62">
        <f t="shared" si="5"/>
        <v>0</v>
      </c>
      <c r="AC50" s="62">
        <f t="shared" si="5"/>
        <v>0</v>
      </c>
      <c r="AD50" s="62">
        <f t="shared" si="5"/>
        <v>0</v>
      </c>
      <c r="AE50" s="62">
        <f t="shared" si="5"/>
        <v>0</v>
      </c>
      <c r="AF50" s="62">
        <f t="shared" si="5"/>
        <v>0</v>
      </c>
      <c r="AG50" s="62">
        <f t="shared" si="5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31" t="s">
        <v>34</v>
      </c>
      <c r="B54" s="128"/>
      <c r="C54" s="128"/>
      <c r="D54" s="128"/>
      <c r="E54" s="129"/>
      <c r="F54" s="40">
        <f>C3+(C3*F52)</f>
        <v>6210000</v>
      </c>
      <c r="G54" s="40">
        <f t="shared" ref="G54:AG54" si="6">F54+(F54*G52)</f>
        <v>6210000</v>
      </c>
      <c r="H54" s="40">
        <f t="shared" si="6"/>
        <v>6210000</v>
      </c>
      <c r="I54" s="40">
        <f t="shared" si="6"/>
        <v>6210000</v>
      </c>
      <c r="J54" s="40">
        <f t="shared" si="6"/>
        <v>6210000</v>
      </c>
      <c r="K54" s="40">
        <f t="shared" si="6"/>
        <v>6210000</v>
      </c>
      <c r="L54" s="40">
        <f t="shared" si="6"/>
        <v>6210000</v>
      </c>
      <c r="M54" s="40">
        <f t="shared" si="6"/>
        <v>6210000</v>
      </c>
      <c r="N54" s="40">
        <f t="shared" si="6"/>
        <v>6210000</v>
      </c>
      <c r="O54" s="40">
        <f t="shared" si="6"/>
        <v>6210000</v>
      </c>
      <c r="P54" s="40">
        <f t="shared" si="6"/>
        <v>6210000</v>
      </c>
      <c r="Q54" s="40">
        <f t="shared" si="6"/>
        <v>6210000</v>
      </c>
      <c r="R54" s="40">
        <f t="shared" si="6"/>
        <v>6210000</v>
      </c>
      <c r="S54" s="40">
        <f t="shared" si="6"/>
        <v>6210000</v>
      </c>
      <c r="T54" s="40">
        <f t="shared" si="6"/>
        <v>6210000</v>
      </c>
      <c r="U54" s="40">
        <f t="shared" si="6"/>
        <v>6210000</v>
      </c>
      <c r="V54" s="40">
        <f t="shared" si="6"/>
        <v>6210000</v>
      </c>
      <c r="W54" s="40">
        <f t="shared" si="6"/>
        <v>6210000</v>
      </c>
      <c r="X54" s="40">
        <f t="shared" si="6"/>
        <v>6210000</v>
      </c>
      <c r="Y54" s="40">
        <f t="shared" si="6"/>
        <v>6210000</v>
      </c>
      <c r="Z54" s="40">
        <f t="shared" si="6"/>
        <v>6210000</v>
      </c>
      <c r="AA54" s="40">
        <f t="shared" si="6"/>
        <v>6210000</v>
      </c>
      <c r="AB54" s="40">
        <f t="shared" si="6"/>
        <v>6210000</v>
      </c>
      <c r="AC54" s="40">
        <f t="shared" si="6"/>
        <v>6210000</v>
      </c>
      <c r="AD54" s="40">
        <f t="shared" si="6"/>
        <v>6210000</v>
      </c>
      <c r="AE54" s="40">
        <f t="shared" si="6"/>
        <v>6210000</v>
      </c>
      <c r="AF54" s="40">
        <f t="shared" si="6"/>
        <v>6210000</v>
      </c>
      <c r="AG54" s="40">
        <f t="shared" si="6"/>
        <v>6210000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32" t="s">
        <v>35</v>
      </c>
      <c r="B56" s="128"/>
      <c r="C56" s="128"/>
      <c r="D56" s="128"/>
      <c r="E56" s="129"/>
      <c r="F56" s="41">
        <f t="shared" ref="F56:AG56" si="7">F50*F54</f>
        <v>0</v>
      </c>
      <c r="G56" s="41">
        <f t="shared" si="7"/>
        <v>1707750.0000000002</v>
      </c>
      <c r="H56" s="41">
        <f t="shared" si="7"/>
        <v>496800</v>
      </c>
      <c r="I56" s="41">
        <f t="shared" si="7"/>
        <v>279450</v>
      </c>
      <c r="J56" s="41">
        <f t="shared" si="7"/>
        <v>0</v>
      </c>
      <c r="K56" s="41">
        <f t="shared" si="7"/>
        <v>0</v>
      </c>
      <c r="L56" s="41">
        <f t="shared" si="7"/>
        <v>0</v>
      </c>
      <c r="M56" s="41">
        <f t="shared" si="7"/>
        <v>0</v>
      </c>
      <c r="N56" s="41">
        <f t="shared" si="7"/>
        <v>0</v>
      </c>
      <c r="O56" s="41">
        <f t="shared" si="7"/>
        <v>0</v>
      </c>
      <c r="P56" s="41">
        <f t="shared" si="7"/>
        <v>0</v>
      </c>
      <c r="Q56" s="41">
        <f t="shared" si="7"/>
        <v>0</v>
      </c>
      <c r="R56" s="41">
        <f t="shared" si="7"/>
        <v>0</v>
      </c>
      <c r="S56" s="41">
        <f t="shared" si="7"/>
        <v>0</v>
      </c>
      <c r="T56" s="41">
        <f t="shared" si="7"/>
        <v>0</v>
      </c>
      <c r="U56" s="41">
        <f t="shared" si="7"/>
        <v>0</v>
      </c>
      <c r="V56" s="41">
        <f t="shared" si="7"/>
        <v>0</v>
      </c>
      <c r="W56" s="41">
        <f t="shared" si="7"/>
        <v>0</v>
      </c>
      <c r="X56" s="41">
        <f t="shared" si="7"/>
        <v>0</v>
      </c>
      <c r="Y56" s="41">
        <f t="shared" si="7"/>
        <v>0</v>
      </c>
      <c r="Z56" s="41">
        <f t="shared" si="7"/>
        <v>0</v>
      </c>
      <c r="AA56" s="41">
        <f t="shared" si="7"/>
        <v>0</v>
      </c>
      <c r="AB56" s="41">
        <f t="shared" si="7"/>
        <v>0</v>
      </c>
      <c r="AC56" s="41">
        <f t="shared" si="7"/>
        <v>0</v>
      </c>
      <c r="AD56" s="41">
        <f t="shared" si="7"/>
        <v>0</v>
      </c>
      <c r="AE56" s="41">
        <f t="shared" si="7"/>
        <v>0</v>
      </c>
      <c r="AF56" s="41">
        <f t="shared" si="7"/>
        <v>0</v>
      </c>
      <c r="AG56" s="41">
        <f t="shared" si="7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127" t="s">
        <v>36</v>
      </c>
      <c r="B58" s="128"/>
      <c r="C58" s="128"/>
      <c r="D58" s="128"/>
      <c r="E58" s="129"/>
      <c r="F58" s="42">
        <f>F56-(F56*D4)</f>
        <v>0</v>
      </c>
      <c r="G58" s="43">
        <f>G56-(G56*D4)</f>
        <v>1707750.0000000002</v>
      </c>
      <c r="H58" s="43">
        <f>H56-(H56*D4)</f>
        <v>496800</v>
      </c>
      <c r="I58" s="43">
        <f>I56-(I56*D4)</f>
        <v>279450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130" t="s">
        <v>37</v>
      </c>
      <c r="B60" s="128"/>
      <c r="C60" s="128"/>
      <c r="D60" s="128"/>
      <c r="E60" s="129"/>
      <c r="F60" s="45">
        <f>F54-F58-C4</f>
        <v>6210000</v>
      </c>
      <c r="G60" s="45">
        <f t="shared" ref="G60:AG60" si="8">(F60+(F60*G52))-G58</f>
        <v>4502250</v>
      </c>
      <c r="H60" s="46">
        <f t="shared" si="8"/>
        <v>4005450</v>
      </c>
      <c r="I60" s="46">
        <f t="shared" si="8"/>
        <v>3726000</v>
      </c>
      <c r="J60" s="45">
        <f t="shared" si="8"/>
        <v>3726000</v>
      </c>
      <c r="K60" s="45">
        <f t="shared" si="8"/>
        <v>3726000</v>
      </c>
      <c r="L60" s="45">
        <f t="shared" si="8"/>
        <v>3726000</v>
      </c>
      <c r="M60" s="45">
        <f t="shared" si="8"/>
        <v>3726000</v>
      </c>
      <c r="N60" s="45">
        <f t="shared" si="8"/>
        <v>3726000</v>
      </c>
      <c r="O60" s="45">
        <f t="shared" si="8"/>
        <v>3726000</v>
      </c>
      <c r="P60" s="45">
        <f t="shared" si="8"/>
        <v>3726000</v>
      </c>
      <c r="Q60" s="45">
        <f t="shared" si="8"/>
        <v>3726000</v>
      </c>
      <c r="R60" s="45">
        <f t="shared" si="8"/>
        <v>3726000</v>
      </c>
      <c r="S60" s="45">
        <f t="shared" si="8"/>
        <v>3726000</v>
      </c>
      <c r="T60" s="45">
        <f t="shared" si="8"/>
        <v>3726000</v>
      </c>
      <c r="U60" s="45">
        <f t="shared" si="8"/>
        <v>3726000</v>
      </c>
      <c r="V60" s="45">
        <f t="shared" si="8"/>
        <v>3726000</v>
      </c>
      <c r="W60" s="45">
        <f t="shared" si="8"/>
        <v>3726000</v>
      </c>
      <c r="X60" s="45">
        <f t="shared" si="8"/>
        <v>3726000</v>
      </c>
      <c r="Y60" s="45">
        <f t="shared" si="8"/>
        <v>3726000</v>
      </c>
      <c r="Z60" s="45">
        <f t="shared" si="8"/>
        <v>3726000</v>
      </c>
      <c r="AA60" s="45">
        <f t="shared" si="8"/>
        <v>3726000</v>
      </c>
      <c r="AB60" s="45">
        <f t="shared" si="8"/>
        <v>3726000</v>
      </c>
      <c r="AC60" s="45">
        <f t="shared" si="8"/>
        <v>3726000</v>
      </c>
      <c r="AD60" s="45">
        <f t="shared" si="8"/>
        <v>3726000</v>
      </c>
      <c r="AE60" s="45">
        <f t="shared" si="8"/>
        <v>3726000</v>
      </c>
      <c r="AF60" s="45">
        <f t="shared" si="8"/>
        <v>3726000</v>
      </c>
      <c r="AG60" s="45">
        <f t="shared" si="8"/>
        <v>3726000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/>
      <c r="G62">
        <v>1707750</v>
      </c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6"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rintOptions horizontalCentered="1" verticalCentered="1" gridLines="1"/>
  <pageMargins left="0.25" right="0.25" top="0.75" bottom="0.75" header="0" footer="0"/>
  <pageSetup paperSize="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AG1002"/>
  <sheetViews>
    <sheetView zoomScale="85" zoomScaleNormal="85" workbookViewId="0">
      <pane xSplit="3" topLeftCell="D1" activePane="topRight" state="frozen"/>
      <selection pane="topRight" activeCell="I60" sqref="A1:I60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5" width="10.7109375" customWidth="1"/>
  </cols>
  <sheetData>
    <row r="1" spans="1:33" ht="30" customHeight="1" x14ac:dyDescent="0.25">
      <c r="A1" s="1"/>
      <c r="B1" s="102" t="s">
        <v>87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23" t="s">
        <v>1</v>
      </c>
      <c r="B3" s="124"/>
      <c r="C3" s="5">
        <f>RESUMEN!D10</f>
        <v>6210000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21" t="s">
        <v>39</v>
      </c>
      <c r="G5" s="122"/>
      <c r="H5" s="121" t="s">
        <v>40</v>
      </c>
      <c r="I5" s="122"/>
      <c r="J5" s="121" t="s">
        <v>41</v>
      </c>
      <c r="K5" s="122"/>
      <c r="L5" s="121" t="s">
        <v>42</v>
      </c>
      <c r="M5" s="122"/>
      <c r="N5" s="121" t="s">
        <v>43</v>
      </c>
      <c r="O5" s="122"/>
      <c r="P5" s="121" t="s">
        <v>44</v>
      </c>
      <c r="Q5" s="122"/>
      <c r="R5" s="121" t="s">
        <v>45</v>
      </c>
      <c r="S5" s="122"/>
      <c r="T5" s="121" t="s">
        <v>46</v>
      </c>
      <c r="U5" s="122"/>
      <c r="V5" s="121" t="s">
        <v>47</v>
      </c>
      <c r="W5" s="122"/>
      <c r="X5" s="121" t="s">
        <v>48</v>
      </c>
      <c r="Y5" s="122"/>
      <c r="Z5" s="121" t="s">
        <v>49</v>
      </c>
      <c r="AA5" s="122"/>
      <c r="AB5" s="121" t="s">
        <v>38</v>
      </c>
      <c r="AC5" s="122"/>
      <c r="AD5" s="121" t="s">
        <v>39</v>
      </c>
      <c r="AE5" s="122"/>
      <c r="AF5" s="121" t="s">
        <v>40</v>
      </c>
      <c r="AG5" s="122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3" ht="16.5" thickBot="1" x14ac:dyDescent="0.3">
      <c r="A7" s="7">
        <v>1</v>
      </c>
      <c r="B7" s="7" t="s">
        <v>52</v>
      </c>
      <c r="C7" s="8">
        <f>SUM(C8:C12)</f>
        <v>0.25</v>
      </c>
      <c r="D7" s="56">
        <f>C7*C3</f>
        <v>1552500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</v>
      </c>
      <c r="F8" s="16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55</v>
      </c>
      <c r="C9" s="12">
        <v>0.05</v>
      </c>
      <c r="D9" s="12"/>
      <c r="E9" s="103">
        <f t="shared" ref="E9:E12" si="0">SUM(F9:AG9)</f>
        <v>0</v>
      </c>
      <c r="F9" s="21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57</v>
      </c>
      <c r="C10" s="12">
        <v>0.05</v>
      </c>
      <c r="D10" s="12"/>
      <c r="E10" s="103">
        <f t="shared" si="0"/>
        <v>0</v>
      </c>
      <c r="F10" s="21"/>
      <c r="G10" s="15"/>
      <c r="H10" s="20"/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59</v>
      </c>
      <c r="C11" s="12">
        <v>0.05</v>
      </c>
      <c r="D11" s="12"/>
      <c r="E11" s="103">
        <f t="shared" si="0"/>
        <v>0</v>
      </c>
      <c r="F11" s="21"/>
      <c r="G11" s="15"/>
      <c r="H11" s="20"/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61</v>
      </c>
      <c r="C12" s="12">
        <v>0.05</v>
      </c>
      <c r="D12" s="12"/>
      <c r="E12" s="103">
        <f t="shared" si="0"/>
        <v>0</v>
      </c>
      <c r="F12" s="21"/>
      <c r="G12" s="15"/>
      <c r="H12" s="20"/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1863000</v>
      </c>
      <c r="E14" s="2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53</v>
      </c>
      <c r="C15" s="12">
        <v>0.1</v>
      </c>
      <c r="D15" s="12"/>
      <c r="E15" s="103">
        <f t="shared" ref="E15:E19" si="1">SUM(F15:AG15)</f>
        <v>0.1</v>
      </c>
      <c r="F15" s="20"/>
      <c r="G15" s="15">
        <v>0.1</v>
      </c>
      <c r="H15" s="20"/>
      <c r="I15" s="21"/>
      <c r="J15" s="21"/>
      <c r="K15" s="15"/>
      <c r="L15" s="21"/>
      <c r="M15" s="17"/>
      <c r="N15" s="21"/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55</v>
      </c>
      <c r="C16" s="12">
        <v>0.05</v>
      </c>
      <c r="D16" s="12"/>
      <c r="E16" s="103">
        <f t="shared" si="1"/>
        <v>0.05</v>
      </c>
      <c r="F16" s="21"/>
      <c r="G16" s="15">
        <v>0.05</v>
      </c>
      <c r="H16" s="21"/>
      <c r="I16" s="20"/>
      <c r="J16" s="21"/>
      <c r="K16" s="17"/>
      <c r="L16" s="21"/>
      <c r="M16" s="15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3</v>
      </c>
      <c r="B17" s="11" t="s">
        <v>57</v>
      </c>
      <c r="C17" s="12">
        <v>0.05</v>
      </c>
      <c r="D17" s="12"/>
      <c r="E17" s="103">
        <f t="shared" si="1"/>
        <v>0.05</v>
      </c>
      <c r="F17" s="21"/>
      <c r="G17" s="15">
        <v>0.05</v>
      </c>
      <c r="H17" s="21"/>
      <c r="I17" s="20"/>
      <c r="J17" s="20"/>
      <c r="K17" s="17"/>
      <c r="L17" s="21"/>
      <c r="M17" s="17"/>
      <c r="N17" s="21"/>
      <c r="O17" s="17"/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4</v>
      </c>
      <c r="B18" s="11" t="s">
        <v>69</v>
      </c>
      <c r="C18" s="12">
        <v>0.05</v>
      </c>
      <c r="D18" s="12"/>
      <c r="E18" s="103">
        <f t="shared" si="1"/>
        <v>0.05</v>
      </c>
      <c r="F18" s="21"/>
      <c r="G18" s="15">
        <v>0.05</v>
      </c>
      <c r="H18" s="21"/>
      <c r="I18" s="21"/>
      <c r="J18" s="21"/>
      <c r="K18" s="17"/>
      <c r="L18" s="21"/>
      <c r="M18" s="15"/>
      <c r="N18" s="21"/>
      <c r="O18" s="17"/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5</v>
      </c>
      <c r="B19" s="11" t="s">
        <v>71</v>
      </c>
      <c r="C19" s="12">
        <v>0.05</v>
      </c>
      <c r="D19" s="12"/>
      <c r="E19" s="103">
        <f t="shared" si="1"/>
        <v>0.05</v>
      </c>
      <c r="F19" s="21"/>
      <c r="G19" s="15">
        <v>0.05</v>
      </c>
      <c r="H19" s="21"/>
      <c r="I19" s="21"/>
      <c r="J19" s="21"/>
      <c r="K19" s="15"/>
      <c r="L19" s="21"/>
      <c r="M19" s="17"/>
      <c r="N19" s="21"/>
      <c r="O19" s="15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/>
      <c r="B20" s="11"/>
      <c r="C20" s="12"/>
      <c r="D20" s="12"/>
      <c r="E20" s="1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621000</v>
      </c>
      <c r="E21" s="2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x14ac:dyDescent="0.25">
      <c r="A22" s="11">
        <v>1</v>
      </c>
      <c r="B22" s="11" t="s">
        <v>53</v>
      </c>
      <c r="C22" s="12">
        <v>0.02</v>
      </c>
      <c r="D22" s="12"/>
      <c r="E22" s="103">
        <f t="shared" ref="E22:E26" si="2">SUM(F22:AG22)</f>
        <v>0.02</v>
      </c>
      <c r="F22" s="21"/>
      <c r="G22" s="17">
        <v>0.01</v>
      </c>
      <c r="H22" s="20">
        <v>5.0000000000000001E-3</v>
      </c>
      <c r="I22" s="21">
        <v>5.0000000000000001E-3</v>
      </c>
      <c r="J22" s="21"/>
      <c r="K22" s="15"/>
      <c r="L22" s="21"/>
      <c r="M22" s="17"/>
      <c r="N22" s="21"/>
      <c r="O22" s="17"/>
      <c r="P22" s="21"/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x14ac:dyDescent="0.25">
      <c r="A23" s="11">
        <v>2</v>
      </c>
      <c r="B23" s="11" t="s">
        <v>55</v>
      </c>
      <c r="C23" s="12">
        <v>0.02</v>
      </c>
      <c r="D23" s="12"/>
      <c r="E23" s="103">
        <f t="shared" si="2"/>
        <v>0.02</v>
      </c>
      <c r="F23" s="21"/>
      <c r="G23" s="17">
        <v>0.01</v>
      </c>
      <c r="H23" s="21">
        <v>5.0000000000000001E-3</v>
      </c>
      <c r="I23" s="20">
        <v>5.0000000000000001E-3</v>
      </c>
      <c r="J23" s="21"/>
      <c r="K23" s="17"/>
      <c r="L23" s="21"/>
      <c r="M23" s="15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x14ac:dyDescent="0.25">
      <c r="A24" s="11">
        <v>3</v>
      </c>
      <c r="B24" s="11" t="s">
        <v>57</v>
      </c>
      <c r="C24" s="12">
        <v>0.02</v>
      </c>
      <c r="D24" s="12"/>
      <c r="E24" s="103">
        <f t="shared" si="2"/>
        <v>0.02</v>
      </c>
      <c r="F24" s="21"/>
      <c r="G24" s="17">
        <v>0.01</v>
      </c>
      <c r="H24" s="21">
        <v>5.0000000000000001E-3</v>
      </c>
      <c r="I24" s="20">
        <v>5.0000000000000001E-3</v>
      </c>
      <c r="J24" s="20"/>
      <c r="K24" s="17"/>
      <c r="L24" s="21"/>
      <c r="M24" s="17"/>
      <c r="N24" s="21"/>
      <c r="O24" s="17"/>
      <c r="P24" s="20"/>
      <c r="Q24" s="17"/>
      <c r="R24" s="20"/>
      <c r="S24" s="17"/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x14ac:dyDescent="0.25">
      <c r="A25" s="11">
        <v>4</v>
      </c>
      <c r="B25" s="11" t="s">
        <v>69</v>
      </c>
      <c r="C25" s="12">
        <v>0.02</v>
      </c>
      <c r="D25" s="12"/>
      <c r="E25" s="103">
        <f t="shared" si="2"/>
        <v>0.02</v>
      </c>
      <c r="F25" s="21"/>
      <c r="G25" s="17">
        <v>0.01</v>
      </c>
      <c r="H25" s="21">
        <v>5.0000000000000001E-3</v>
      </c>
      <c r="I25" s="21">
        <v>5.0000000000000001E-3</v>
      </c>
      <c r="J25" s="21"/>
      <c r="K25" s="17"/>
      <c r="L25" s="21"/>
      <c r="M25" s="15"/>
      <c r="N25" s="21"/>
      <c r="O25" s="17"/>
      <c r="P25" s="21"/>
      <c r="Q25" s="17"/>
      <c r="R25" s="21"/>
      <c r="S25" s="17"/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x14ac:dyDescent="0.25">
      <c r="A26" s="11">
        <v>5</v>
      </c>
      <c r="B26" s="11" t="s">
        <v>71</v>
      </c>
      <c r="C26" s="12">
        <v>0.02</v>
      </c>
      <c r="D26" s="12"/>
      <c r="E26" s="103">
        <f t="shared" si="2"/>
        <v>0.02</v>
      </c>
      <c r="F26" s="21"/>
      <c r="G26" s="17">
        <v>0.01</v>
      </c>
      <c r="H26" s="21">
        <v>5.0000000000000001E-3</v>
      </c>
      <c r="I26" s="21">
        <v>5.0000000000000001E-3</v>
      </c>
      <c r="J26" s="21"/>
      <c r="K26" s="15"/>
      <c r="L26" s="21"/>
      <c r="M26" s="17"/>
      <c r="N26" s="21"/>
      <c r="O26" s="15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/>
      <c r="B27" s="11"/>
      <c r="C27" s="12"/>
      <c r="D27" s="12"/>
      <c r="E27" s="1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7">
        <v>4</v>
      </c>
      <c r="B28" s="7" t="s">
        <v>51</v>
      </c>
      <c r="C28" s="8">
        <f>SUM(C29:C33)</f>
        <v>0.1</v>
      </c>
      <c r="D28" s="56">
        <f>C28*C3</f>
        <v>621000</v>
      </c>
      <c r="E28" s="2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.75" customHeight="1" x14ac:dyDescent="0.25">
      <c r="A29" s="11">
        <v>1</v>
      </c>
      <c r="B29" s="11" t="s">
        <v>53</v>
      </c>
      <c r="C29" s="12">
        <v>0.02</v>
      </c>
      <c r="D29" s="12"/>
      <c r="E29" s="103">
        <f t="shared" ref="E29:E33" si="3">SUM(F29:AG29)</f>
        <v>0</v>
      </c>
      <c r="F29" s="21"/>
      <c r="G29" s="17"/>
      <c r="H29" s="21"/>
      <c r="I29" s="21"/>
      <c r="J29" s="21"/>
      <c r="K29" s="17"/>
      <c r="L29" s="21"/>
      <c r="M29" s="15"/>
      <c r="N29" s="21"/>
      <c r="O29" s="17"/>
      <c r="P29" s="21"/>
      <c r="Q29" s="17"/>
      <c r="R29" s="21"/>
      <c r="S29" s="17"/>
      <c r="T29" s="21"/>
      <c r="U29" s="15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11">
        <v>2</v>
      </c>
      <c r="B30" s="11" t="s">
        <v>55</v>
      </c>
      <c r="C30" s="12">
        <v>0.02</v>
      </c>
      <c r="D30" s="12"/>
      <c r="E30" s="103">
        <f t="shared" si="3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5"/>
      <c r="P30" s="20"/>
      <c r="Q30" s="17"/>
      <c r="R30" s="20"/>
      <c r="S30" s="15"/>
      <c r="T30" s="20"/>
      <c r="U30" s="15"/>
      <c r="V30" s="20"/>
      <c r="W30" s="17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 ht="15.75" customHeight="1" x14ac:dyDescent="0.25">
      <c r="A31" s="11">
        <v>3</v>
      </c>
      <c r="B31" s="11" t="s">
        <v>57</v>
      </c>
      <c r="C31" s="12">
        <v>0.02</v>
      </c>
      <c r="D31" s="12"/>
      <c r="E31" s="103">
        <f t="shared" si="3"/>
        <v>0</v>
      </c>
      <c r="F31" s="21"/>
      <c r="G31" s="17"/>
      <c r="H31" s="21"/>
      <c r="I31" s="21"/>
      <c r="J31" s="21"/>
      <c r="K31" s="17"/>
      <c r="L31" s="21"/>
      <c r="M31" s="17"/>
      <c r="N31" s="21"/>
      <c r="O31" s="15"/>
      <c r="P31" s="20"/>
      <c r="Q31" s="17"/>
      <c r="R31" s="20"/>
      <c r="S31" s="17"/>
      <c r="T31" s="20"/>
      <c r="U31" s="15"/>
      <c r="V31" s="20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4</v>
      </c>
      <c r="B32" s="11" t="s">
        <v>69</v>
      </c>
      <c r="C32" s="12">
        <v>0.02</v>
      </c>
      <c r="D32" s="12"/>
      <c r="E32" s="103">
        <f t="shared" si="3"/>
        <v>0</v>
      </c>
      <c r="F32" s="21"/>
      <c r="G32" s="17"/>
      <c r="H32" s="21"/>
      <c r="I32" s="21"/>
      <c r="J32" s="21"/>
      <c r="K32" s="17"/>
      <c r="L32" s="21"/>
      <c r="M32" s="17"/>
      <c r="N32" s="21"/>
      <c r="O32" s="17"/>
      <c r="P32" s="20"/>
      <c r="Q32" s="17"/>
      <c r="R32" s="20"/>
      <c r="S32" s="17"/>
      <c r="T32" s="20"/>
      <c r="U32" s="17"/>
      <c r="V32" s="20"/>
      <c r="W32" s="15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0.02</v>
      </c>
      <c r="D33" s="12"/>
      <c r="E33" s="103">
        <f t="shared" si="3"/>
        <v>0</v>
      </c>
      <c r="F33" s="21"/>
      <c r="G33" s="17"/>
      <c r="H33" s="21"/>
      <c r="I33" s="21"/>
      <c r="J33" s="21"/>
      <c r="K33" s="17"/>
      <c r="L33" s="21"/>
      <c r="M33" s="17"/>
      <c r="N33" s="21"/>
      <c r="O33" s="17"/>
      <c r="P33" s="21"/>
      <c r="Q33" s="17"/>
      <c r="R33" s="21"/>
      <c r="S33" s="17"/>
      <c r="T33" s="21"/>
      <c r="U33" s="17"/>
      <c r="V33" s="20"/>
      <c r="W33" s="15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496800</v>
      </c>
      <c r="E35" s="2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>SUM(F36:AG36)</f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5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x14ac:dyDescent="0.25">
      <c r="A38" s="7">
        <v>6</v>
      </c>
      <c r="B38" s="7" t="s">
        <v>31</v>
      </c>
      <c r="C38" s="8">
        <f>SUM(C39:C43)</f>
        <v>0.1</v>
      </c>
      <c r="D38" s="56">
        <f>C38*C3</f>
        <v>621000</v>
      </c>
      <c r="E38" s="2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0.02</v>
      </c>
      <c r="D39" s="12"/>
      <c r="E39" s="103">
        <f t="shared" ref="E39:E43" si="4">SUM(F39:AG39)</f>
        <v>0</v>
      </c>
      <c r="F39" s="21"/>
      <c r="G39" s="17"/>
      <c r="H39" s="21"/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17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0.02</v>
      </c>
      <c r="D40" s="12"/>
      <c r="E40" s="103">
        <f t="shared" si="4"/>
        <v>0</v>
      </c>
      <c r="F40" s="21"/>
      <c r="G40" s="17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0.02</v>
      </c>
      <c r="D41" s="12"/>
      <c r="E41" s="103">
        <f t="shared" si="4"/>
        <v>0</v>
      </c>
      <c r="F41" s="21"/>
      <c r="G41" s="17"/>
      <c r="H41" s="21"/>
      <c r="I41" s="21"/>
      <c r="J41" s="21"/>
      <c r="K41" s="17"/>
      <c r="L41" s="21"/>
      <c r="M41" s="17"/>
      <c r="N41" s="21"/>
      <c r="O41" s="17"/>
      <c r="P41" s="21"/>
      <c r="Q41" s="17"/>
      <c r="R41" s="21"/>
      <c r="S41" s="17"/>
      <c r="T41" s="21"/>
      <c r="U41" s="17"/>
      <c r="V41" s="21"/>
      <c r="W41" s="30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0.02</v>
      </c>
      <c r="D42" s="12"/>
      <c r="E42" s="103">
        <f t="shared" si="4"/>
        <v>0</v>
      </c>
      <c r="F42" s="21"/>
      <c r="G42" s="17"/>
      <c r="H42" s="21"/>
      <c r="I42" s="21"/>
      <c r="J42" s="21"/>
      <c r="K42" s="17"/>
      <c r="L42" s="21"/>
      <c r="M42" s="17"/>
      <c r="N42" s="21"/>
      <c r="O42" s="17"/>
      <c r="P42" s="21"/>
      <c r="Q42" s="17"/>
      <c r="R42" s="21"/>
      <c r="S42" s="17"/>
      <c r="T42" s="21"/>
      <c r="U42" s="17"/>
      <c r="V42" s="21"/>
      <c r="W42" s="30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0.02</v>
      </c>
      <c r="D43" s="12"/>
      <c r="E43" s="103">
        <f t="shared" si="4"/>
        <v>0</v>
      </c>
      <c r="F43" s="21"/>
      <c r="G43" s="17"/>
      <c r="H43" s="21"/>
      <c r="I43" s="21"/>
      <c r="J43" s="21"/>
      <c r="K43" s="17"/>
      <c r="L43" s="21"/>
      <c r="M43" s="17"/>
      <c r="N43" s="21"/>
      <c r="O43" s="17"/>
      <c r="P43" s="21"/>
      <c r="Q43" s="17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C44" s="22"/>
      <c r="D44" s="22"/>
      <c r="E44" s="13"/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7.0000000000000007E-2</v>
      </c>
      <c r="D45" s="56">
        <f>C45*C3</f>
        <v>434700.00000000006</v>
      </c>
      <c r="E45" s="2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0.02</v>
      </c>
      <c r="D46" s="12"/>
      <c r="E46" s="103">
        <f t="shared" ref="E46:E48" si="5">SUM(F46:AG46)</f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0.02</v>
      </c>
      <c r="D47" s="12"/>
      <c r="E47" s="103">
        <f t="shared" si="5"/>
        <v>0</v>
      </c>
      <c r="F47" s="21"/>
      <c r="G47" s="17"/>
      <c r="H47" s="21"/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5"/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0.03</v>
      </c>
      <c r="D48" s="12"/>
      <c r="E48" s="103">
        <f t="shared" si="5"/>
        <v>0</v>
      </c>
      <c r="F48" s="21"/>
      <c r="G48" s="17"/>
      <c r="H48" s="21"/>
      <c r="I48" s="21"/>
      <c r="J48" s="21"/>
      <c r="K48" s="17"/>
      <c r="L48" s="21"/>
      <c r="M48" s="17"/>
      <c r="N48" s="21"/>
      <c r="O48" s="17"/>
      <c r="P48" s="21"/>
      <c r="Q48" s="17"/>
      <c r="R48" s="21"/>
      <c r="S48" s="17"/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5.75" customHeight="1" thickBot="1" x14ac:dyDescent="0.3">
      <c r="A49" s="11"/>
      <c r="B49" s="11"/>
      <c r="C49" s="12"/>
      <c r="D49" s="12"/>
      <c r="E49" s="1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5.75" customHeight="1" thickBot="1" x14ac:dyDescent="0.35">
      <c r="A50" s="32"/>
      <c r="B50" s="33" t="s">
        <v>32</v>
      </c>
      <c r="C50" s="34">
        <f>SUM(C7+C14+C21+C28+C35+C38+C45)</f>
        <v>1</v>
      </c>
      <c r="D50" s="34"/>
      <c r="E50" s="35">
        <f>SUM(F50:AG50)</f>
        <v>0.40000000000000008</v>
      </c>
      <c r="F50" s="62">
        <f t="shared" ref="F50:AG50" si="6">SUM(F8:F49)</f>
        <v>0</v>
      </c>
      <c r="G50" s="62">
        <f t="shared" si="6"/>
        <v>0.35000000000000003</v>
      </c>
      <c r="H50" s="62">
        <f t="shared" si="6"/>
        <v>2.5000000000000001E-2</v>
      </c>
      <c r="I50" s="62">
        <f t="shared" si="6"/>
        <v>2.5000000000000001E-2</v>
      </c>
      <c r="J50" s="62">
        <f t="shared" si="6"/>
        <v>0</v>
      </c>
      <c r="K50" s="62">
        <f t="shared" si="6"/>
        <v>0</v>
      </c>
      <c r="L50" s="62">
        <f t="shared" si="6"/>
        <v>0</v>
      </c>
      <c r="M50" s="62">
        <f t="shared" si="6"/>
        <v>0</v>
      </c>
      <c r="N50" s="62">
        <f t="shared" si="6"/>
        <v>0</v>
      </c>
      <c r="O50" s="62">
        <f t="shared" si="6"/>
        <v>0</v>
      </c>
      <c r="P50" s="62">
        <f t="shared" si="6"/>
        <v>0</v>
      </c>
      <c r="Q50" s="62">
        <f t="shared" si="6"/>
        <v>0</v>
      </c>
      <c r="R50" s="62">
        <f t="shared" si="6"/>
        <v>0</v>
      </c>
      <c r="S50" s="62">
        <f t="shared" si="6"/>
        <v>0</v>
      </c>
      <c r="T50" s="62">
        <f t="shared" si="6"/>
        <v>0</v>
      </c>
      <c r="U50" s="62">
        <f t="shared" si="6"/>
        <v>0</v>
      </c>
      <c r="V50" s="62">
        <f t="shared" si="6"/>
        <v>0</v>
      </c>
      <c r="W50" s="62">
        <f t="shared" si="6"/>
        <v>0</v>
      </c>
      <c r="X50" s="62">
        <f t="shared" si="6"/>
        <v>0</v>
      </c>
      <c r="Y50" s="62">
        <f t="shared" si="6"/>
        <v>0</v>
      </c>
      <c r="Z50" s="62">
        <f t="shared" si="6"/>
        <v>0</v>
      </c>
      <c r="AA50" s="62">
        <f t="shared" si="6"/>
        <v>0</v>
      </c>
      <c r="AB50" s="62">
        <f t="shared" si="6"/>
        <v>0</v>
      </c>
      <c r="AC50" s="62">
        <f t="shared" si="6"/>
        <v>0</v>
      </c>
      <c r="AD50" s="62">
        <f t="shared" si="6"/>
        <v>0</v>
      </c>
      <c r="AE50" s="62">
        <f t="shared" si="6"/>
        <v>0</v>
      </c>
      <c r="AF50" s="62">
        <f t="shared" si="6"/>
        <v>0</v>
      </c>
      <c r="AG50" s="62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31" t="s">
        <v>34</v>
      </c>
      <c r="B54" s="128"/>
      <c r="C54" s="128"/>
      <c r="D54" s="128"/>
      <c r="E54" s="129"/>
      <c r="F54" s="40">
        <f>C3+(C3*F52)</f>
        <v>6210000</v>
      </c>
      <c r="G54" s="40">
        <f t="shared" ref="G54:AG54" si="7">F54+(F54*G52)</f>
        <v>6210000</v>
      </c>
      <c r="H54" s="40">
        <f t="shared" si="7"/>
        <v>6210000</v>
      </c>
      <c r="I54" s="40">
        <f t="shared" si="7"/>
        <v>6210000</v>
      </c>
      <c r="J54" s="40">
        <f t="shared" si="7"/>
        <v>6210000</v>
      </c>
      <c r="K54" s="40">
        <f t="shared" si="7"/>
        <v>6210000</v>
      </c>
      <c r="L54" s="40">
        <f t="shared" si="7"/>
        <v>6210000</v>
      </c>
      <c r="M54" s="40">
        <f t="shared" si="7"/>
        <v>6210000</v>
      </c>
      <c r="N54" s="40">
        <f t="shared" si="7"/>
        <v>6210000</v>
      </c>
      <c r="O54" s="40">
        <f t="shared" si="7"/>
        <v>6210000</v>
      </c>
      <c r="P54" s="40">
        <f t="shared" si="7"/>
        <v>6210000</v>
      </c>
      <c r="Q54" s="40">
        <f t="shared" si="7"/>
        <v>6210000</v>
      </c>
      <c r="R54" s="40">
        <f t="shared" si="7"/>
        <v>6210000</v>
      </c>
      <c r="S54" s="40">
        <f t="shared" si="7"/>
        <v>6210000</v>
      </c>
      <c r="T54" s="40">
        <f t="shared" si="7"/>
        <v>6210000</v>
      </c>
      <c r="U54" s="40">
        <f t="shared" si="7"/>
        <v>6210000</v>
      </c>
      <c r="V54" s="40">
        <f t="shared" si="7"/>
        <v>6210000</v>
      </c>
      <c r="W54" s="40">
        <f t="shared" si="7"/>
        <v>6210000</v>
      </c>
      <c r="X54" s="40">
        <f t="shared" si="7"/>
        <v>6210000</v>
      </c>
      <c r="Y54" s="40">
        <f t="shared" si="7"/>
        <v>6210000</v>
      </c>
      <c r="Z54" s="40">
        <f t="shared" si="7"/>
        <v>6210000</v>
      </c>
      <c r="AA54" s="40">
        <f t="shared" si="7"/>
        <v>6210000</v>
      </c>
      <c r="AB54" s="40">
        <f t="shared" si="7"/>
        <v>6210000</v>
      </c>
      <c r="AC54" s="40">
        <f t="shared" si="7"/>
        <v>6210000</v>
      </c>
      <c r="AD54" s="40">
        <f t="shared" si="7"/>
        <v>6210000</v>
      </c>
      <c r="AE54" s="40">
        <f t="shared" si="7"/>
        <v>6210000</v>
      </c>
      <c r="AF54" s="40">
        <f t="shared" si="7"/>
        <v>6210000</v>
      </c>
      <c r="AG54" s="40">
        <f t="shared" si="7"/>
        <v>6210000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32" t="s">
        <v>35</v>
      </c>
      <c r="B56" s="128"/>
      <c r="C56" s="128"/>
      <c r="D56" s="128"/>
      <c r="E56" s="129"/>
      <c r="F56" s="41">
        <f t="shared" ref="F56:AG56" si="8">F50*F54</f>
        <v>0</v>
      </c>
      <c r="G56" s="41">
        <f t="shared" si="8"/>
        <v>2173500</v>
      </c>
      <c r="H56" s="41">
        <f t="shared" si="8"/>
        <v>155250</v>
      </c>
      <c r="I56" s="41">
        <f t="shared" si="8"/>
        <v>155250</v>
      </c>
      <c r="J56" s="41">
        <f t="shared" si="8"/>
        <v>0</v>
      </c>
      <c r="K56" s="41">
        <f t="shared" si="8"/>
        <v>0</v>
      </c>
      <c r="L56" s="41">
        <f t="shared" si="8"/>
        <v>0</v>
      </c>
      <c r="M56" s="41">
        <f t="shared" si="8"/>
        <v>0</v>
      </c>
      <c r="N56" s="41">
        <f t="shared" si="8"/>
        <v>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127" t="s">
        <v>36</v>
      </c>
      <c r="B58" s="128"/>
      <c r="C58" s="128"/>
      <c r="D58" s="128"/>
      <c r="E58" s="129"/>
      <c r="F58" s="42">
        <f>F56-(F56*D4)</f>
        <v>0</v>
      </c>
      <c r="G58" s="43">
        <f>G56-(G56*D4)</f>
        <v>2173500</v>
      </c>
      <c r="H58" s="43">
        <f>H56-(H56*D4)</f>
        <v>155250</v>
      </c>
      <c r="I58" s="43">
        <f>I56-(I56*D4)</f>
        <v>155250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130" t="s">
        <v>37</v>
      </c>
      <c r="B60" s="128"/>
      <c r="C60" s="128"/>
      <c r="D60" s="128"/>
      <c r="E60" s="129"/>
      <c r="F60" s="45">
        <f>F54-F58-C4</f>
        <v>6210000</v>
      </c>
      <c r="G60" s="45">
        <f t="shared" ref="G60:AG60" si="9">(F60+(F60*G52))-G58</f>
        <v>4036500</v>
      </c>
      <c r="H60" s="46">
        <f t="shared" si="9"/>
        <v>3881250</v>
      </c>
      <c r="I60" s="46">
        <f t="shared" si="9"/>
        <v>3726000</v>
      </c>
      <c r="J60" s="45">
        <f t="shared" si="9"/>
        <v>3726000</v>
      </c>
      <c r="K60" s="45">
        <f t="shared" si="9"/>
        <v>3726000</v>
      </c>
      <c r="L60" s="45">
        <f t="shared" si="9"/>
        <v>3726000</v>
      </c>
      <c r="M60" s="45">
        <f t="shared" si="9"/>
        <v>3726000</v>
      </c>
      <c r="N60" s="45">
        <f t="shared" si="9"/>
        <v>3726000</v>
      </c>
      <c r="O60" s="45">
        <f t="shared" si="9"/>
        <v>3726000</v>
      </c>
      <c r="P60" s="45">
        <f t="shared" si="9"/>
        <v>3726000</v>
      </c>
      <c r="Q60" s="45">
        <f t="shared" si="9"/>
        <v>3726000</v>
      </c>
      <c r="R60" s="45">
        <f t="shared" si="9"/>
        <v>3726000</v>
      </c>
      <c r="S60" s="45">
        <f t="shared" si="9"/>
        <v>3726000</v>
      </c>
      <c r="T60" s="45">
        <f t="shared" si="9"/>
        <v>3726000</v>
      </c>
      <c r="U60" s="45">
        <f t="shared" si="9"/>
        <v>3726000</v>
      </c>
      <c r="V60" s="45">
        <f t="shared" si="9"/>
        <v>3726000</v>
      </c>
      <c r="W60" s="45">
        <f t="shared" si="9"/>
        <v>3726000</v>
      </c>
      <c r="X60" s="45">
        <f t="shared" si="9"/>
        <v>3726000</v>
      </c>
      <c r="Y60" s="45">
        <f t="shared" si="9"/>
        <v>3726000</v>
      </c>
      <c r="Z60" s="45">
        <f t="shared" si="9"/>
        <v>3726000</v>
      </c>
      <c r="AA60" s="45">
        <f t="shared" si="9"/>
        <v>3726000</v>
      </c>
      <c r="AB60" s="45">
        <f t="shared" si="9"/>
        <v>3726000</v>
      </c>
      <c r="AC60" s="45">
        <f t="shared" si="9"/>
        <v>3726000</v>
      </c>
      <c r="AD60" s="45">
        <f t="shared" si="9"/>
        <v>3726000</v>
      </c>
      <c r="AE60" s="45">
        <f t="shared" si="9"/>
        <v>3726000</v>
      </c>
      <c r="AF60" s="45">
        <f t="shared" si="9"/>
        <v>3726000</v>
      </c>
      <c r="AG60" s="45">
        <f t="shared" si="9"/>
        <v>3726000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/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6"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rintOptions horizontalCentered="1" verticalCentered="1" gridLines="1"/>
  <pageMargins left="0.25" right="0.25" top="0.75" bottom="0.75" header="0" footer="0"/>
  <pageSetup paperSize="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AG1002"/>
  <sheetViews>
    <sheetView zoomScale="85" zoomScaleNormal="85" workbookViewId="0">
      <pane xSplit="3" topLeftCell="D1" activePane="topRight" state="frozen"/>
      <selection pane="topRight" activeCell="L19" sqref="L19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5" width="10.7109375" customWidth="1"/>
  </cols>
  <sheetData>
    <row r="1" spans="1:33" ht="30" customHeight="1" x14ac:dyDescent="0.25">
      <c r="A1" s="1"/>
      <c r="B1" s="102" t="s">
        <v>88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23" t="s">
        <v>1</v>
      </c>
      <c r="B3" s="124"/>
      <c r="C3" s="5">
        <f>RESUMEN!D10</f>
        <v>6210000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21" t="s">
        <v>39</v>
      </c>
      <c r="G5" s="122"/>
      <c r="H5" s="121" t="s">
        <v>40</v>
      </c>
      <c r="I5" s="122"/>
      <c r="J5" s="121" t="s">
        <v>41</v>
      </c>
      <c r="K5" s="122"/>
      <c r="L5" s="121" t="s">
        <v>42</v>
      </c>
      <c r="M5" s="122"/>
      <c r="N5" s="121" t="s">
        <v>43</v>
      </c>
      <c r="O5" s="122"/>
      <c r="P5" s="121" t="s">
        <v>44</v>
      </c>
      <c r="Q5" s="122"/>
      <c r="R5" s="121" t="s">
        <v>45</v>
      </c>
      <c r="S5" s="122"/>
      <c r="T5" s="121" t="s">
        <v>46</v>
      </c>
      <c r="U5" s="122"/>
      <c r="V5" s="121" t="s">
        <v>47</v>
      </c>
      <c r="W5" s="122"/>
      <c r="X5" s="121" t="s">
        <v>48</v>
      </c>
      <c r="Y5" s="122"/>
      <c r="Z5" s="121" t="s">
        <v>49</v>
      </c>
      <c r="AA5" s="122"/>
      <c r="AB5" s="121" t="s">
        <v>38</v>
      </c>
      <c r="AC5" s="122"/>
      <c r="AD5" s="121" t="s">
        <v>39</v>
      </c>
      <c r="AE5" s="122"/>
      <c r="AF5" s="121" t="s">
        <v>40</v>
      </c>
      <c r="AG5" s="122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3" ht="16.5" thickBot="1" x14ac:dyDescent="0.3">
      <c r="A7" s="7">
        <v>1</v>
      </c>
      <c r="B7" s="7" t="s">
        <v>52</v>
      </c>
      <c r="C7" s="8">
        <f>SUM(C8:C12)</f>
        <v>0.25</v>
      </c>
      <c r="D7" s="56">
        <f>C7*C3</f>
        <v>1552500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</v>
      </c>
      <c r="F8" s="16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55</v>
      </c>
      <c r="C9" s="12">
        <v>0.05</v>
      </c>
      <c r="D9" s="12"/>
      <c r="E9" s="103">
        <f t="shared" ref="E9:E12" si="0">SUM(F9:AG9)</f>
        <v>0</v>
      </c>
      <c r="F9" s="21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57</v>
      </c>
      <c r="C10" s="12">
        <v>0.05</v>
      </c>
      <c r="D10" s="12"/>
      <c r="E10" s="103">
        <f t="shared" si="0"/>
        <v>0</v>
      </c>
      <c r="F10" s="21"/>
      <c r="G10" s="15"/>
      <c r="H10" s="20"/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59</v>
      </c>
      <c r="C11" s="12">
        <v>0.05</v>
      </c>
      <c r="D11" s="12"/>
      <c r="E11" s="103">
        <f t="shared" si="0"/>
        <v>0</v>
      </c>
      <c r="F11" s="21"/>
      <c r="G11" s="15"/>
      <c r="H11" s="20"/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61</v>
      </c>
      <c r="C12" s="12">
        <v>0.05</v>
      </c>
      <c r="D12" s="12"/>
      <c r="E12" s="103">
        <f t="shared" si="0"/>
        <v>0</v>
      </c>
      <c r="F12" s="21"/>
      <c r="G12" s="15"/>
      <c r="H12" s="20"/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1863000</v>
      </c>
      <c r="E14" s="2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53</v>
      </c>
      <c r="C15" s="12">
        <v>0.1</v>
      </c>
      <c r="D15" s="12"/>
      <c r="E15" s="103">
        <f t="shared" ref="E15:E19" si="1">SUM(F15:AG15)</f>
        <v>0.1</v>
      </c>
      <c r="F15" s="20"/>
      <c r="G15" s="15">
        <v>0.1</v>
      </c>
      <c r="H15" s="20"/>
      <c r="I15" s="21"/>
      <c r="J15" s="21"/>
      <c r="K15" s="15"/>
      <c r="L15" s="21"/>
      <c r="M15" s="17"/>
      <c r="N15" s="21"/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55</v>
      </c>
      <c r="C16" s="12">
        <v>0.05</v>
      </c>
      <c r="D16" s="12"/>
      <c r="E16" s="103">
        <f t="shared" si="1"/>
        <v>0.05</v>
      </c>
      <c r="F16" s="21"/>
      <c r="G16" s="15">
        <v>0.05</v>
      </c>
      <c r="H16" s="21"/>
      <c r="I16" s="20"/>
      <c r="J16" s="21"/>
      <c r="K16" s="17"/>
      <c r="L16" s="21"/>
      <c r="M16" s="15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3</v>
      </c>
      <c r="B17" s="11" t="s">
        <v>57</v>
      </c>
      <c r="C17" s="12">
        <v>0.05</v>
      </c>
      <c r="D17" s="12"/>
      <c r="E17" s="103">
        <f t="shared" si="1"/>
        <v>0.05</v>
      </c>
      <c r="F17" s="21"/>
      <c r="G17" s="15">
        <v>0.05</v>
      </c>
      <c r="H17" s="21"/>
      <c r="I17" s="20"/>
      <c r="J17" s="20"/>
      <c r="K17" s="17"/>
      <c r="L17" s="21"/>
      <c r="M17" s="17"/>
      <c r="N17" s="21"/>
      <c r="O17" s="17"/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4</v>
      </c>
      <c r="B18" s="11" t="s">
        <v>69</v>
      </c>
      <c r="C18" s="12">
        <v>0.05</v>
      </c>
      <c r="D18" s="12"/>
      <c r="E18" s="103">
        <f t="shared" si="1"/>
        <v>0.05</v>
      </c>
      <c r="F18" s="21"/>
      <c r="G18" s="15">
        <v>0.05</v>
      </c>
      <c r="H18" s="21"/>
      <c r="I18" s="21"/>
      <c r="J18" s="21"/>
      <c r="K18" s="17"/>
      <c r="L18" s="21"/>
      <c r="M18" s="15"/>
      <c r="N18" s="21"/>
      <c r="O18" s="17"/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5</v>
      </c>
      <c r="B19" s="11" t="s">
        <v>71</v>
      </c>
      <c r="C19" s="12">
        <v>0.05</v>
      </c>
      <c r="D19" s="12"/>
      <c r="E19" s="103">
        <f t="shared" si="1"/>
        <v>0.05</v>
      </c>
      <c r="F19" s="21"/>
      <c r="G19" s="15">
        <v>0.05</v>
      </c>
      <c r="H19" s="21"/>
      <c r="I19" s="21"/>
      <c r="J19" s="21"/>
      <c r="K19" s="15"/>
      <c r="L19" s="21"/>
      <c r="M19" s="17"/>
      <c r="N19" s="21"/>
      <c r="O19" s="15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/>
      <c r="B20" s="11"/>
      <c r="C20" s="12"/>
      <c r="D20" s="12"/>
      <c r="E20" s="1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621000</v>
      </c>
      <c r="E21" s="2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x14ac:dyDescent="0.25">
      <c r="A22" s="11">
        <v>1</v>
      </c>
      <c r="B22" s="11" t="s">
        <v>53</v>
      </c>
      <c r="C22" s="12">
        <v>0.02</v>
      </c>
      <c r="D22" s="12"/>
      <c r="E22" s="103">
        <f t="shared" ref="E22:E26" si="2">SUM(F22:AG22)</f>
        <v>0.02</v>
      </c>
      <c r="F22" s="21"/>
      <c r="G22" s="17">
        <v>1.4999999999999999E-2</v>
      </c>
      <c r="H22" s="20"/>
      <c r="I22" s="20">
        <v>5.0000000000000001E-3</v>
      </c>
      <c r="J22" s="21"/>
      <c r="K22" s="15"/>
      <c r="L22" s="21"/>
      <c r="M22" s="17"/>
      <c r="N22" s="21"/>
      <c r="O22" s="17"/>
      <c r="P22" s="21"/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x14ac:dyDescent="0.25">
      <c r="A23" s="11">
        <v>2</v>
      </c>
      <c r="B23" s="11" t="s">
        <v>55</v>
      </c>
      <c r="C23" s="12">
        <v>0.02</v>
      </c>
      <c r="D23" s="12"/>
      <c r="E23" s="103">
        <f t="shared" si="2"/>
        <v>0.02</v>
      </c>
      <c r="F23" s="21"/>
      <c r="G23" s="17">
        <v>1.4999999999999999E-2</v>
      </c>
      <c r="H23" s="21"/>
      <c r="I23" s="20">
        <v>5.0000000000000001E-3</v>
      </c>
      <c r="J23" s="21"/>
      <c r="K23" s="17"/>
      <c r="L23" s="21"/>
      <c r="M23" s="15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x14ac:dyDescent="0.25">
      <c r="A24" s="11">
        <v>3</v>
      </c>
      <c r="B24" s="11" t="s">
        <v>57</v>
      </c>
      <c r="C24" s="12">
        <v>0.02</v>
      </c>
      <c r="D24" s="12"/>
      <c r="E24" s="103">
        <f t="shared" si="2"/>
        <v>0.02</v>
      </c>
      <c r="F24" s="21"/>
      <c r="G24" s="17">
        <v>1.4999999999999999E-2</v>
      </c>
      <c r="H24" s="21"/>
      <c r="I24" s="20">
        <v>5.0000000000000001E-3</v>
      </c>
      <c r="J24" s="20"/>
      <c r="K24" s="17"/>
      <c r="L24" s="21"/>
      <c r="M24" s="17"/>
      <c r="N24" s="21"/>
      <c r="O24" s="17"/>
      <c r="P24" s="20"/>
      <c r="Q24" s="17"/>
      <c r="R24" s="20"/>
      <c r="S24" s="17"/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x14ac:dyDescent="0.25">
      <c r="A25" s="11">
        <v>4</v>
      </c>
      <c r="B25" s="11" t="s">
        <v>69</v>
      </c>
      <c r="C25" s="12">
        <v>0.02</v>
      </c>
      <c r="D25" s="12"/>
      <c r="E25" s="103">
        <f t="shared" si="2"/>
        <v>0.02</v>
      </c>
      <c r="F25" s="21"/>
      <c r="G25" s="17">
        <v>1.4999999999999999E-2</v>
      </c>
      <c r="H25" s="21"/>
      <c r="I25" s="20">
        <v>5.0000000000000001E-3</v>
      </c>
      <c r="J25" s="21"/>
      <c r="K25" s="17"/>
      <c r="L25" s="21"/>
      <c r="M25" s="15"/>
      <c r="N25" s="21"/>
      <c r="O25" s="17"/>
      <c r="P25" s="21"/>
      <c r="Q25" s="17"/>
      <c r="R25" s="21"/>
      <c r="S25" s="17"/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x14ac:dyDescent="0.25">
      <c r="A26" s="11">
        <v>5</v>
      </c>
      <c r="B26" s="11" t="s">
        <v>71</v>
      </c>
      <c r="C26" s="12">
        <v>0.02</v>
      </c>
      <c r="D26" s="12"/>
      <c r="E26" s="103">
        <f t="shared" si="2"/>
        <v>0.02</v>
      </c>
      <c r="F26" s="21"/>
      <c r="G26" s="17">
        <v>1.4999999999999999E-2</v>
      </c>
      <c r="H26" s="21"/>
      <c r="I26" s="20">
        <v>5.0000000000000001E-3</v>
      </c>
      <c r="J26" s="21"/>
      <c r="K26" s="15"/>
      <c r="L26" s="21"/>
      <c r="M26" s="17"/>
      <c r="N26" s="21"/>
      <c r="O26" s="15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/>
      <c r="B27" s="11"/>
      <c r="C27" s="12"/>
      <c r="D27" s="12"/>
      <c r="E27" s="1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7">
        <v>4</v>
      </c>
      <c r="B28" s="7" t="s">
        <v>51</v>
      </c>
      <c r="C28" s="8">
        <f>SUM(C29:C33)</f>
        <v>0.1</v>
      </c>
      <c r="D28" s="56">
        <f>C28*C3</f>
        <v>621000</v>
      </c>
      <c r="E28" s="2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.75" customHeight="1" x14ac:dyDescent="0.25">
      <c r="A29" s="11">
        <v>1</v>
      </c>
      <c r="B29" s="11" t="s">
        <v>53</v>
      </c>
      <c r="C29" s="12">
        <v>0.02</v>
      </c>
      <c r="D29" s="12"/>
      <c r="E29" s="103">
        <f t="shared" ref="E29:E33" si="3">SUM(F29:AG29)</f>
        <v>0</v>
      </c>
      <c r="F29" s="21"/>
      <c r="G29" s="17"/>
      <c r="H29" s="21"/>
      <c r="I29" s="21"/>
      <c r="J29" s="21"/>
      <c r="K29" s="17"/>
      <c r="L29" s="21"/>
      <c r="M29" s="15"/>
      <c r="N29" s="21"/>
      <c r="O29" s="17"/>
      <c r="P29" s="21"/>
      <c r="Q29" s="17"/>
      <c r="R29" s="21"/>
      <c r="S29" s="17"/>
      <c r="T29" s="21"/>
      <c r="U29" s="15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11">
        <v>2</v>
      </c>
      <c r="B30" s="11" t="s">
        <v>55</v>
      </c>
      <c r="C30" s="12">
        <v>0.02</v>
      </c>
      <c r="D30" s="12"/>
      <c r="E30" s="103">
        <f t="shared" si="3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5"/>
      <c r="P30" s="20"/>
      <c r="Q30" s="17"/>
      <c r="R30" s="20"/>
      <c r="S30" s="15"/>
      <c r="T30" s="20"/>
      <c r="U30" s="15"/>
      <c r="V30" s="20"/>
      <c r="W30" s="17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 ht="15.75" customHeight="1" x14ac:dyDescent="0.25">
      <c r="A31" s="11">
        <v>3</v>
      </c>
      <c r="B31" s="11" t="s">
        <v>57</v>
      </c>
      <c r="C31" s="12">
        <v>0.02</v>
      </c>
      <c r="D31" s="12"/>
      <c r="E31" s="103">
        <f t="shared" si="3"/>
        <v>0</v>
      </c>
      <c r="F31" s="21"/>
      <c r="G31" s="17"/>
      <c r="H31" s="21"/>
      <c r="I31" s="21"/>
      <c r="J31" s="21"/>
      <c r="K31" s="17"/>
      <c r="L31" s="21"/>
      <c r="M31" s="17"/>
      <c r="N31" s="21"/>
      <c r="O31" s="15"/>
      <c r="P31" s="20"/>
      <c r="Q31" s="17"/>
      <c r="R31" s="20"/>
      <c r="S31" s="17"/>
      <c r="T31" s="20"/>
      <c r="U31" s="15"/>
      <c r="V31" s="20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4</v>
      </c>
      <c r="B32" s="11" t="s">
        <v>69</v>
      </c>
      <c r="C32" s="12">
        <v>0.02</v>
      </c>
      <c r="D32" s="12"/>
      <c r="E32" s="103">
        <f t="shared" si="3"/>
        <v>0</v>
      </c>
      <c r="F32" s="21"/>
      <c r="G32" s="17"/>
      <c r="H32" s="21"/>
      <c r="I32" s="21"/>
      <c r="J32" s="21"/>
      <c r="K32" s="17"/>
      <c r="L32" s="21"/>
      <c r="M32" s="17"/>
      <c r="N32" s="21"/>
      <c r="O32" s="17"/>
      <c r="P32" s="20"/>
      <c r="Q32" s="17"/>
      <c r="R32" s="20"/>
      <c r="S32" s="17"/>
      <c r="T32" s="20"/>
      <c r="U32" s="17"/>
      <c r="V32" s="20"/>
      <c r="W32" s="15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0.02</v>
      </c>
      <c r="D33" s="12"/>
      <c r="E33" s="103">
        <f t="shared" si="3"/>
        <v>0</v>
      </c>
      <c r="F33" s="21"/>
      <c r="G33" s="17"/>
      <c r="H33" s="21"/>
      <c r="I33" s="21"/>
      <c r="J33" s="21"/>
      <c r="K33" s="17"/>
      <c r="L33" s="21"/>
      <c r="M33" s="17"/>
      <c r="N33" s="21"/>
      <c r="O33" s="17"/>
      <c r="P33" s="21"/>
      <c r="Q33" s="17"/>
      <c r="R33" s="21"/>
      <c r="S33" s="17"/>
      <c r="T33" s="21"/>
      <c r="U33" s="17"/>
      <c r="V33" s="20"/>
      <c r="W33" s="15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496800</v>
      </c>
      <c r="E35" s="2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>SUM(F36:AG36)</f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5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x14ac:dyDescent="0.25">
      <c r="A38" s="7">
        <v>6</v>
      </c>
      <c r="B38" s="7" t="s">
        <v>31</v>
      </c>
      <c r="C38" s="8">
        <f>SUM(C39:C43)</f>
        <v>0.1</v>
      </c>
      <c r="D38" s="56">
        <f>C38*C3</f>
        <v>621000</v>
      </c>
      <c r="E38" s="2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0.02</v>
      </c>
      <c r="D39" s="12"/>
      <c r="E39" s="103">
        <f t="shared" ref="E39:E43" si="4">SUM(F39:AG39)</f>
        <v>0</v>
      </c>
      <c r="F39" s="21"/>
      <c r="G39" s="17"/>
      <c r="H39" s="21"/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17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0.02</v>
      </c>
      <c r="D40" s="12"/>
      <c r="E40" s="103">
        <f t="shared" si="4"/>
        <v>0</v>
      </c>
      <c r="F40" s="21"/>
      <c r="G40" s="17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0.02</v>
      </c>
      <c r="D41" s="12"/>
      <c r="E41" s="103">
        <f t="shared" si="4"/>
        <v>0</v>
      </c>
      <c r="F41" s="21"/>
      <c r="G41" s="17"/>
      <c r="H41" s="21"/>
      <c r="I41" s="21"/>
      <c r="J41" s="21"/>
      <c r="K41" s="17"/>
      <c r="L41" s="21"/>
      <c r="M41" s="17"/>
      <c r="N41" s="21"/>
      <c r="O41" s="17"/>
      <c r="P41" s="21"/>
      <c r="Q41" s="17"/>
      <c r="R41" s="21"/>
      <c r="S41" s="17"/>
      <c r="T41" s="21"/>
      <c r="U41" s="17"/>
      <c r="V41" s="21"/>
      <c r="W41" s="30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0.02</v>
      </c>
      <c r="D42" s="12"/>
      <c r="E42" s="103">
        <f t="shared" si="4"/>
        <v>0</v>
      </c>
      <c r="F42" s="21"/>
      <c r="G42" s="17"/>
      <c r="H42" s="21"/>
      <c r="I42" s="21"/>
      <c r="J42" s="21"/>
      <c r="K42" s="17"/>
      <c r="L42" s="21"/>
      <c r="M42" s="17"/>
      <c r="N42" s="21"/>
      <c r="O42" s="17"/>
      <c r="P42" s="21"/>
      <c r="Q42" s="17"/>
      <c r="R42" s="21"/>
      <c r="S42" s="17"/>
      <c r="T42" s="21"/>
      <c r="U42" s="17"/>
      <c r="V42" s="21"/>
      <c r="W42" s="30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0.02</v>
      </c>
      <c r="D43" s="12"/>
      <c r="E43" s="103">
        <f t="shared" si="4"/>
        <v>0</v>
      </c>
      <c r="F43" s="21"/>
      <c r="G43" s="17"/>
      <c r="H43" s="21"/>
      <c r="I43" s="21"/>
      <c r="J43" s="21"/>
      <c r="K43" s="17"/>
      <c r="L43" s="21"/>
      <c r="M43" s="17"/>
      <c r="N43" s="21"/>
      <c r="O43" s="17"/>
      <c r="P43" s="21"/>
      <c r="Q43" s="17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C44" s="22"/>
      <c r="D44" s="22"/>
      <c r="E44" s="13"/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7.0000000000000007E-2</v>
      </c>
      <c r="D45" s="56">
        <f>C45*C3</f>
        <v>434700.00000000006</v>
      </c>
      <c r="E45" s="2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0.02</v>
      </c>
      <c r="D46" s="12"/>
      <c r="E46" s="103">
        <f t="shared" ref="E46:E48" si="5">SUM(F46:AG46)</f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0.02</v>
      </c>
      <c r="D47" s="12"/>
      <c r="E47" s="103">
        <f t="shared" si="5"/>
        <v>0</v>
      </c>
      <c r="F47" s="21"/>
      <c r="G47" s="17"/>
      <c r="H47" s="21"/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5"/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0.03</v>
      </c>
      <c r="D48" s="12"/>
      <c r="E48" s="103">
        <f t="shared" si="5"/>
        <v>0</v>
      </c>
      <c r="F48" s="21"/>
      <c r="G48" s="17"/>
      <c r="H48" s="21"/>
      <c r="I48" s="21"/>
      <c r="J48" s="21"/>
      <c r="K48" s="17"/>
      <c r="L48" s="21"/>
      <c r="M48" s="17"/>
      <c r="N48" s="21"/>
      <c r="O48" s="17"/>
      <c r="P48" s="21"/>
      <c r="Q48" s="17"/>
      <c r="R48" s="21"/>
      <c r="S48" s="17"/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5.75" customHeight="1" thickBot="1" x14ac:dyDescent="0.3">
      <c r="A49" s="11"/>
      <c r="B49" s="11"/>
      <c r="C49" s="12"/>
      <c r="D49" s="12"/>
      <c r="E49" s="1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5.75" customHeight="1" thickBot="1" x14ac:dyDescent="0.35">
      <c r="A50" s="32"/>
      <c r="B50" s="33" t="s">
        <v>32</v>
      </c>
      <c r="C50" s="34">
        <f>SUM(C7+C14+C21+C28+C35+C38+C45)</f>
        <v>1</v>
      </c>
      <c r="D50" s="34"/>
      <c r="E50" s="35">
        <f>SUM(F50:AG50)</f>
        <v>0.40000000000000008</v>
      </c>
      <c r="F50" s="62">
        <f t="shared" ref="F50:AG50" si="6">SUM(F8:F49)</f>
        <v>0</v>
      </c>
      <c r="G50" s="62">
        <f t="shared" si="6"/>
        <v>0.37500000000000006</v>
      </c>
      <c r="H50" s="62">
        <f t="shared" si="6"/>
        <v>0</v>
      </c>
      <c r="I50" s="62">
        <f t="shared" si="6"/>
        <v>2.5000000000000001E-2</v>
      </c>
      <c r="J50" s="62">
        <f t="shared" si="6"/>
        <v>0</v>
      </c>
      <c r="K50" s="62">
        <f t="shared" si="6"/>
        <v>0</v>
      </c>
      <c r="L50" s="62">
        <f t="shared" si="6"/>
        <v>0</v>
      </c>
      <c r="M50" s="62">
        <f t="shared" si="6"/>
        <v>0</v>
      </c>
      <c r="N50" s="62">
        <f t="shared" si="6"/>
        <v>0</v>
      </c>
      <c r="O50" s="62">
        <f t="shared" si="6"/>
        <v>0</v>
      </c>
      <c r="P50" s="62">
        <f t="shared" si="6"/>
        <v>0</v>
      </c>
      <c r="Q50" s="62">
        <f t="shared" si="6"/>
        <v>0</v>
      </c>
      <c r="R50" s="62">
        <f t="shared" si="6"/>
        <v>0</v>
      </c>
      <c r="S50" s="62">
        <f t="shared" si="6"/>
        <v>0</v>
      </c>
      <c r="T50" s="62">
        <f t="shared" si="6"/>
        <v>0</v>
      </c>
      <c r="U50" s="62">
        <f t="shared" si="6"/>
        <v>0</v>
      </c>
      <c r="V50" s="62">
        <f t="shared" si="6"/>
        <v>0</v>
      </c>
      <c r="W50" s="62">
        <f t="shared" si="6"/>
        <v>0</v>
      </c>
      <c r="X50" s="62">
        <f t="shared" si="6"/>
        <v>0</v>
      </c>
      <c r="Y50" s="62">
        <f t="shared" si="6"/>
        <v>0</v>
      </c>
      <c r="Z50" s="62">
        <f t="shared" si="6"/>
        <v>0</v>
      </c>
      <c r="AA50" s="62">
        <f t="shared" si="6"/>
        <v>0</v>
      </c>
      <c r="AB50" s="62">
        <f t="shared" si="6"/>
        <v>0</v>
      </c>
      <c r="AC50" s="62">
        <f t="shared" si="6"/>
        <v>0</v>
      </c>
      <c r="AD50" s="62">
        <f t="shared" si="6"/>
        <v>0</v>
      </c>
      <c r="AE50" s="62">
        <f t="shared" si="6"/>
        <v>0</v>
      </c>
      <c r="AF50" s="62">
        <f t="shared" si="6"/>
        <v>0</v>
      </c>
      <c r="AG50" s="62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31" t="s">
        <v>34</v>
      </c>
      <c r="B54" s="128"/>
      <c r="C54" s="128"/>
      <c r="D54" s="128"/>
      <c r="E54" s="129"/>
      <c r="F54" s="40">
        <f>C3+(C3*F52)</f>
        <v>6210000</v>
      </c>
      <c r="G54" s="40">
        <f t="shared" ref="G54:AG54" si="7">F54+(F54*G52)</f>
        <v>6210000</v>
      </c>
      <c r="H54" s="40">
        <f t="shared" si="7"/>
        <v>6210000</v>
      </c>
      <c r="I54" s="40">
        <f t="shared" si="7"/>
        <v>6210000</v>
      </c>
      <c r="J54" s="40">
        <f t="shared" si="7"/>
        <v>6210000</v>
      </c>
      <c r="K54" s="40">
        <f t="shared" si="7"/>
        <v>6210000</v>
      </c>
      <c r="L54" s="40">
        <f t="shared" si="7"/>
        <v>6210000</v>
      </c>
      <c r="M54" s="40">
        <f t="shared" si="7"/>
        <v>6210000</v>
      </c>
      <c r="N54" s="40">
        <f t="shared" si="7"/>
        <v>6210000</v>
      </c>
      <c r="O54" s="40">
        <f t="shared" si="7"/>
        <v>6210000</v>
      </c>
      <c r="P54" s="40">
        <f t="shared" si="7"/>
        <v>6210000</v>
      </c>
      <c r="Q54" s="40">
        <f t="shared" si="7"/>
        <v>6210000</v>
      </c>
      <c r="R54" s="40">
        <f t="shared" si="7"/>
        <v>6210000</v>
      </c>
      <c r="S54" s="40">
        <f t="shared" si="7"/>
        <v>6210000</v>
      </c>
      <c r="T54" s="40">
        <f t="shared" si="7"/>
        <v>6210000</v>
      </c>
      <c r="U54" s="40">
        <f t="shared" si="7"/>
        <v>6210000</v>
      </c>
      <c r="V54" s="40">
        <f t="shared" si="7"/>
        <v>6210000</v>
      </c>
      <c r="W54" s="40">
        <f t="shared" si="7"/>
        <v>6210000</v>
      </c>
      <c r="X54" s="40">
        <f t="shared" si="7"/>
        <v>6210000</v>
      </c>
      <c r="Y54" s="40">
        <f t="shared" si="7"/>
        <v>6210000</v>
      </c>
      <c r="Z54" s="40">
        <f t="shared" si="7"/>
        <v>6210000</v>
      </c>
      <c r="AA54" s="40">
        <f t="shared" si="7"/>
        <v>6210000</v>
      </c>
      <c r="AB54" s="40">
        <f t="shared" si="7"/>
        <v>6210000</v>
      </c>
      <c r="AC54" s="40">
        <f t="shared" si="7"/>
        <v>6210000</v>
      </c>
      <c r="AD54" s="40">
        <f t="shared" si="7"/>
        <v>6210000</v>
      </c>
      <c r="AE54" s="40">
        <f t="shared" si="7"/>
        <v>6210000</v>
      </c>
      <c r="AF54" s="40">
        <f t="shared" si="7"/>
        <v>6210000</v>
      </c>
      <c r="AG54" s="40">
        <f t="shared" si="7"/>
        <v>6210000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32" t="s">
        <v>35</v>
      </c>
      <c r="B56" s="128"/>
      <c r="C56" s="128"/>
      <c r="D56" s="128"/>
      <c r="E56" s="129"/>
      <c r="F56" s="41">
        <f t="shared" ref="F56:AG56" si="8">F50*F54</f>
        <v>0</v>
      </c>
      <c r="G56" s="41">
        <f t="shared" si="8"/>
        <v>2328750.0000000005</v>
      </c>
      <c r="H56" s="41">
        <f t="shared" si="8"/>
        <v>0</v>
      </c>
      <c r="I56" s="41">
        <f t="shared" si="8"/>
        <v>155250</v>
      </c>
      <c r="J56" s="41">
        <f t="shared" si="8"/>
        <v>0</v>
      </c>
      <c r="K56" s="41">
        <f t="shared" si="8"/>
        <v>0</v>
      </c>
      <c r="L56" s="41">
        <f t="shared" si="8"/>
        <v>0</v>
      </c>
      <c r="M56" s="41">
        <f t="shared" si="8"/>
        <v>0</v>
      </c>
      <c r="N56" s="41">
        <f t="shared" si="8"/>
        <v>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127" t="s">
        <v>36</v>
      </c>
      <c r="B58" s="128"/>
      <c r="C58" s="128"/>
      <c r="D58" s="128"/>
      <c r="E58" s="129"/>
      <c r="F58" s="42">
        <f>F56-(F56*D4)</f>
        <v>0</v>
      </c>
      <c r="G58" s="43">
        <f>G56-(G56*D4)</f>
        <v>2328750.0000000005</v>
      </c>
      <c r="H58" s="43">
        <f>H56-(H56*D4)</f>
        <v>0</v>
      </c>
      <c r="I58" s="43">
        <f>I56-(I56*D4)</f>
        <v>155250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130" t="s">
        <v>37</v>
      </c>
      <c r="B60" s="128"/>
      <c r="C60" s="128"/>
      <c r="D60" s="128"/>
      <c r="E60" s="129"/>
      <c r="F60" s="45">
        <f>F54-F58-C4</f>
        <v>6210000</v>
      </c>
      <c r="G60" s="45">
        <f t="shared" ref="G60:AG60" si="9">(F60+(F60*G52))-G58</f>
        <v>3881249.9999999995</v>
      </c>
      <c r="H60" s="46">
        <f t="shared" si="9"/>
        <v>3881249.9999999995</v>
      </c>
      <c r="I60" s="46">
        <f t="shared" si="9"/>
        <v>3725999.9999999995</v>
      </c>
      <c r="J60" s="45">
        <f t="shared" si="9"/>
        <v>3725999.9999999995</v>
      </c>
      <c r="K60" s="45">
        <f t="shared" si="9"/>
        <v>3725999.9999999995</v>
      </c>
      <c r="L60" s="45">
        <f t="shared" si="9"/>
        <v>3725999.9999999995</v>
      </c>
      <c r="M60" s="45">
        <f t="shared" si="9"/>
        <v>3725999.9999999995</v>
      </c>
      <c r="N60" s="45">
        <f t="shared" si="9"/>
        <v>3725999.9999999995</v>
      </c>
      <c r="O60" s="45">
        <f t="shared" si="9"/>
        <v>3725999.9999999995</v>
      </c>
      <c r="P60" s="45">
        <f t="shared" si="9"/>
        <v>3725999.9999999995</v>
      </c>
      <c r="Q60" s="45">
        <f t="shared" si="9"/>
        <v>3725999.9999999995</v>
      </c>
      <c r="R60" s="45">
        <f t="shared" si="9"/>
        <v>3725999.9999999995</v>
      </c>
      <c r="S60" s="45">
        <f t="shared" si="9"/>
        <v>3725999.9999999995</v>
      </c>
      <c r="T60" s="45">
        <f t="shared" si="9"/>
        <v>3725999.9999999995</v>
      </c>
      <c r="U60" s="45">
        <f t="shared" si="9"/>
        <v>3725999.9999999995</v>
      </c>
      <c r="V60" s="45">
        <f t="shared" si="9"/>
        <v>3725999.9999999995</v>
      </c>
      <c r="W60" s="45">
        <f t="shared" si="9"/>
        <v>3725999.9999999995</v>
      </c>
      <c r="X60" s="45">
        <f t="shared" si="9"/>
        <v>3725999.9999999995</v>
      </c>
      <c r="Y60" s="45">
        <f t="shared" si="9"/>
        <v>3725999.9999999995</v>
      </c>
      <c r="Z60" s="45">
        <f t="shared" si="9"/>
        <v>3725999.9999999995</v>
      </c>
      <c r="AA60" s="45">
        <f t="shared" si="9"/>
        <v>3725999.9999999995</v>
      </c>
      <c r="AB60" s="45">
        <f t="shared" si="9"/>
        <v>3725999.9999999995</v>
      </c>
      <c r="AC60" s="45">
        <f t="shared" si="9"/>
        <v>3725999.9999999995</v>
      </c>
      <c r="AD60" s="45">
        <f t="shared" si="9"/>
        <v>3725999.9999999995</v>
      </c>
      <c r="AE60" s="45">
        <f t="shared" si="9"/>
        <v>3725999.9999999995</v>
      </c>
      <c r="AF60" s="45">
        <f t="shared" si="9"/>
        <v>3725999.9999999995</v>
      </c>
      <c r="AG60" s="45">
        <f t="shared" si="9"/>
        <v>3725999.9999999995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/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6"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rintOptions horizontalCentered="1" verticalCentered="1" gridLines="1"/>
  <pageMargins left="0.25" right="0.25" top="0.75" bottom="0.75" header="0" footer="0"/>
  <pageSetup paperSize="8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AG1002"/>
  <sheetViews>
    <sheetView zoomScale="85" zoomScaleNormal="85" workbookViewId="0">
      <pane xSplit="3" topLeftCell="D1" activePane="topRight" state="frozen"/>
      <selection pane="topRight" activeCell="B31" sqref="B31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5" width="10.7109375" customWidth="1"/>
  </cols>
  <sheetData>
    <row r="1" spans="1:33" ht="30" customHeight="1" x14ac:dyDescent="0.25">
      <c r="A1" s="1"/>
      <c r="B1" s="102" t="s">
        <v>89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23" t="s">
        <v>1</v>
      </c>
      <c r="B3" s="124"/>
      <c r="C3" s="5">
        <f>RESUMEN!D10</f>
        <v>6210000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21" t="s">
        <v>39</v>
      </c>
      <c r="G5" s="122"/>
      <c r="H5" s="121" t="s">
        <v>40</v>
      </c>
      <c r="I5" s="122"/>
      <c r="J5" s="121" t="s">
        <v>41</v>
      </c>
      <c r="K5" s="122"/>
      <c r="L5" s="121" t="s">
        <v>42</v>
      </c>
      <c r="M5" s="122"/>
      <c r="N5" s="121" t="s">
        <v>43</v>
      </c>
      <c r="O5" s="122"/>
      <c r="P5" s="121" t="s">
        <v>44</v>
      </c>
      <c r="Q5" s="122"/>
      <c r="R5" s="121" t="s">
        <v>45</v>
      </c>
      <c r="S5" s="122"/>
      <c r="T5" s="121" t="s">
        <v>46</v>
      </c>
      <c r="U5" s="122"/>
      <c r="V5" s="121" t="s">
        <v>47</v>
      </c>
      <c r="W5" s="122"/>
      <c r="X5" s="121" t="s">
        <v>48</v>
      </c>
      <c r="Y5" s="122"/>
      <c r="Z5" s="121" t="s">
        <v>49</v>
      </c>
      <c r="AA5" s="122"/>
      <c r="AB5" s="121" t="s">
        <v>38</v>
      </c>
      <c r="AC5" s="122"/>
      <c r="AD5" s="121" t="s">
        <v>39</v>
      </c>
      <c r="AE5" s="122"/>
      <c r="AF5" s="121" t="s">
        <v>40</v>
      </c>
      <c r="AG5" s="122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3" ht="16.5" thickBot="1" x14ac:dyDescent="0.3">
      <c r="A7" s="7">
        <v>1</v>
      </c>
      <c r="B7" s="7" t="s">
        <v>52</v>
      </c>
      <c r="C7" s="8">
        <f>SUM(C8:C12)</f>
        <v>0.25</v>
      </c>
      <c r="D7" s="56">
        <f>C7*C3</f>
        <v>1552500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</v>
      </c>
      <c r="F8" s="16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55</v>
      </c>
      <c r="C9" s="12">
        <v>0.05</v>
      </c>
      <c r="D9" s="12"/>
      <c r="E9" s="103">
        <f t="shared" ref="E9:E12" si="0">SUM(F9:AG9)</f>
        <v>0</v>
      </c>
      <c r="F9" s="21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57</v>
      </c>
      <c r="C10" s="12">
        <v>0.05</v>
      </c>
      <c r="D10" s="12"/>
      <c r="E10" s="103">
        <f t="shared" si="0"/>
        <v>0</v>
      </c>
      <c r="F10" s="21"/>
      <c r="G10" s="15"/>
      <c r="H10" s="20"/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59</v>
      </c>
      <c r="C11" s="12">
        <v>0.05</v>
      </c>
      <c r="D11" s="12"/>
      <c r="E11" s="103">
        <f t="shared" si="0"/>
        <v>0</v>
      </c>
      <c r="F11" s="21"/>
      <c r="G11" s="15"/>
      <c r="H11" s="20"/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61</v>
      </c>
      <c r="C12" s="12">
        <v>0.05</v>
      </c>
      <c r="D12" s="12"/>
      <c r="E12" s="103">
        <f t="shared" si="0"/>
        <v>0</v>
      </c>
      <c r="F12" s="21"/>
      <c r="G12" s="15"/>
      <c r="H12" s="20"/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1863000</v>
      </c>
      <c r="E14" s="2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53</v>
      </c>
      <c r="C15" s="12">
        <v>0.1</v>
      </c>
      <c r="D15" s="12"/>
      <c r="E15" s="103">
        <f t="shared" ref="E15:E19" si="1">SUM(F15:AG15)</f>
        <v>0</v>
      </c>
      <c r="F15" s="20"/>
      <c r="G15" s="15"/>
      <c r="H15" s="20"/>
      <c r="I15" s="21"/>
      <c r="J15" s="21"/>
      <c r="K15" s="15"/>
      <c r="L15" s="21"/>
      <c r="M15" s="17"/>
      <c r="N15" s="21"/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55</v>
      </c>
      <c r="C16" s="12">
        <v>0.05</v>
      </c>
      <c r="D16" s="12"/>
      <c r="E16" s="103">
        <f t="shared" si="1"/>
        <v>0</v>
      </c>
      <c r="F16" s="21"/>
      <c r="G16" s="15"/>
      <c r="H16" s="21"/>
      <c r="I16" s="20"/>
      <c r="J16" s="21"/>
      <c r="K16" s="17"/>
      <c r="L16" s="21"/>
      <c r="M16" s="15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3</v>
      </c>
      <c r="B17" s="11" t="s">
        <v>57</v>
      </c>
      <c r="C17" s="12">
        <v>0.05</v>
      </c>
      <c r="D17" s="12"/>
      <c r="E17" s="103">
        <f t="shared" si="1"/>
        <v>0</v>
      </c>
      <c r="F17" s="21"/>
      <c r="G17" s="17"/>
      <c r="H17" s="21"/>
      <c r="I17" s="20"/>
      <c r="J17" s="20"/>
      <c r="K17" s="17"/>
      <c r="L17" s="21"/>
      <c r="M17" s="17"/>
      <c r="N17" s="21"/>
      <c r="O17" s="17"/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4</v>
      </c>
      <c r="B18" s="11" t="s">
        <v>69</v>
      </c>
      <c r="C18" s="12">
        <v>0.05</v>
      </c>
      <c r="D18" s="12"/>
      <c r="E18" s="103">
        <f t="shared" si="1"/>
        <v>0</v>
      </c>
      <c r="F18" s="21"/>
      <c r="G18" s="17"/>
      <c r="H18" s="21"/>
      <c r="I18" s="21"/>
      <c r="J18" s="21"/>
      <c r="K18" s="17"/>
      <c r="L18" s="21"/>
      <c r="M18" s="15"/>
      <c r="N18" s="21"/>
      <c r="O18" s="17"/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5</v>
      </c>
      <c r="B19" s="11" t="s">
        <v>71</v>
      </c>
      <c r="C19" s="12">
        <v>0.05</v>
      </c>
      <c r="D19" s="12"/>
      <c r="E19" s="103">
        <f t="shared" si="1"/>
        <v>0</v>
      </c>
      <c r="F19" s="21"/>
      <c r="G19" s="17"/>
      <c r="H19" s="21"/>
      <c r="I19" s="21"/>
      <c r="J19" s="21"/>
      <c r="K19" s="15"/>
      <c r="L19" s="21"/>
      <c r="M19" s="17"/>
      <c r="N19" s="21"/>
      <c r="O19" s="15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/>
      <c r="B20" s="11"/>
      <c r="C20" s="12"/>
      <c r="D20" s="12"/>
      <c r="E20" s="1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621000</v>
      </c>
      <c r="E21" s="2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x14ac:dyDescent="0.25">
      <c r="A22" s="11">
        <v>1</v>
      </c>
      <c r="B22" s="11" t="s">
        <v>53</v>
      </c>
      <c r="C22" s="12">
        <v>0.02</v>
      </c>
      <c r="D22" s="12"/>
      <c r="E22" s="103">
        <f t="shared" ref="E22:E26" si="2">SUM(F22:AG22)</f>
        <v>0</v>
      </c>
      <c r="F22" s="20"/>
      <c r="G22" s="15"/>
      <c r="H22" s="20"/>
      <c r="I22" s="21"/>
      <c r="J22" s="21"/>
      <c r="K22" s="15"/>
      <c r="L22" s="21"/>
      <c r="M22" s="17"/>
      <c r="N22" s="21"/>
      <c r="O22" s="17"/>
      <c r="P22" s="21"/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x14ac:dyDescent="0.25">
      <c r="A23" s="11">
        <v>2</v>
      </c>
      <c r="B23" s="11" t="s">
        <v>55</v>
      </c>
      <c r="C23" s="12">
        <v>0.02</v>
      </c>
      <c r="D23" s="12"/>
      <c r="E23" s="103">
        <f t="shared" si="2"/>
        <v>0</v>
      </c>
      <c r="F23" s="21"/>
      <c r="G23" s="15"/>
      <c r="H23" s="21"/>
      <c r="I23" s="20"/>
      <c r="J23" s="21"/>
      <c r="K23" s="17"/>
      <c r="L23" s="21"/>
      <c r="M23" s="15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x14ac:dyDescent="0.25">
      <c r="A24" s="11">
        <v>3</v>
      </c>
      <c r="B24" s="11" t="s">
        <v>57</v>
      </c>
      <c r="C24" s="12">
        <v>0.02</v>
      </c>
      <c r="D24" s="12"/>
      <c r="E24" s="103">
        <f t="shared" si="2"/>
        <v>0</v>
      </c>
      <c r="F24" s="21"/>
      <c r="G24" s="17"/>
      <c r="H24" s="21"/>
      <c r="I24" s="20"/>
      <c r="J24" s="20"/>
      <c r="K24" s="17"/>
      <c r="L24" s="21"/>
      <c r="M24" s="17"/>
      <c r="N24" s="21"/>
      <c r="O24" s="17"/>
      <c r="P24" s="20"/>
      <c r="Q24" s="17"/>
      <c r="R24" s="20"/>
      <c r="S24" s="17"/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x14ac:dyDescent="0.25">
      <c r="A25" s="11">
        <v>4</v>
      </c>
      <c r="B25" s="11" t="s">
        <v>69</v>
      </c>
      <c r="C25" s="12">
        <v>0.02</v>
      </c>
      <c r="D25" s="12"/>
      <c r="E25" s="103">
        <f t="shared" si="2"/>
        <v>0</v>
      </c>
      <c r="F25" s="21"/>
      <c r="G25" s="17"/>
      <c r="H25" s="21"/>
      <c r="I25" s="21"/>
      <c r="J25" s="21"/>
      <c r="K25" s="17"/>
      <c r="L25" s="21"/>
      <c r="M25" s="15"/>
      <c r="N25" s="21"/>
      <c r="O25" s="17"/>
      <c r="P25" s="21"/>
      <c r="Q25" s="17"/>
      <c r="R25" s="21"/>
      <c r="S25" s="17"/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x14ac:dyDescent="0.25">
      <c r="A26" s="11">
        <v>5</v>
      </c>
      <c r="B26" s="11" t="s">
        <v>71</v>
      </c>
      <c r="C26" s="12">
        <v>0.02</v>
      </c>
      <c r="D26" s="12"/>
      <c r="E26" s="103">
        <f t="shared" si="2"/>
        <v>0</v>
      </c>
      <c r="F26" s="21"/>
      <c r="G26" s="17"/>
      <c r="H26" s="21"/>
      <c r="I26" s="21"/>
      <c r="J26" s="21"/>
      <c r="K26" s="15"/>
      <c r="L26" s="21"/>
      <c r="M26" s="17"/>
      <c r="N26" s="21"/>
      <c r="O26" s="15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/>
      <c r="B27" s="11"/>
      <c r="C27" s="12"/>
      <c r="D27" s="12"/>
      <c r="E27" s="1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7">
        <v>4</v>
      </c>
      <c r="B28" s="7" t="s">
        <v>51</v>
      </c>
      <c r="C28" s="8">
        <f>SUM(C29:C33)</f>
        <v>0.1</v>
      </c>
      <c r="D28" s="56">
        <f>C28*C3</f>
        <v>621000</v>
      </c>
      <c r="E28" s="2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.75" customHeight="1" x14ac:dyDescent="0.25">
      <c r="A29" s="11">
        <v>1</v>
      </c>
      <c r="B29" s="11" t="s">
        <v>53</v>
      </c>
      <c r="C29" s="12">
        <v>0.02</v>
      </c>
      <c r="D29" s="12"/>
      <c r="E29" s="103">
        <f t="shared" ref="E29:E33" si="3">SUM(F29:AG29)</f>
        <v>0</v>
      </c>
      <c r="F29" s="21"/>
      <c r="G29" s="17"/>
      <c r="H29" s="21"/>
      <c r="I29" s="21"/>
      <c r="J29" s="21"/>
      <c r="K29" s="17"/>
      <c r="L29" s="21"/>
      <c r="M29" s="15"/>
      <c r="N29" s="21"/>
      <c r="O29" s="17"/>
      <c r="P29" s="21"/>
      <c r="Q29" s="17"/>
      <c r="R29" s="21"/>
      <c r="S29" s="17"/>
      <c r="T29" s="21"/>
      <c r="U29" s="15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11">
        <v>2</v>
      </c>
      <c r="B30" s="11" t="s">
        <v>55</v>
      </c>
      <c r="C30" s="12">
        <v>0.02</v>
      </c>
      <c r="D30" s="12"/>
      <c r="E30" s="103">
        <f t="shared" si="3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5"/>
      <c r="P30" s="20"/>
      <c r="Q30" s="17"/>
      <c r="R30" s="20"/>
      <c r="S30" s="15"/>
      <c r="T30" s="20"/>
      <c r="U30" s="15"/>
      <c r="V30" s="20"/>
      <c r="W30" s="17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 ht="15.75" customHeight="1" x14ac:dyDescent="0.25">
      <c r="A31" s="11">
        <v>3</v>
      </c>
      <c r="B31" s="11" t="s">
        <v>57</v>
      </c>
      <c r="C31" s="12">
        <v>0.02</v>
      </c>
      <c r="D31" s="12"/>
      <c r="E31" s="103">
        <f t="shared" si="3"/>
        <v>0</v>
      </c>
      <c r="F31" s="21"/>
      <c r="G31" s="17"/>
      <c r="H31" s="21"/>
      <c r="I31" s="21"/>
      <c r="J31" s="21"/>
      <c r="K31" s="17"/>
      <c r="L31" s="21"/>
      <c r="M31" s="17"/>
      <c r="N31" s="21"/>
      <c r="O31" s="15"/>
      <c r="P31" s="20"/>
      <c r="Q31" s="17"/>
      <c r="R31" s="20"/>
      <c r="S31" s="17"/>
      <c r="T31" s="20"/>
      <c r="U31" s="15"/>
      <c r="V31" s="20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4</v>
      </c>
      <c r="B32" s="11" t="s">
        <v>69</v>
      </c>
      <c r="C32" s="12">
        <v>0.02</v>
      </c>
      <c r="D32" s="12"/>
      <c r="E32" s="103">
        <f t="shared" si="3"/>
        <v>0</v>
      </c>
      <c r="F32" s="21"/>
      <c r="G32" s="17"/>
      <c r="H32" s="21"/>
      <c r="I32" s="21"/>
      <c r="J32" s="21"/>
      <c r="K32" s="17"/>
      <c r="L32" s="21"/>
      <c r="M32" s="17"/>
      <c r="N32" s="21"/>
      <c r="O32" s="17"/>
      <c r="P32" s="20"/>
      <c r="Q32" s="17"/>
      <c r="R32" s="20"/>
      <c r="S32" s="17"/>
      <c r="T32" s="20"/>
      <c r="U32" s="17"/>
      <c r="V32" s="20"/>
      <c r="W32" s="15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0.02</v>
      </c>
      <c r="D33" s="12"/>
      <c r="E33" s="103">
        <f t="shared" si="3"/>
        <v>0</v>
      </c>
      <c r="F33" s="21"/>
      <c r="G33" s="17"/>
      <c r="H33" s="21"/>
      <c r="I33" s="21"/>
      <c r="J33" s="21"/>
      <c r="K33" s="17"/>
      <c r="L33" s="21"/>
      <c r="M33" s="17"/>
      <c r="N33" s="21"/>
      <c r="O33" s="17"/>
      <c r="P33" s="21"/>
      <c r="Q33" s="17"/>
      <c r="R33" s="21"/>
      <c r="S33" s="17"/>
      <c r="T33" s="21"/>
      <c r="U33" s="17"/>
      <c r="V33" s="20"/>
      <c r="W33" s="15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496800</v>
      </c>
      <c r="E35" s="2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>SUM(F36:AG36)</f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5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x14ac:dyDescent="0.25">
      <c r="A38" s="7">
        <v>6</v>
      </c>
      <c r="B38" s="7" t="s">
        <v>31</v>
      </c>
      <c r="C38" s="8">
        <f>SUM(C39:C43)</f>
        <v>0.1</v>
      </c>
      <c r="D38" s="56">
        <f>C38*C3</f>
        <v>621000</v>
      </c>
      <c r="E38" s="2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0.02</v>
      </c>
      <c r="D39" s="12"/>
      <c r="E39" s="103">
        <f t="shared" ref="E39:E43" si="4">SUM(F39:AG39)</f>
        <v>0</v>
      </c>
      <c r="F39" s="21"/>
      <c r="G39" s="17"/>
      <c r="H39" s="21"/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17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0.02</v>
      </c>
      <c r="D40" s="12"/>
      <c r="E40" s="103">
        <f t="shared" si="4"/>
        <v>0</v>
      </c>
      <c r="F40" s="21"/>
      <c r="G40" s="17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0.02</v>
      </c>
      <c r="D41" s="12"/>
      <c r="E41" s="103">
        <f t="shared" si="4"/>
        <v>0</v>
      </c>
      <c r="F41" s="21"/>
      <c r="G41" s="17"/>
      <c r="H41" s="21"/>
      <c r="I41" s="21"/>
      <c r="J41" s="21"/>
      <c r="K41" s="17"/>
      <c r="L41" s="21"/>
      <c r="M41" s="17"/>
      <c r="N41" s="21"/>
      <c r="O41" s="17"/>
      <c r="P41" s="21"/>
      <c r="Q41" s="17"/>
      <c r="R41" s="21"/>
      <c r="S41" s="17"/>
      <c r="T41" s="21"/>
      <c r="U41" s="17"/>
      <c r="V41" s="21"/>
      <c r="W41" s="30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0.02</v>
      </c>
      <c r="D42" s="12"/>
      <c r="E42" s="103">
        <f t="shared" si="4"/>
        <v>0</v>
      </c>
      <c r="F42" s="21"/>
      <c r="G42" s="17"/>
      <c r="H42" s="21"/>
      <c r="I42" s="21"/>
      <c r="J42" s="21"/>
      <c r="K42" s="17"/>
      <c r="L42" s="21"/>
      <c r="M42" s="17"/>
      <c r="N42" s="21"/>
      <c r="O42" s="17"/>
      <c r="P42" s="21"/>
      <c r="Q42" s="17"/>
      <c r="R42" s="21"/>
      <c r="S42" s="17"/>
      <c r="T42" s="21"/>
      <c r="U42" s="17"/>
      <c r="V42" s="21"/>
      <c r="W42" s="30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0.02</v>
      </c>
      <c r="D43" s="12"/>
      <c r="E43" s="103">
        <f t="shared" si="4"/>
        <v>0</v>
      </c>
      <c r="F43" s="21"/>
      <c r="G43" s="17"/>
      <c r="H43" s="21"/>
      <c r="I43" s="21"/>
      <c r="J43" s="21"/>
      <c r="K43" s="17"/>
      <c r="L43" s="21"/>
      <c r="M43" s="17"/>
      <c r="N43" s="21"/>
      <c r="O43" s="17"/>
      <c r="P43" s="21"/>
      <c r="Q43" s="17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C44" s="22"/>
      <c r="D44" s="22"/>
      <c r="E44" s="13"/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7.0000000000000007E-2</v>
      </c>
      <c r="D45" s="56">
        <f>C45*C3</f>
        <v>434700.00000000006</v>
      </c>
      <c r="E45" s="2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0.02</v>
      </c>
      <c r="D46" s="12"/>
      <c r="E46" s="103">
        <f t="shared" ref="E46:E48" si="5">SUM(F46:AG46)</f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0.02</v>
      </c>
      <c r="D47" s="12"/>
      <c r="E47" s="103">
        <f t="shared" si="5"/>
        <v>0</v>
      </c>
      <c r="F47" s="21"/>
      <c r="G47" s="17"/>
      <c r="H47" s="21"/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5"/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0.03</v>
      </c>
      <c r="D48" s="12"/>
      <c r="E48" s="103">
        <f t="shared" si="5"/>
        <v>0</v>
      </c>
      <c r="F48" s="21"/>
      <c r="G48" s="17"/>
      <c r="H48" s="21"/>
      <c r="I48" s="21"/>
      <c r="J48" s="21"/>
      <c r="K48" s="17"/>
      <c r="L48" s="21"/>
      <c r="M48" s="17"/>
      <c r="N48" s="21"/>
      <c r="O48" s="17"/>
      <c r="P48" s="21"/>
      <c r="Q48" s="17"/>
      <c r="R48" s="21"/>
      <c r="S48" s="17"/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5.75" customHeight="1" thickBot="1" x14ac:dyDescent="0.3">
      <c r="A49" s="11"/>
      <c r="B49" s="11"/>
      <c r="C49" s="12"/>
      <c r="D49" s="12"/>
      <c r="E49" s="1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5.75" customHeight="1" thickBot="1" x14ac:dyDescent="0.35">
      <c r="A50" s="32"/>
      <c r="B50" s="33" t="s">
        <v>32</v>
      </c>
      <c r="C50" s="34">
        <f>SUM(C7+C14+C21+C28+C35+C38+C45)</f>
        <v>1</v>
      </c>
      <c r="D50" s="34"/>
      <c r="E50" s="35">
        <f>SUM(F50:AG50)</f>
        <v>0</v>
      </c>
      <c r="F50" s="62">
        <f t="shared" ref="F50:AG50" si="6">SUM(F8:F49)</f>
        <v>0</v>
      </c>
      <c r="G50" s="62">
        <f t="shared" si="6"/>
        <v>0</v>
      </c>
      <c r="H50" s="62">
        <f t="shared" si="6"/>
        <v>0</v>
      </c>
      <c r="I50" s="62">
        <f t="shared" si="6"/>
        <v>0</v>
      </c>
      <c r="J50" s="62">
        <f t="shared" si="6"/>
        <v>0</v>
      </c>
      <c r="K50" s="62">
        <f t="shared" si="6"/>
        <v>0</v>
      </c>
      <c r="L50" s="62">
        <f t="shared" si="6"/>
        <v>0</v>
      </c>
      <c r="M50" s="62">
        <f t="shared" si="6"/>
        <v>0</v>
      </c>
      <c r="N50" s="62">
        <f t="shared" si="6"/>
        <v>0</v>
      </c>
      <c r="O50" s="62">
        <f t="shared" si="6"/>
        <v>0</v>
      </c>
      <c r="P50" s="62">
        <f t="shared" si="6"/>
        <v>0</v>
      </c>
      <c r="Q50" s="62">
        <f t="shared" si="6"/>
        <v>0</v>
      </c>
      <c r="R50" s="62">
        <f t="shared" si="6"/>
        <v>0</v>
      </c>
      <c r="S50" s="62">
        <f t="shared" si="6"/>
        <v>0</v>
      </c>
      <c r="T50" s="62">
        <f t="shared" si="6"/>
        <v>0</v>
      </c>
      <c r="U50" s="62">
        <f t="shared" si="6"/>
        <v>0</v>
      </c>
      <c r="V50" s="62">
        <f t="shared" si="6"/>
        <v>0</v>
      </c>
      <c r="W50" s="62">
        <f t="shared" si="6"/>
        <v>0</v>
      </c>
      <c r="X50" s="62">
        <f t="shared" si="6"/>
        <v>0</v>
      </c>
      <c r="Y50" s="62">
        <f t="shared" si="6"/>
        <v>0</v>
      </c>
      <c r="Z50" s="62">
        <f t="shared" si="6"/>
        <v>0</v>
      </c>
      <c r="AA50" s="62">
        <f t="shared" si="6"/>
        <v>0</v>
      </c>
      <c r="AB50" s="62">
        <f t="shared" si="6"/>
        <v>0</v>
      </c>
      <c r="AC50" s="62">
        <f t="shared" si="6"/>
        <v>0</v>
      </c>
      <c r="AD50" s="62">
        <f t="shared" si="6"/>
        <v>0</v>
      </c>
      <c r="AE50" s="62">
        <f t="shared" si="6"/>
        <v>0</v>
      </c>
      <c r="AF50" s="62">
        <f t="shared" si="6"/>
        <v>0</v>
      </c>
      <c r="AG50" s="62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31" t="s">
        <v>34</v>
      </c>
      <c r="B54" s="128"/>
      <c r="C54" s="128"/>
      <c r="D54" s="128"/>
      <c r="E54" s="129"/>
      <c r="F54" s="40">
        <f>C3+(C3*F52)</f>
        <v>6210000</v>
      </c>
      <c r="G54" s="40">
        <f t="shared" ref="G54:AG54" si="7">F54+(F54*G52)</f>
        <v>6210000</v>
      </c>
      <c r="H54" s="40">
        <f t="shared" si="7"/>
        <v>6210000</v>
      </c>
      <c r="I54" s="40">
        <f t="shared" si="7"/>
        <v>6210000</v>
      </c>
      <c r="J54" s="40">
        <f t="shared" si="7"/>
        <v>6210000</v>
      </c>
      <c r="K54" s="40">
        <f t="shared" si="7"/>
        <v>6210000</v>
      </c>
      <c r="L54" s="40">
        <f t="shared" si="7"/>
        <v>6210000</v>
      </c>
      <c r="M54" s="40">
        <f t="shared" si="7"/>
        <v>6210000</v>
      </c>
      <c r="N54" s="40">
        <f t="shared" si="7"/>
        <v>6210000</v>
      </c>
      <c r="O54" s="40">
        <f t="shared" si="7"/>
        <v>6210000</v>
      </c>
      <c r="P54" s="40">
        <f t="shared" si="7"/>
        <v>6210000</v>
      </c>
      <c r="Q54" s="40">
        <f t="shared" si="7"/>
        <v>6210000</v>
      </c>
      <c r="R54" s="40">
        <f t="shared" si="7"/>
        <v>6210000</v>
      </c>
      <c r="S54" s="40">
        <f t="shared" si="7"/>
        <v>6210000</v>
      </c>
      <c r="T54" s="40">
        <f t="shared" si="7"/>
        <v>6210000</v>
      </c>
      <c r="U54" s="40">
        <f t="shared" si="7"/>
        <v>6210000</v>
      </c>
      <c r="V54" s="40">
        <f t="shared" si="7"/>
        <v>6210000</v>
      </c>
      <c r="W54" s="40">
        <f t="shared" si="7"/>
        <v>6210000</v>
      </c>
      <c r="X54" s="40">
        <f t="shared" si="7"/>
        <v>6210000</v>
      </c>
      <c r="Y54" s="40">
        <f t="shared" si="7"/>
        <v>6210000</v>
      </c>
      <c r="Z54" s="40">
        <f t="shared" si="7"/>
        <v>6210000</v>
      </c>
      <c r="AA54" s="40">
        <f t="shared" si="7"/>
        <v>6210000</v>
      </c>
      <c r="AB54" s="40">
        <f t="shared" si="7"/>
        <v>6210000</v>
      </c>
      <c r="AC54" s="40">
        <f t="shared" si="7"/>
        <v>6210000</v>
      </c>
      <c r="AD54" s="40">
        <f t="shared" si="7"/>
        <v>6210000</v>
      </c>
      <c r="AE54" s="40">
        <f t="shared" si="7"/>
        <v>6210000</v>
      </c>
      <c r="AF54" s="40">
        <f t="shared" si="7"/>
        <v>6210000</v>
      </c>
      <c r="AG54" s="40">
        <f t="shared" si="7"/>
        <v>6210000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32" t="s">
        <v>35</v>
      </c>
      <c r="B56" s="128"/>
      <c r="C56" s="128"/>
      <c r="D56" s="128"/>
      <c r="E56" s="129"/>
      <c r="F56" s="41">
        <f t="shared" ref="F56:AG56" si="8">F50*F54</f>
        <v>0</v>
      </c>
      <c r="G56" s="41">
        <f t="shared" si="8"/>
        <v>0</v>
      </c>
      <c r="H56" s="41">
        <f t="shared" si="8"/>
        <v>0</v>
      </c>
      <c r="I56" s="41">
        <f t="shared" si="8"/>
        <v>0</v>
      </c>
      <c r="J56" s="41">
        <f t="shared" si="8"/>
        <v>0</v>
      </c>
      <c r="K56" s="41">
        <f t="shared" si="8"/>
        <v>0</v>
      </c>
      <c r="L56" s="41">
        <f t="shared" si="8"/>
        <v>0</v>
      </c>
      <c r="M56" s="41">
        <f t="shared" si="8"/>
        <v>0</v>
      </c>
      <c r="N56" s="41">
        <f t="shared" si="8"/>
        <v>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127" t="s">
        <v>36</v>
      </c>
      <c r="B58" s="128"/>
      <c r="C58" s="128"/>
      <c r="D58" s="128"/>
      <c r="E58" s="129"/>
      <c r="F58" s="42">
        <f>F56-(F56*D4)</f>
        <v>0</v>
      </c>
      <c r="G58" s="43">
        <f>G56-(G56*D4)</f>
        <v>0</v>
      </c>
      <c r="H58" s="43">
        <f>H56-(H56*D4)</f>
        <v>0</v>
      </c>
      <c r="I58" s="43">
        <f>I56-(I56*D4)</f>
        <v>0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130" t="s">
        <v>37</v>
      </c>
      <c r="B60" s="128"/>
      <c r="C60" s="128"/>
      <c r="D60" s="128"/>
      <c r="E60" s="129"/>
      <c r="F60" s="45">
        <f>F54-F58-C4</f>
        <v>6210000</v>
      </c>
      <c r="G60" s="45">
        <f t="shared" ref="G60:AG60" si="9">(F60+(F60*G52))-G58</f>
        <v>6210000</v>
      </c>
      <c r="H60" s="46">
        <f t="shared" si="9"/>
        <v>6210000</v>
      </c>
      <c r="I60" s="46">
        <f t="shared" si="9"/>
        <v>6210000</v>
      </c>
      <c r="J60" s="45">
        <f t="shared" si="9"/>
        <v>6210000</v>
      </c>
      <c r="K60" s="45">
        <f t="shared" si="9"/>
        <v>6210000</v>
      </c>
      <c r="L60" s="45">
        <f t="shared" si="9"/>
        <v>6210000</v>
      </c>
      <c r="M60" s="45">
        <f t="shared" si="9"/>
        <v>6210000</v>
      </c>
      <c r="N60" s="45">
        <f t="shared" si="9"/>
        <v>6210000</v>
      </c>
      <c r="O60" s="45">
        <f t="shared" si="9"/>
        <v>6210000</v>
      </c>
      <c r="P60" s="45">
        <f t="shared" si="9"/>
        <v>6210000</v>
      </c>
      <c r="Q60" s="45">
        <f t="shared" si="9"/>
        <v>6210000</v>
      </c>
      <c r="R60" s="45">
        <f t="shared" si="9"/>
        <v>6210000</v>
      </c>
      <c r="S60" s="45">
        <f t="shared" si="9"/>
        <v>6210000</v>
      </c>
      <c r="T60" s="45">
        <f t="shared" si="9"/>
        <v>6210000</v>
      </c>
      <c r="U60" s="45">
        <f t="shared" si="9"/>
        <v>6210000</v>
      </c>
      <c r="V60" s="45">
        <f t="shared" si="9"/>
        <v>6210000</v>
      </c>
      <c r="W60" s="45">
        <f t="shared" si="9"/>
        <v>6210000</v>
      </c>
      <c r="X60" s="45">
        <f t="shared" si="9"/>
        <v>6210000</v>
      </c>
      <c r="Y60" s="45">
        <f t="shared" si="9"/>
        <v>6210000</v>
      </c>
      <c r="Z60" s="45">
        <f t="shared" si="9"/>
        <v>6210000</v>
      </c>
      <c r="AA60" s="45">
        <f t="shared" si="9"/>
        <v>6210000</v>
      </c>
      <c r="AB60" s="45">
        <f t="shared" si="9"/>
        <v>6210000</v>
      </c>
      <c r="AC60" s="45">
        <f t="shared" si="9"/>
        <v>6210000</v>
      </c>
      <c r="AD60" s="45">
        <f t="shared" si="9"/>
        <v>6210000</v>
      </c>
      <c r="AE60" s="45">
        <f t="shared" si="9"/>
        <v>6210000</v>
      </c>
      <c r="AF60" s="45">
        <f t="shared" si="9"/>
        <v>6210000</v>
      </c>
      <c r="AG60" s="45">
        <f t="shared" si="9"/>
        <v>6210000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/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6"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rintOptions horizontalCentered="1" verticalCentered="1" gridLines="1"/>
  <pageMargins left="0.25" right="0.25" top="0.75" bottom="0.75" header="0" footer="0"/>
  <pageSetup paperSize="8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  <pageSetUpPr fitToPage="1"/>
  </sheetPr>
  <dimension ref="A1:AG1002"/>
  <sheetViews>
    <sheetView zoomScale="85" zoomScaleNormal="85" workbookViewId="0">
      <pane xSplit="3" topLeftCell="D1" activePane="topRight" state="frozen"/>
      <selection pane="topRight" activeCell="A2" sqref="A2:B2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5" width="10.7109375" customWidth="1"/>
  </cols>
  <sheetData>
    <row r="1" spans="1:33" ht="30" customHeight="1" x14ac:dyDescent="0.25">
      <c r="A1" s="1"/>
      <c r="B1" s="102" t="s">
        <v>90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23" t="s">
        <v>1</v>
      </c>
      <c r="B3" s="124"/>
      <c r="C3" s="5">
        <f>RESUMEN!D10</f>
        <v>6210000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21" t="s">
        <v>42</v>
      </c>
      <c r="G5" s="122"/>
      <c r="H5" s="121" t="s">
        <v>43</v>
      </c>
      <c r="I5" s="122"/>
      <c r="J5" s="121" t="s">
        <v>44</v>
      </c>
      <c r="K5" s="122"/>
      <c r="L5" s="121" t="s">
        <v>45</v>
      </c>
      <c r="M5" s="122"/>
      <c r="N5" s="121" t="s">
        <v>46</v>
      </c>
      <c r="O5" s="122"/>
      <c r="P5" s="121" t="s">
        <v>47</v>
      </c>
      <c r="Q5" s="122"/>
      <c r="R5" s="121" t="s">
        <v>48</v>
      </c>
      <c r="S5" s="122"/>
      <c r="T5" s="121" t="s">
        <v>49</v>
      </c>
      <c r="U5" s="122"/>
      <c r="V5" s="121" t="s">
        <v>38</v>
      </c>
      <c r="W5" s="122"/>
      <c r="X5" s="121" t="s">
        <v>39</v>
      </c>
      <c r="Y5" s="122"/>
      <c r="Z5" s="121" t="s">
        <v>40</v>
      </c>
      <c r="AA5" s="122"/>
      <c r="AB5" s="121" t="s">
        <v>41</v>
      </c>
      <c r="AC5" s="122"/>
      <c r="AD5" s="121" t="s">
        <v>42</v>
      </c>
      <c r="AE5" s="122"/>
      <c r="AF5" s="121" t="s">
        <v>43</v>
      </c>
      <c r="AG5" s="122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3" ht="16.5" thickBot="1" x14ac:dyDescent="0.3">
      <c r="A7" s="7">
        <v>1</v>
      </c>
      <c r="B7" s="7" t="s">
        <v>52</v>
      </c>
      <c r="C7" s="8">
        <f>SUM(C8:C12)</f>
        <v>0.25</v>
      </c>
      <c r="D7" s="56">
        <f>C7*C3</f>
        <v>1552500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</v>
      </c>
      <c r="F8" s="14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55</v>
      </c>
      <c r="C9" s="12">
        <v>0.05</v>
      </c>
      <c r="D9" s="12"/>
      <c r="E9" s="103">
        <f t="shared" ref="E9:E12" si="0"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57</v>
      </c>
      <c r="C10" s="12">
        <v>0.05</v>
      </c>
      <c r="D10" s="12"/>
      <c r="E10" s="103">
        <f t="shared" si="0"/>
        <v>0</v>
      </c>
      <c r="F10" s="20"/>
      <c r="G10" s="15"/>
      <c r="H10" s="20"/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59</v>
      </c>
      <c r="C11" s="12">
        <v>0.05</v>
      </c>
      <c r="D11" s="12"/>
      <c r="E11" s="103">
        <f t="shared" si="0"/>
        <v>0</v>
      </c>
      <c r="F11" s="20"/>
      <c r="G11" s="15"/>
      <c r="H11" s="20"/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61</v>
      </c>
      <c r="C12" s="12">
        <v>0.05</v>
      </c>
      <c r="D12" s="12"/>
      <c r="E12" s="103">
        <f t="shared" si="0"/>
        <v>0</v>
      </c>
      <c r="F12" s="20"/>
      <c r="G12" s="15"/>
      <c r="H12" s="20"/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1863000</v>
      </c>
      <c r="E14" s="2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53</v>
      </c>
      <c r="C15" s="12">
        <v>0.1</v>
      </c>
      <c r="D15" s="12"/>
      <c r="E15" s="103">
        <f t="shared" ref="E15:E19" si="1">SUM(F15:AG15)</f>
        <v>0</v>
      </c>
      <c r="F15" s="20"/>
      <c r="G15" s="15"/>
      <c r="H15" s="20"/>
      <c r="I15" s="21"/>
      <c r="J15" s="21"/>
      <c r="K15" s="15"/>
      <c r="L15" s="21"/>
      <c r="M15" s="17"/>
      <c r="N15" s="21"/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55</v>
      </c>
      <c r="C16" s="12">
        <v>0.05</v>
      </c>
      <c r="D16" s="12"/>
      <c r="E16" s="103">
        <f t="shared" si="1"/>
        <v>0</v>
      </c>
      <c r="F16" s="21"/>
      <c r="G16" s="15"/>
      <c r="H16" s="21"/>
      <c r="I16" s="20"/>
      <c r="J16" s="21"/>
      <c r="K16" s="17"/>
      <c r="L16" s="21"/>
      <c r="M16" s="15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3</v>
      </c>
      <c r="B17" s="11" t="s">
        <v>57</v>
      </c>
      <c r="C17" s="12">
        <v>0.05</v>
      </c>
      <c r="D17" s="12"/>
      <c r="E17" s="103">
        <f t="shared" si="1"/>
        <v>0</v>
      </c>
      <c r="F17" s="21"/>
      <c r="G17" s="17"/>
      <c r="H17" s="21"/>
      <c r="I17" s="20"/>
      <c r="J17" s="20"/>
      <c r="K17" s="17"/>
      <c r="L17" s="21"/>
      <c r="M17" s="17"/>
      <c r="N17" s="21"/>
      <c r="O17" s="17"/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4</v>
      </c>
      <c r="B18" s="11" t="s">
        <v>69</v>
      </c>
      <c r="C18" s="12">
        <v>0.05</v>
      </c>
      <c r="D18" s="12"/>
      <c r="E18" s="103">
        <f t="shared" si="1"/>
        <v>0</v>
      </c>
      <c r="F18" s="21"/>
      <c r="G18" s="17"/>
      <c r="H18" s="21"/>
      <c r="I18" s="21"/>
      <c r="J18" s="21"/>
      <c r="K18" s="17"/>
      <c r="L18" s="21"/>
      <c r="M18" s="15"/>
      <c r="N18" s="21"/>
      <c r="O18" s="17"/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5</v>
      </c>
      <c r="B19" s="11" t="s">
        <v>71</v>
      </c>
      <c r="C19" s="12">
        <v>0.05</v>
      </c>
      <c r="D19" s="12"/>
      <c r="E19" s="103">
        <f t="shared" si="1"/>
        <v>0</v>
      </c>
      <c r="F19" s="21"/>
      <c r="G19" s="17"/>
      <c r="H19" s="21"/>
      <c r="I19" s="21"/>
      <c r="J19" s="21"/>
      <c r="K19" s="15"/>
      <c r="L19" s="21"/>
      <c r="M19" s="17"/>
      <c r="N19" s="21"/>
      <c r="O19" s="15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/>
      <c r="B20" s="11"/>
      <c r="C20" s="12"/>
      <c r="D20" s="12"/>
      <c r="E20" s="1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621000</v>
      </c>
      <c r="E21" s="2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x14ac:dyDescent="0.25">
      <c r="A22" s="11">
        <v>1</v>
      </c>
      <c r="B22" s="11" t="s">
        <v>53</v>
      </c>
      <c r="C22" s="12">
        <v>0.02</v>
      </c>
      <c r="D22" s="12"/>
      <c r="E22" s="103">
        <f t="shared" ref="E22:E26" si="2">SUM(F22:AG22)</f>
        <v>0</v>
      </c>
      <c r="F22" s="20"/>
      <c r="G22" s="15"/>
      <c r="H22" s="20"/>
      <c r="I22" s="21"/>
      <c r="J22" s="21"/>
      <c r="K22" s="15"/>
      <c r="L22" s="21"/>
      <c r="M22" s="17"/>
      <c r="N22" s="21"/>
      <c r="O22" s="17"/>
      <c r="P22" s="21"/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x14ac:dyDescent="0.25">
      <c r="A23" s="11">
        <v>2</v>
      </c>
      <c r="B23" s="11" t="s">
        <v>55</v>
      </c>
      <c r="C23" s="12">
        <v>0.02</v>
      </c>
      <c r="D23" s="12"/>
      <c r="E23" s="103">
        <f t="shared" si="2"/>
        <v>0</v>
      </c>
      <c r="F23" s="21"/>
      <c r="G23" s="15"/>
      <c r="H23" s="21"/>
      <c r="I23" s="20"/>
      <c r="J23" s="21"/>
      <c r="K23" s="17"/>
      <c r="L23" s="21"/>
      <c r="M23" s="15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x14ac:dyDescent="0.25">
      <c r="A24" s="11">
        <v>3</v>
      </c>
      <c r="B24" s="11" t="s">
        <v>57</v>
      </c>
      <c r="C24" s="12">
        <v>0.02</v>
      </c>
      <c r="D24" s="12"/>
      <c r="E24" s="103">
        <f t="shared" si="2"/>
        <v>0</v>
      </c>
      <c r="F24" s="21"/>
      <c r="G24" s="17"/>
      <c r="H24" s="21"/>
      <c r="I24" s="20"/>
      <c r="J24" s="20"/>
      <c r="K24" s="17"/>
      <c r="L24" s="21"/>
      <c r="M24" s="17"/>
      <c r="N24" s="21"/>
      <c r="O24" s="17"/>
      <c r="P24" s="20"/>
      <c r="Q24" s="17"/>
      <c r="R24" s="20"/>
      <c r="S24" s="17"/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x14ac:dyDescent="0.25">
      <c r="A25" s="11">
        <v>4</v>
      </c>
      <c r="B25" s="11" t="s">
        <v>69</v>
      </c>
      <c r="C25" s="12">
        <v>0.02</v>
      </c>
      <c r="D25" s="12"/>
      <c r="E25" s="103">
        <f t="shared" si="2"/>
        <v>0</v>
      </c>
      <c r="F25" s="21"/>
      <c r="G25" s="17"/>
      <c r="H25" s="21"/>
      <c r="I25" s="21"/>
      <c r="J25" s="21"/>
      <c r="K25" s="17"/>
      <c r="L25" s="21"/>
      <c r="M25" s="15"/>
      <c r="N25" s="21"/>
      <c r="O25" s="17"/>
      <c r="P25" s="21"/>
      <c r="Q25" s="17"/>
      <c r="R25" s="21"/>
      <c r="S25" s="17"/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x14ac:dyDescent="0.25">
      <c r="A26" s="11">
        <v>5</v>
      </c>
      <c r="B26" s="11" t="s">
        <v>71</v>
      </c>
      <c r="C26" s="12">
        <v>0.02</v>
      </c>
      <c r="D26" s="12"/>
      <c r="E26" s="103">
        <f t="shared" si="2"/>
        <v>0</v>
      </c>
      <c r="F26" s="21"/>
      <c r="G26" s="17"/>
      <c r="H26" s="21"/>
      <c r="I26" s="21"/>
      <c r="J26" s="21"/>
      <c r="K26" s="15"/>
      <c r="L26" s="21"/>
      <c r="M26" s="17"/>
      <c r="N26" s="21"/>
      <c r="O26" s="15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/>
      <c r="B27" s="11"/>
      <c r="C27" s="12"/>
      <c r="D27" s="12"/>
      <c r="E27" s="1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7">
        <v>4</v>
      </c>
      <c r="B28" s="7" t="s">
        <v>51</v>
      </c>
      <c r="C28" s="8">
        <f>SUM(C29:C33)</f>
        <v>0.1</v>
      </c>
      <c r="D28" s="56">
        <f>C28*C3</f>
        <v>621000</v>
      </c>
      <c r="E28" s="2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.75" customHeight="1" x14ac:dyDescent="0.25">
      <c r="A29" s="11">
        <v>1</v>
      </c>
      <c r="B29" s="11" t="s">
        <v>53</v>
      </c>
      <c r="C29" s="12">
        <v>0.02</v>
      </c>
      <c r="D29" s="12"/>
      <c r="E29" s="103">
        <f t="shared" ref="E29:E33" si="3">SUM(F29:AG29)</f>
        <v>0</v>
      </c>
      <c r="F29" s="21"/>
      <c r="G29" s="17"/>
      <c r="H29" s="21"/>
      <c r="I29" s="21"/>
      <c r="J29" s="21"/>
      <c r="K29" s="17"/>
      <c r="L29" s="21"/>
      <c r="M29" s="15"/>
      <c r="N29" s="21"/>
      <c r="O29" s="17"/>
      <c r="P29" s="21"/>
      <c r="Q29" s="17"/>
      <c r="R29" s="21"/>
      <c r="S29" s="17"/>
      <c r="T29" s="21"/>
      <c r="U29" s="15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11">
        <v>2</v>
      </c>
      <c r="B30" s="11" t="s">
        <v>55</v>
      </c>
      <c r="C30" s="12">
        <v>0.02</v>
      </c>
      <c r="D30" s="12"/>
      <c r="E30" s="103">
        <f t="shared" si="3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5"/>
      <c r="P30" s="20"/>
      <c r="Q30" s="17"/>
      <c r="R30" s="20"/>
      <c r="S30" s="15"/>
      <c r="T30" s="20"/>
      <c r="U30" s="15"/>
      <c r="V30" s="20"/>
      <c r="W30" s="17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 ht="15.75" customHeight="1" x14ac:dyDescent="0.25">
      <c r="A31" s="11">
        <v>3</v>
      </c>
      <c r="B31" s="11" t="s">
        <v>57</v>
      </c>
      <c r="C31" s="12">
        <v>0.02</v>
      </c>
      <c r="D31" s="12"/>
      <c r="E31" s="103">
        <f t="shared" si="3"/>
        <v>0</v>
      </c>
      <c r="F31" s="21"/>
      <c r="G31" s="17"/>
      <c r="H31" s="21"/>
      <c r="I31" s="21"/>
      <c r="J31" s="21"/>
      <c r="K31" s="17"/>
      <c r="L31" s="21"/>
      <c r="M31" s="17"/>
      <c r="N31" s="21"/>
      <c r="O31" s="15"/>
      <c r="P31" s="20"/>
      <c r="Q31" s="17"/>
      <c r="R31" s="20"/>
      <c r="S31" s="17"/>
      <c r="T31" s="20"/>
      <c r="U31" s="15"/>
      <c r="V31" s="20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4</v>
      </c>
      <c r="B32" s="11" t="s">
        <v>69</v>
      </c>
      <c r="C32" s="12">
        <v>0.02</v>
      </c>
      <c r="D32" s="12"/>
      <c r="E32" s="103">
        <f t="shared" si="3"/>
        <v>0</v>
      </c>
      <c r="F32" s="21"/>
      <c r="G32" s="17"/>
      <c r="H32" s="21"/>
      <c r="I32" s="21"/>
      <c r="J32" s="21"/>
      <c r="K32" s="17"/>
      <c r="L32" s="21"/>
      <c r="M32" s="17"/>
      <c r="N32" s="21"/>
      <c r="O32" s="17"/>
      <c r="P32" s="20"/>
      <c r="Q32" s="17"/>
      <c r="R32" s="20"/>
      <c r="S32" s="17"/>
      <c r="T32" s="20"/>
      <c r="U32" s="17"/>
      <c r="V32" s="20"/>
      <c r="W32" s="15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0.02</v>
      </c>
      <c r="D33" s="12"/>
      <c r="E33" s="103">
        <f t="shared" si="3"/>
        <v>0</v>
      </c>
      <c r="F33" s="21"/>
      <c r="G33" s="17"/>
      <c r="H33" s="21"/>
      <c r="I33" s="21"/>
      <c r="J33" s="21"/>
      <c r="K33" s="17"/>
      <c r="L33" s="21"/>
      <c r="M33" s="17"/>
      <c r="N33" s="21"/>
      <c r="O33" s="17"/>
      <c r="P33" s="21"/>
      <c r="Q33" s="17"/>
      <c r="R33" s="21"/>
      <c r="S33" s="17"/>
      <c r="T33" s="21"/>
      <c r="U33" s="17"/>
      <c r="V33" s="20"/>
      <c r="W33" s="15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496800</v>
      </c>
      <c r="E35" s="2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>SUM(F36:AG36)</f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5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x14ac:dyDescent="0.25">
      <c r="A38" s="7">
        <v>6</v>
      </c>
      <c r="B38" s="7" t="s">
        <v>31</v>
      </c>
      <c r="C38" s="8">
        <f>SUM(C39:C43)</f>
        <v>0.1</v>
      </c>
      <c r="D38" s="56">
        <f>C38*C3</f>
        <v>621000</v>
      </c>
      <c r="E38" s="2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0.02</v>
      </c>
      <c r="D39" s="12"/>
      <c r="E39" s="103">
        <f t="shared" ref="E39:E43" si="4">SUM(F39:AG39)</f>
        <v>0</v>
      </c>
      <c r="F39" s="21"/>
      <c r="G39" s="17"/>
      <c r="H39" s="21"/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17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0.02</v>
      </c>
      <c r="D40" s="12"/>
      <c r="E40" s="103">
        <f t="shared" si="4"/>
        <v>0</v>
      </c>
      <c r="F40" s="21"/>
      <c r="G40" s="17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0.02</v>
      </c>
      <c r="D41" s="12"/>
      <c r="E41" s="103">
        <f t="shared" si="4"/>
        <v>0</v>
      </c>
      <c r="F41" s="21"/>
      <c r="G41" s="17"/>
      <c r="H41" s="21"/>
      <c r="I41" s="21"/>
      <c r="J41" s="21"/>
      <c r="K41" s="17"/>
      <c r="L41" s="21"/>
      <c r="M41" s="17"/>
      <c r="N41" s="21"/>
      <c r="O41" s="17"/>
      <c r="P41" s="21"/>
      <c r="Q41" s="17"/>
      <c r="R41" s="21"/>
      <c r="S41" s="17"/>
      <c r="T41" s="21"/>
      <c r="U41" s="17"/>
      <c r="V41" s="21"/>
      <c r="W41" s="30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0.02</v>
      </c>
      <c r="D42" s="12"/>
      <c r="E42" s="103">
        <f t="shared" si="4"/>
        <v>0</v>
      </c>
      <c r="F42" s="21"/>
      <c r="G42" s="17"/>
      <c r="H42" s="21"/>
      <c r="I42" s="21"/>
      <c r="J42" s="21"/>
      <c r="K42" s="17"/>
      <c r="L42" s="21"/>
      <c r="M42" s="17"/>
      <c r="N42" s="21"/>
      <c r="O42" s="17"/>
      <c r="P42" s="21"/>
      <c r="Q42" s="17"/>
      <c r="R42" s="21"/>
      <c r="S42" s="17"/>
      <c r="T42" s="21"/>
      <c r="U42" s="17"/>
      <c r="V42" s="21"/>
      <c r="W42" s="30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0.02</v>
      </c>
      <c r="D43" s="12"/>
      <c r="E43" s="103">
        <f t="shared" si="4"/>
        <v>0</v>
      </c>
      <c r="F43" s="21"/>
      <c r="G43" s="17"/>
      <c r="H43" s="21"/>
      <c r="I43" s="21"/>
      <c r="J43" s="21"/>
      <c r="K43" s="17"/>
      <c r="L43" s="21"/>
      <c r="M43" s="17"/>
      <c r="N43" s="21"/>
      <c r="O43" s="17"/>
      <c r="P43" s="21"/>
      <c r="Q43" s="17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C44" s="22"/>
      <c r="D44" s="22"/>
      <c r="E44" s="13"/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7.0000000000000007E-2</v>
      </c>
      <c r="D45" s="56">
        <f>C45*C3</f>
        <v>434700.00000000006</v>
      </c>
      <c r="E45" s="2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0.02</v>
      </c>
      <c r="D46" s="12"/>
      <c r="E46" s="103">
        <f t="shared" ref="E46:E48" si="5">SUM(F46:AG46)</f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0.02</v>
      </c>
      <c r="D47" s="12"/>
      <c r="E47" s="103">
        <f t="shared" si="5"/>
        <v>0</v>
      </c>
      <c r="F47" s="21"/>
      <c r="G47" s="17"/>
      <c r="H47" s="21"/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5"/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0.03</v>
      </c>
      <c r="D48" s="12"/>
      <c r="E48" s="103">
        <f t="shared" si="5"/>
        <v>0</v>
      </c>
      <c r="F48" s="21"/>
      <c r="G48" s="17"/>
      <c r="H48" s="21"/>
      <c r="I48" s="21"/>
      <c r="J48" s="21"/>
      <c r="K48" s="17"/>
      <c r="L48" s="21"/>
      <c r="M48" s="17"/>
      <c r="N48" s="21"/>
      <c r="O48" s="17"/>
      <c r="P48" s="21"/>
      <c r="Q48" s="17"/>
      <c r="R48" s="21"/>
      <c r="S48" s="17"/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5.75" customHeight="1" thickBot="1" x14ac:dyDescent="0.3">
      <c r="A49" s="11"/>
      <c r="B49" s="11"/>
      <c r="C49" s="12"/>
      <c r="D49" s="12"/>
      <c r="E49" s="1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5.75" customHeight="1" thickBot="1" x14ac:dyDescent="0.35">
      <c r="A50" s="32"/>
      <c r="B50" s="33" t="s">
        <v>32</v>
      </c>
      <c r="C50" s="34">
        <f>SUM(C7+C14+C21+C28+C35+C38+C45)</f>
        <v>1</v>
      </c>
      <c r="D50" s="34"/>
      <c r="E50" s="35">
        <f>SUM(F50:AG50)</f>
        <v>0</v>
      </c>
      <c r="F50" s="62">
        <f t="shared" ref="F50:AG50" si="6">SUM(F8:F49)</f>
        <v>0</v>
      </c>
      <c r="G50" s="62">
        <f t="shared" si="6"/>
        <v>0</v>
      </c>
      <c r="H50" s="62">
        <f t="shared" si="6"/>
        <v>0</v>
      </c>
      <c r="I50" s="62">
        <f t="shared" si="6"/>
        <v>0</v>
      </c>
      <c r="J50" s="62">
        <f t="shared" si="6"/>
        <v>0</v>
      </c>
      <c r="K50" s="62">
        <f t="shared" si="6"/>
        <v>0</v>
      </c>
      <c r="L50" s="62">
        <f t="shared" si="6"/>
        <v>0</v>
      </c>
      <c r="M50" s="62">
        <f t="shared" si="6"/>
        <v>0</v>
      </c>
      <c r="N50" s="62">
        <f t="shared" si="6"/>
        <v>0</v>
      </c>
      <c r="O50" s="62">
        <f t="shared" si="6"/>
        <v>0</v>
      </c>
      <c r="P50" s="62">
        <f t="shared" si="6"/>
        <v>0</v>
      </c>
      <c r="Q50" s="62">
        <f t="shared" si="6"/>
        <v>0</v>
      </c>
      <c r="R50" s="62">
        <f t="shared" si="6"/>
        <v>0</v>
      </c>
      <c r="S50" s="62">
        <f t="shared" si="6"/>
        <v>0</v>
      </c>
      <c r="T50" s="62">
        <f t="shared" si="6"/>
        <v>0</v>
      </c>
      <c r="U50" s="62">
        <f t="shared" si="6"/>
        <v>0</v>
      </c>
      <c r="V50" s="62">
        <f t="shared" si="6"/>
        <v>0</v>
      </c>
      <c r="W50" s="62">
        <f t="shared" si="6"/>
        <v>0</v>
      </c>
      <c r="X50" s="62">
        <f t="shared" si="6"/>
        <v>0</v>
      </c>
      <c r="Y50" s="62">
        <f t="shared" si="6"/>
        <v>0</v>
      </c>
      <c r="Z50" s="62">
        <f t="shared" si="6"/>
        <v>0</v>
      </c>
      <c r="AA50" s="62">
        <f t="shared" si="6"/>
        <v>0</v>
      </c>
      <c r="AB50" s="62">
        <f t="shared" si="6"/>
        <v>0</v>
      </c>
      <c r="AC50" s="62">
        <f t="shared" si="6"/>
        <v>0</v>
      </c>
      <c r="AD50" s="62">
        <f t="shared" si="6"/>
        <v>0</v>
      </c>
      <c r="AE50" s="62">
        <f t="shared" si="6"/>
        <v>0</v>
      </c>
      <c r="AF50" s="62">
        <f t="shared" si="6"/>
        <v>0</v>
      </c>
      <c r="AG50" s="62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31" t="s">
        <v>34</v>
      </c>
      <c r="B54" s="128"/>
      <c r="C54" s="128"/>
      <c r="D54" s="128"/>
      <c r="E54" s="129"/>
      <c r="F54" s="40">
        <f>C3+(C3*F52)</f>
        <v>6210000</v>
      </c>
      <c r="G54" s="40">
        <f t="shared" ref="G54:AG54" si="7">F54+(F54*G52)</f>
        <v>6210000</v>
      </c>
      <c r="H54" s="40">
        <f t="shared" si="7"/>
        <v>6210000</v>
      </c>
      <c r="I54" s="40">
        <f t="shared" si="7"/>
        <v>6210000</v>
      </c>
      <c r="J54" s="40">
        <f t="shared" si="7"/>
        <v>6210000</v>
      </c>
      <c r="K54" s="40">
        <f t="shared" si="7"/>
        <v>6210000</v>
      </c>
      <c r="L54" s="40">
        <f t="shared" si="7"/>
        <v>6210000</v>
      </c>
      <c r="M54" s="40">
        <f t="shared" si="7"/>
        <v>6210000</v>
      </c>
      <c r="N54" s="40">
        <f t="shared" si="7"/>
        <v>6210000</v>
      </c>
      <c r="O54" s="40">
        <f t="shared" si="7"/>
        <v>6210000</v>
      </c>
      <c r="P54" s="40">
        <f t="shared" si="7"/>
        <v>6210000</v>
      </c>
      <c r="Q54" s="40">
        <f t="shared" si="7"/>
        <v>6210000</v>
      </c>
      <c r="R54" s="40">
        <f t="shared" si="7"/>
        <v>6210000</v>
      </c>
      <c r="S54" s="40">
        <f t="shared" si="7"/>
        <v>6210000</v>
      </c>
      <c r="T54" s="40">
        <f t="shared" si="7"/>
        <v>6210000</v>
      </c>
      <c r="U54" s="40">
        <f t="shared" si="7"/>
        <v>6210000</v>
      </c>
      <c r="V54" s="40">
        <f t="shared" si="7"/>
        <v>6210000</v>
      </c>
      <c r="W54" s="40">
        <f t="shared" si="7"/>
        <v>6210000</v>
      </c>
      <c r="X54" s="40">
        <f t="shared" si="7"/>
        <v>6210000</v>
      </c>
      <c r="Y54" s="40">
        <f t="shared" si="7"/>
        <v>6210000</v>
      </c>
      <c r="Z54" s="40">
        <f t="shared" si="7"/>
        <v>6210000</v>
      </c>
      <c r="AA54" s="40">
        <f t="shared" si="7"/>
        <v>6210000</v>
      </c>
      <c r="AB54" s="40">
        <f t="shared" si="7"/>
        <v>6210000</v>
      </c>
      <c r="AC54" s="40">
        <f t="shared" si="7"/>
        <v>6210000</v>
      </c>
      <c r="AD54" s="40">
        <f t="shared" si="7"/>
        <v>6210000</v>
      </c>
      <c r="AE54" s="40">
        <f t="shared" si="7"/>
        <v>6210000</v>
      </c>
      <c r="AF54" s="40">
        <f t="shared" si="7"/>
        <v>6210000</v>
      </c>
      <c r="AG54" s="40">
        <f t="shared" si="7"/>
        <v>6210000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32" t="s">
        <v>35</v>
      </c>
      <c r="B56" s="128"/>
      <c r="C56" s="128"/>
      <c r="D56" s="128"/>
      <c r="E56" s="129"/>
      <c r="F56" s="41">
        <f t="shared" ref="F56:AG56" si="8">F50*F54</f>
        <v>0</v>
      </c>
      <c r="G56" s="41">
        <f t="shared" si="8"/>
        <v>0</v>
      </c>
      <c r="H56" s="41">
        <f t="shared" si="8"/>
        <v>0</v>
      </c>
      <c r="I56" s="41">
        <f t="shared" si="8"/>
        <v>0</v>
      </c>
      <c r="J56" s="41">
        <f t="shared" si="8"/>
        <v>0</v>
      </c>
      <c r="K56" s="41">
        <f t="shared" si="8"/>
        <v>0</v>
      </c>
      <c r="L56" s="41">
        <f t="shared" si="8"/>
        <v>0</v>
      </c>
      <c r="M56" s="41">
        <f t="shared" si="8"/>
        <v>0</v>
      </c>
      <c r="N56" s="41">
        <f t="shared" si="8"/>
        <v>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127" t="s">
        <v>36</v>
      </c>
      <c r="B58" s="128"/>
      <c r="C58" s="128"/>
      <c r="D58" s="128"/>
      <c r="E58" s="129"/>
      <c r="F58" s="42">
        <f>F56-(F56*D4)</f>
        <v>0</v>
      </c>
      <c r="G58" s="43">
        <f>G56-(G56*D4)</f>
        <v>0</v>
      </c>
      <c r="H58" s="43">
        <f>H56-(H56*D4)</f>
        <v>0</v>
      </c>
      <c r="I58" s="43">
        <f>I56-(I56*D4)</f>
        <v>0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130" t="s">
        <v>37</v>
      </c>
      <c r="B60" s="128"/>
      <c r="C60" s="128"/>
      <c r="D60" s="128"/>
      <c r="E60" s="129"/>
      <c r="F60" s="45">
        <f>F54-F58-C4</f>
        <v>6210000</v>
      </c>
      <c r="G60" s="45">
        <f t="shared" ref="G60:AG60" si="9">(F60+(F60*G52))-G58</f>
        <v>6210000</v>
      </c>
      <c r="H60" s="46">
        <f t="shared" si="9"/>
        <v>6210000</v>
      </c>
      <c r="I60" s="46">
        <f t="shared" si="9"/>
        <v>6210000</v>
      </c>
      <c r="J60" s="45">
        <f t="shared" si="9"/>
        <v>6210000</v>
      </c>
      <c r="K60" s="45">
        <f t="shared" si="9"/>
        <v>6210000</v>
      </c>
      <c r="L60" s="45">
        <f t="shared" si="9"/>
        <v>6210000</v>
      </c>
      <c r="M60" s="45">
        <f t="shared" si="9"/>
        <v>6210000</v>
      </c>
      <c r="N60" s="45">
        <f t="shared" si="9"/>
        <v>6210000</v>
      </c>
      <c r="O60" s="45">
        <f t="shared" si="9"/>
        <v>6210000</v>
      </c>
      <c r="P60" s="45">
        <f t="shared" si="9"/>
        <v>6210000</v>
      </c>
      <c r="Q60" s="45">
        <f t="shared" si="9"/>
        <v>6210000</v>
      </c>
      <c r="R60" s="45">
        <f t="shared" si="9"/>
        <v>6210000</v>
      </c>
      <c r="S60" s="45">
        <f t="shared" si="9"/>
        <v>6210000</v>
      </c>
      <c r="T60" s="45">
        <f t="shared" si="9"/>
        <v>6210000</v>
      </c>
      <c r="U60" s="45">
        <f t="shared" si="9"/>
        <v>6210000</v>
      </c>
      <c r="V60" s="45">
        <f t="shared" si="9"/>
        <v>6210000</v>
      </c>
      <c r="W60" s="45">
        <f t="shared" si="9"/>
        <v>6210000</v>
      </c>
      <c r="X60" s="45">
        <f t="shared" si="9"/>
        <v>6210000</v>
      </c>
      <c r="Y60" s="45">
        <f t="shared" si="9"/>
        <v>6210000</v>
      </c>
      <c r="Z60" s="45">
        <f t="shared" si="9"/>
        <v>6210000</v>
      </c>
      <c r="AA60" s="45">
        <f t="shared" si="9"/>
        <v>6210000</v>
      </c>
      <c r="AB60" s="45">
        <f t="shared" si="9"/>
        <v>6210000</v>
      </c>
      <c r="AC60" s="45">
        <f t="shared" si="9"/>
        <v>6210000</v>
      </c>
      <c r="AD60" s="45">
        <f t="shared" si="9"/>
        <v>6210000</v>
      </c>
      <c r="AE60" s="45">
        <f t="shared" si="9"/>
        <v>6210000</v>
      </c>
      <c r="AF60" s="45">
        <f t="shared" si="9"/>
        <v>6210000</v>
      </c>
      <c r="AG60" s="45">
        <f t="shared" si="9"/>
        <v>6210000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/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6"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honeticPr fontId="29" type="noConversion"/>
  <printOptions horizontalCentered="1" verticalCentered="1" gridLines="1"/>
  <pageMargins left="0.25" right="0.25" top="0.75" bottom="0.75" header="0" footer="0"/>
  <pageSetup paperSize="8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  <pageSetUpPr fitToPage="1"/>
  </sheetPr>
  <dimension ref="A1:AG1002"/>
  <sheetViews>
    <sheetView zoomScale="85" zoomScaleNormal="85" workbookViewId="0">
      <pane xSplit="3" topLeftCell="D1" activePane="topRight" state="frozen"/>
      <selection pane="topRight" activeCell="H48" sqref="H48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5" width="10.7109375" customWidth="1"/>
  </cols>
  <sheetData>
    <row r="1" spans="1:33" ht="30" customHeight="1" x14ac:dyDescent="0.25">
      <c r="A1" s="1"/>
      <c r="B1" s="102" t="s">
        <v>91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23" t="s">
        <v>1</v>
      </c>
      <c r="B3" s="124"/>
      <c r="C3" s="5">
        <f>RESUMEN!D11</f>
        <v>9056250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21" t="s">
        <v>42</v>
      </c>
      <c r="G5" s="122"/>
      <c r="H5" s="121" t="s">
        <v>43</v>
      </c>
      <c r="I5" s="122"/>
      <c r="J5" s="121" t="s">
        <v>44</v>
      </c>
      <c r="K5" s="122"/>
      <c r="L5" s="121" t="s">
        <v>45</v>
      </c>
      <c r="M5" s="122"/>
      <c r="N5" s="121" t="s">
        <v>46</v>
      </c>
      <c r="O5" s="122"/>
      <c r="P5" s="121" t="s">
        <v>47</v>
      </c>
      <c r="Q5" s="122"/>
      <c r="R5" s="121" t="s">
        <v>48</v>
      </c>
      <c r="S5" s="122"/>
      <c r="T5" s="121" t="s">
        <v>49</v>
      </c>
      <c r="U5" s="122"/>
      <c r="V5" s="121" t="s">
        <v>38</v>
      </c>
      <c r="W5" s="122"/>
      <c r="X5" s="121" t="s">
        <v>39</v>
      </c>
      <c r="Y5" s="122"/>
      <c r="Z5" s="121" t="s">
        <v>40</v>
      </c>
      <c r="AA5" s="122"/>
      <c r="AB5" s="121" t="s">
        <v>41</v>
      </c>
      <c r="AC5" s="122"/>
      <c r="AD5" s="121" t="s">
        <v>42</v>
      </c>
      <c r="AE5" s="122"/>
      <c r="AF5" s="121" t="s">
        <v>43</v>
      </c>
      <c r="AG5" s="122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3" ht="16.5" thickBot="1" x14ac:dyDescent="0.3">
      <c r="A7" s="7">
        <v>1</v>
      </c>
      <c r="B7" s="7" t="s">
        <v>52</v>
      </c>
      <c r="C7" s="8">
        <f>SUM(C8:C12)</f>
        <v>0.25</v>
      </c>
      <c r="D7" s="56">
        <f>C7*C3</f>
        <v>2264062.5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</v>
      </c>
      <c r="F8" s="14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55</v>
      </c>
      <c r="C9" s="12">
        <v>0.05</v>
      </c>
      <c r="D9" s="12"/>
      <c r="E9" s="103">
        <f t="shared" ref="E9:E12" si="0"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57</v>
      </c>
      <c r="C10" s="12">
        <v>0.05</v>
      </c>
      <c r="D10" s="12"/>
      <c r="E10" s="103">
        <f t="shared" si="0"/>
        <v>0</v>
      </c>
      <c r="F10" s="20"/>
      <c r="G10" s="15"/>
      <c r="H10" s="20"/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59</v>
      </c>
      <c r="C11" s="12">
        <v>0.05</v>
      </c>
      <c r="D11" s="12"/>
      <c r="E11" s="103">
        <f t="shared" si="0"/>
        <v>0</v>
      </c>
      <c r="F11" s="20"/>
      <c r="G11" s="15"/>
      <c r="H11" s="20"/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61</v>
      </c>
      <c r="C12" s="12">
        <v>0.05</v>
      </c>
      <c r="D12" s="12"/>
      <c r="E12" s="103">
        <f t="shared" si="0"/>
        <v>0</v>
      </c>
      <c r="F12" s="20"/>
      <c r="G12" s="15"/>
      <c r="H12" s="20"/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2716875</v>
      </c>
      <c r="E14" s="2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53</v>
      </c>
      <c r="C15" s="12">
        <v>0.1</v>
      </c>
      <c r="D15" s="12"/>
      <c r="E15" s="103">
        <f t="shared" ref="E15:E19" si="1">SUM(F15:AG15)</f>
        <v>0</v>
      </c>
      <c r="F15" s="20"/>
      <c r="G15" s="15"/>
      <c r="H15" s="20"/>
      <c r="I15" s="21"/>
      <c r="J15" s="21"/>
      <c r="K15" s="15"/>
      <c r="L15" s="21"/>
      <c r="M15" s="17"/>
      <c r="N15" s="21"/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55</v>
      </c>
      <c r="C16" s="12">
        <v>0.05</v>
      </c>
      <c r="D16" s="12"/>
      <c r="E16" s="103">
        <f t="shared" si="1"/>
        <v>0</v>
      </c>
      <c r="F16" s="21"/>
      <c r="G16" s="15"/>
      <c r="H16" s="21"/>
      <c r="I16" s="20"/>
      <c r="J16" s="21"/>
      <c r="K16" s="17"/>
      <c r="L16" s="21"/>
      <c r="M16" s="15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3</v>
      </c>
      <c r="B17" s="11" t="s">
        <v>57</v>
      </c>
      <c r="C17" s="12">
        <v>0.05</v>
      </c>
      <c r="D17" s="12"/>
      <c r="E17" s="103">
        <f t="shared" si="1"/>
        <v>0</v>
      </c>
      <c r="F17" s="21"/>
      <c r="G17" s="17"/>
      <c r="H17" s="21"/>
      <c r="I17" s="20"/>
      <c r="J17" s="20"/>
      <c r="K17" s="17"/>
      <c r="L17" s="21"/>
      <c r="M17" s="17"/>
      <c r="N17" s="21"/>
      <c r="O17" s="17"/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4</v>
      </c>
      <c r="B18" s="11" t="s">
        <v>69</v>
      </c>
      <c r="C18" s="12">
        <v>0.05</v>
      </c>
      <c r="D18" s="12"/>
      <c r="E18" s="103">
        <f t="shared" si="1"/>
        <v>0</v>
      </c>
      <c r="F18" s="21"/>
      <c r="G18" s="17"/>
      <c r="H18" s="21"/>
      <c r="I18" s="21"/>
      <c r="J18" s="21"/>
      <c r="K18" s="17"/>
      <c r="L18" s="21"/>
      <c r="M18" s="15"/>
      <c r="N18" s="21"/>
      <c r="O18" s="17"/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5</v>
      </c>
      <c r="B19" s="11" t="s">
        <v>71</v>
      </c>
      <c r="C19" s="12">
        <v>0.05</v>
      </c>
      <c r="D19" s="12"/>
      <c r="E19" s="103">
        <f t="shared" si="1"/>
        <v>0</v>
      </c>
      <c r="F19" s="21"/>
      <c r="G19" s="17"/>
      <c r="H19" s="21"/>
      <c r="I19" s="21"/>
      <c r="J19" s="21"/>
      <c r="K19" s="15"/>
      <c r="L19" s="21"/>
      <c r="M19" s="17"/>
      <c r="N19" s="21"/>
      <c r="O19" s="15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/>
      <c r="B20" s="11"/>
      <c r="C20" s="12"/>
      <c r="D20" s="12"/>
      <c r="E20" s="1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905625</v>
      </c>
      <c r="E21" s="2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x14ac:dyDescent="0.25">
      <c r="A22" s="11">
        <v>1</v>
      </c>
      <c r="B22" s="11" t="s">
        <v>53</v>
      </c>
      <c r="C22" s="12">
        <v>0.02</v>
      </c>
      <c r="D22" s="12"/>
      <c r="E22" s="103">
        <f t="shared" ref="E22:E26" si="2">SUM(F22:AG22)</f>
        <v>0</v>
      </c>
      <c r="F22" s="20"/>
      <c r="G22" s="15"/>
      <c r="H22" s="20"/>
      <c r="I22" s="21"/>
      <c r="J22" s="21"/>
      <c r="K22" s="15"/>
      <c r="L22" s="21"/>
      <c r="M22" s="17"/>
      <c r="N22" s="21"/>
      <c r="O22" s="17"/>
      <c r="P22" s="21"/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x14ac:dyDescent="0.25">
      <c r="A23" s="11">
        <v>2</v>
      </c>
      <c r="B23" s="11" t="s">
        <v>55</v>
      </c>
      <c r="C23" s="12">
        <v>0.02</v>
      </c>
      <c r="D23" s="12"/>
      <c r="E23" s="103">
        <f t="shared" si="2"/>
        <v>0</v>
      </c>
      <c r="F23" s="21"/>
      <c r="G23" s="15"/>
      <c r="H23" s="21"/>
      <c r="I23" s="20"/>
      <c r="J23" s="21"/>
      <c r="K23" s="17"/>
      <c r="L23" s="21"/>
      <c r="M23" s="15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x14ac:dyDescent="0.25">
      <c r="A24" s="11">
        <v>3</v>
      </c>
      <c r="B24" s="11" t="s">
        <v>57</v>
      </c>
      <c r="C24" s="12">
        <v>0.02</v>
      </c>
      <c r="D24" s="12"/>
      <c r="E24" s="103">
        <f t="shared" si="2"/>
        <v>0</v>
      </c>
      <c r="F24" s="21"/>
      <c r="G24" s="17"/>
      <c r="H24" s="21"/>
      <c r="I24" s="20"/>
      <c r="J24" s="20"/>
      <c r="K24" s="17"/>
      <c r="L24" s="21"/>
      <c r="M24" s="17"/>
      <c r="N24" s="21"/>
      <c r="O24" s="17"/>
      <c r="P24" s="20"/>
      <c r="Q24" s="17"/>
      <c r="R24" s="20"/>
      <c r="S24" s="17"/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x14ac:dyDescent="0.25">
      <c r="A25" s="11">
        <v>4</v>
      </c>
      <c r="B25" s="11" t="s">
        <v>69</v>
      </c>
      <c r="C25" s="12">
        <v>0.02</v>
      </c>
      <c r="D25" s="12"/>
      <c r="E25" s="103">
        <f t="shared" si="2"/>
        <v>0</v>
      </c>
      <c r="F25" s="21"/>
      <c r="G25" s="17"/>
      <c r="H25" s="21"/>
      <c r="I25" s="21"/>
      <c r="J25" s="21"/>
      <c r="K25" s="17"/>
      <c r="L25" s="21"/>
      <c r="M25" s="15"/>
      <c r="N25" s="21"/>
      <c r="O25" s="17"/>
      <c r="P25" s="21"/>
      <c r="Q25" s="17"/>
      <c r="R25" s="21"/>
      <c r="S25" s="17"/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x14ac:dyDescent="0.25">
      <c r="A26" s="11">
        <v>5</v>
      </c>
      <c r="B26" s="11" t="s">
        <v>71</v>
      </c>
      <c r="C26" s="12">
        <v>0.02</v>
      </c>
      <c r="D26" s="12"/>
      <c r="E26" s="103">
        <f t="shared" si="2"/>
        <v>0</v>
      </c>
      <c r="F26" s="21"/>
      <c r="G26" s="17"/>
      <c r="H26" s="21"/>
      <c r="I26" s="21"/>
      <c r="J26" s="21"/>
      <c r="K26" s="15"/>
      <c r="L26" s="21"/>
      <c r="M26" s="17"/>
      <c r="N26" s="21"/>
      <c r="O26" s="15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/>
      <c r="B27" s="11"/>
      <c r="C27" s="12"/>
      <c r="D27" s="12"/>
      <c r="E27" s="1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7">
        <v>4</v>
      </c>
      <c r="B28" s="7" t="s">
        <v>51</v>
      </c>
      <c r="C28" s="8">
        <f>SUM(C29:C33)</f>
        <v>0.1</v>
      </c>
      <c r="D28" s="56">
        <f>C28*C3</f>
        <v>905625</v>
      </c>
      <c r="E28" s="2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.75" customHeight="1" x14ac:dyDescent="0.25">
      <c r="A29" s="11">
        <v>1</v>
      </c>
      <c r="B29" s="11" t="s">
        <v>53</v>
      </c>
      <c r="C29" s="12">
        <v>0.02</v>
      </c>
      <c r="D29" s="12"/>
      <c r="E29" s="103">
        <f t="shared" ref="E29:E33" si="3">SUM(F29:AG29)</f>
        <v>0</v>
      </c>
      <c r="F29" s="21"/>
      <c r="G29" s="17"/>
      <c r="H29" s="21"/>
      <c r="I29" s="21"/>
      <c r="J29" s="21"/>
      <c r="K29" s="17"/>
      <c r="L29" s="21"/>
      <c r="M29" s="15"/>
      <c r="N29" s="21"/>
      <c r="O29" s="17"/>
      <c r="P29" s="21"/>
      <c r="Q29" s="17"/>
      <c r="R29" s="21"/>
      <c r="S29" s="17"/>
      <c r="T29" s="21"/>
      <c r="U29" s="15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11">
        <v>2</v>
      </c>
      <c r="B30" s="11" t="s">
        <v>55</v>
      </c>
      <c r="C30" s="12">
        <v>0.02</v>
      </c>
      <c r="D30" s="12"/>
      <c r="E30" s="103">
        <f t="shared" si="3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5"/>
      <c r="P30" s="20"/>
      <c r="Q30" s="17"/>
      <c r="R30" s="20"/>
      <c r="S30" s="15"/>
      <c r="T30" s="20"/>
      <c r="U30" s="15"/>
      <c r="V30" s="20"/>
      <c r="W30" s="17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 ht="15.75" customHeight="1" x14ac:dyDescent="0.25">
      <c r="A31" s="11">
        <v>3</v>
      </c>
      <c r="B31" s="11" t="s">
        <v>57</v>
      </c>
      <c r="C31" s="12">
        <v>0.02</v>
      </c>
      <c r="D31" s="12"/>
      <c r="E31" s="103">
        <f t="shared" si="3"/>
        <v>0</v>
      </c>
      <c r="F31" s="21"/>
      <c r="G31" s="17"/>
      <c r="H31" s="21"/>
      <c r="I31" s="21"/>
      <c r="J31" s="21"/>
      <c r="K31" s="17"/>
      <c r="L31" s="21"/>
      <c r="M31" s="17"/>
      <c r="N31" s="21"/>
      <c r="O31" s="15"/>
      <c r="P31" s="20"/>
      <c r="Q31" s="17"/>
      <c r="R31" s="20"/>
      <c r="S31" s="17"/>
      <c r="T31" s="20"/>
      <c r="U31" s="15"/>
      <c r="V31" s="20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4</v>
      </c>
      <c r="B32" s="11" t="s">
        <v>69</v>
      </c>
      <c r="C32" s="12">
        <v>0.02</v>
      </c>
      <c r="D32" s="12"/>
      <c r="E32" s="103">
        <f t="shared" si="3"/>
        <v>0</v>
      </c>
      <c r="F32" s="21"/>
      <c r="G32" s="17"/>
      <c r="H32" s="21"/>
      <c r="I32" s="21"/>
      <c r="J32" s="21"/>
      <c r="K32" s="17"/>
      <c r="L32" s="21"/>
      <c r="M32" s="17"/>
      <c r="N32" s="21"/>
      <c r="O32" s="17"/>
      <c r="P32" s="20"/>
      <c r="Q32" s="17"/>
      <c r="R32" s="20"/>
      <c r="S32" s="17"/>
      <c r="T32" s="20"/>
      <c r="U32" s="17"/>
      <c r="V32" s="20"/>
      <c r="W32" s="15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0.02</v>
      </c>
      <c r="D33" s="12"/>
      <c r="E33" s="103">
        <f t="shared" si="3"/>
        <v>0</v>
      </c>
      <c r="F33" s="21"/>
      <c r="G33" s="17"/>
      <c r="H33" s="21"/>
      <c r="I33" s="21"/>
      <c r="J33" s="21"/>
      <c r="K33" s="17"/>
      <c r="L33" s="21"/>
      <c r="M33" s="17"/>
      <c r="N33" s="21"/>
      <c r="O33" s="17"/>
      <c r="P33" s="21"/>
      <c r="Q33" s="17"/>
      <c r="R33" s="21"/>
      <c r="S33" s="17"/>
      <c r="T33" s="21"/>
      <c r="U33" s="17"/>
      <c r="V33" s="20"/>
      <c r="W33" s="15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724500</v>
      </c>
      <c r="E35" s="2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>SUM(F36:AG36)</f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5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x14ac:dyDescent="0.25">
      <c r="A38" s="7">
        <v>6</v>
      </c>
      <c r="B38" s="7" t="s">
        <v>31</v>
      </c>
      <c r="C38" s="8">
        <f>SUM(C39:C43)</f>
        <v>0.1</v>
      </c>
      <c r="D38" s="56">
        <f>C38*C3</f>
        <v>905625</v>
      </c>
      <c r="E38" s="2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0.02</v>
      </c>
      <c r="D39" s="12"/>
      <c r="E39" s="103">
        <f t="shared" ref="E39:E43" si="4">SUM(F39:AG39)</f>
        <v>0</v>
      </c>
      <c r="F39" s="21"/>
      <c r="G39" s="17"/>
      <c r="H39" s="21"/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17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0.02</v>
      </c>
      <c r="D40" s="12"/>
      <c r="E40" s="103">
        <f t="shared" si="4"/>
        <v>0</v>
      </c>
      <c r="F40" s="21"/>
      <c r="G40" s="17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0.02</v>
      </c>
      <c r="D41" s="12"/>
      <c r="E41" s="103">
        <f t="shared" si="4"/>
        <v>0</v>
      </c>
      <c r="F41" s="21"/>
      <c r="G41" s="17"/>
      <c r="H41" s="21"/>
      <c r="I41" s="21"/>
      <c r="J41" s="21"/>
      <c r="K41" s="17"/>
      <c r="L41" s="21"/>
      <c r="M41" s="17"/>
      <c r="N41" s="21"/>
      <c r="O41" s="17"/>
      <c r="P41" s="21"/>
      <c r="Q41" s="17"/>
      <c r="R41" s="21"/>
      <c r="S41" s="17"/>
      <c r="T41" s="21"/>
      <c r="U41" s="17"/>
      <c r="V41" s="21"/>
      <c r="W41" s="30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0.02</v>
      </c>
      <c r="D42" s="12"/>
      <c r="E42" s="103">
        <f t="shared" si="4"/>
        <v>0</v>
      </c>
      <c r="F42" s="21"/>
      <c r="G42" s="17"/>
      <c r="H42" s="21"/>
      <c r="I42" s="21"/>
      <c r="J42" s="21"/>
      <c r="K42" s="17"/>
      <c r="L42" s="21"/>
      <c r="M42" s="17"/>
      <c r="N42" s="21"/>
      <c r="O42" s="17"/>
      <c r="P42" s="21"/>
      <c r="Q42" s="17"/>
      <c r="R42" s="21"/>
      <c r="S42" s="17"/>
      <c r="T42" s="21"/>
      <c r="U42" s="17"/>
      <c r="V42" s="21"/>
      <c r="W42" s="30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0.02</v>
      </c>
      <c r="D43" s="12"/>
      <c r="E43" s="103">
        <f t="shared" si="4"/>
        <v>0</v>
      </c>
      <c r="F43" s="21"/>
      <c r="G43" s="17"/>
      <c r="H43" s="21"/>
      <c r="I43" s="21"/>
      <c r="J43" s="21"/>
      <c r="K43" s="17"/>
      <c r="L43" s="21"/>
      <c r="M43" s="17"/>
      <c r="N43" s="21"/>
      <c r="O43" s="17"/>
      <c r="P43" s="21"/>
      <c r="Q43" s="17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C44" s="22"/>
      <c r="D44" s="22"/>
      <c r="E44" s="13"/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7.0000000000000007E-2</v>
      </c>
      <c r="D45" s="56">
        <f>C45*C3</f>
        <v>633937.50000000012</v>
      </c>
      <c r="E45" s="2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0.02</v>
      </c>
      <c r="D46" s="12"/>
      <c r="E46" s="103">
        <f t="shared" ref="E46:E48" si="5">SUM(F46:AG46)</f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0.02</v>
      </c>
      <c r="D47" s="12"/>
      <c r="E47" s="103">
        <f t="shared" si="5"/>
        <v>0</v>
      </c>
      <c r="F47" s="21"/>
      <c r="G47" s="17"/>
      <c r="H47" s="21"/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5"/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0.03</v>
      </c>
      <c r="D48" s="12"/>
      <c r="E48" s="103">
        <f t="shared" si="5"/>
        <v>0</v>
      </c>
      <c r="F48" s="21"/>
      <c r="G48" s="17"/>
      <c r="H48" s="21"/>
      <c r="I48" s="21"/>
      <c r="J48" s="21"/>
      <c r="K48" s="17"/>
      <c r="L48" s="21"/>
      <c r="M48" s="17"/>
      <c r="N48" s="21"/>
      <c r="O48" s="17"/>
      <c r="P48" s="21"/>
      <c r="Q48" s="17"/>
      <c r="R48" s="21"/>
      <c r="S48" s="17"/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5.75" customHeight="1" thickBot="1" x14ac:dyDescent="0.3">
      <c r="A49" s="11"/>
      <c r="B49" s="11"/>
      <c r="C49" s="12"/>
      <c r="D49" s="12"/>
      <c r="E49" s="1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5.75" customHeight="1" thickBot="1" x14ac:dyDescent="0.35">
      <c r="A50" s="32"/>
      <c r="B50" s="33" t="s">
        <v>32</v>
      </c>
      <c r="C50" s="34">
        <f>SUM(C7+C14+C21+C28+C35+C38+C45)</f>
        <v>1</v>
      </c>
      <c r="D50" s="34"/>
      <c r="E50" s="35">
        <f>SUM(F50:AG50)</f>
        <v>0</v>
      </c>
      <c r="F50" s="62">
        <f t="shared" ref="F50:AG50" si="6">SUM(F8:F49)</f>
        <v>0</v>
      </c>
      <c r="G50" s="62">
        <f t="shared" si="6"/>
        <v>0</v>
      </c>
      <c r="H50" s="62">
        <f t="shared" si="6"/>
        <v>0</v>
      </c>
      <c r="I50" s="62">
        <f t="shared" si="6"/>
        <v>0</v>
      </c>
      <c r="J50" s="62">
        <f t="shared" si="6"/>
        <v>0</v>
      </c>
      <c r="K50" s="62">
        <f t="shared" si="6"/>
        <v>0</v>
      </c>
      <c r="L50" s="62">
        <f t="shared" si="6"/>
        <v>0</v>
      </c>
      <c r="M50" s="62">
        <f t="shared" si="6"/>
        <v>0</v>
      </c>
      <c r="N50" s="62">
        <f t="shared" si="6"/>
        <v>0</v>
      </c>
      <c r="O50" s="62">
        <f t="shared" si="6"/>
        <v>0</v>
      </c>
      <c r="P50" s="62">
        <f t="shared" si="6"/>
        <v>0</v>
      </c>
      <c r="Q50" s="62">
        <f t="shared" si="6"/>
        <v>0</v>
      </c>
      <c r="R50" s="62">
        <f t="shared" si="6"/>
        <v>0</v>
      </c>
      <c r="S50" s="62">
        <f t="shared" si="6"/>
        <v>0</v>
      </c>
      <c r="T50" s="62">
        <f t="shared" si="6"/>
        <v>0</v>
      </c>
      <c r="U50" s="62">
        <f t="shared" si="6"/>
        <v>0</v>
      </c>
      <c r="V50" s="62">
        <f t="shared" si="6"/>
        <v>0</v>
      </c>
      <c r="W50" s="62">
        <f t="shared" si="6"/>
        <v>0</v>
      </c>
      <c r="X50" s="62">
        <f t="shared" si="6"/>
        <v>0</v>
      </c>
      <c r="Y50" s="62">
        <f t="shared" si="6"/>
        <v>0</v>
      </c>
      <c r="Z50" s="62">
        <f t="shared" si="6"/>
        <v>0</v>
      </c>
      <c r="AA50" s="62">
        <f t="shared" si="6"/>
        <v>0</v>
      </c>
      <c r="AB50" s="62">
        <f t="shared" si="6"/>
        <v>0</v>
      </c>
      <c r="AC50" s="62">
        <f t="shared" si="6"/>
        <v>0</v>
      </c>
      <c r="AD50" s="62">
        <f t="shared" si="6"/>
        <v>0</v>
      </c>
      <c r="AE50" s="62">
        <f t="shared" si="6"/>
        <v>0</v>
      </c>
      <c r="AF50" s="62">
        <f t="shared" si="6"/>
        <v>0</v>
      </c>
      <c r="AG50" s="62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31" t="s">
        <v>34</v>
      </c>
      <c r="B54" s="128"/>
      <c r="C54" s="128"/>
      <c r="D54" s="128"/>
      <c r="E54" s="129"/>
      <c r="F54" s="40">
        <f>C3+(C3*F52)</f>
        <v>9056250</v>
      </c>
      <c r="G54" s="40">
        <f t="shared" ref="G54:AG54" si="7">F54+(F54*G52)</f>
        <v>9056250</v>
      </c>
      <c r="H54" s="40">
        <f t="shared" si="7"/>
        <v>9056250</v>
      </c>
      <c r="I54" s="40">
        <f t="shared" si="7"/>
        <v>9056250</v>
      </c>
      <c r="J54" s="40">
        <f t="shared" si="7"/>
        <v>9056250</v>
      </c>
      <c r="K54" s="40">
        <f t="shared" si="7"/>
        <v>9056250</v>
      </c>
      <c r="L54" s="40">
        <f t="shared" si="7"/>
        <v>9056250</v>
      </c>
      <c r="M54" s="40">
        <f t="shared" si="7"/>
        <v>9056250</v>
      </c>
      <c r="N54" s="40">
        <f t="shared" si="7"/>
        <v>9056250</v>
      </c>
      <c r="O54" s="40">
        <f t="shared" si="7"/>
        <v>9056250</v>
      </c>
      <c r="P54" s="40">
        <f t="shared" si="7"/>
        <v>9056250</v>
      </c>
      <c r="Q54" s="40">
        <f t="shared" si="7"/>
        <v>9056250</v>
      </c>
      <c r="R54" s="40">
        <f t="shared" si="7"/>
        <v>9056250</v>
      </c>
      <c r="S54" s="40">
        <f t="shared" si="7"/>
        <v>9056250</v>
      </c>
      <c r="T54" s="40">
        <f t="shared" si="7"/>
        <v>9056250</v>
      </c>
      <c r="U54" s="40">
        <f t="shared" si="7"/>
        <v>9056250</v>
      </c>
      <c r="V54" s="40">
        <f t="shared" si="7"/>
        <v>9056250</v>
      </c>
      <c r="W54" s="40">
        <f t="shared" si="7"/>
        <v>9056250</v>
      </c>
      <c r="X54" s="40">
        <f t="shared" si="7"/>
        <v>9056250</v>
      </c>
      <c r="Y54" s="40">
        <f t="shared" si="7"/>
        <v>9056250</v>
      </c>
      <c r="Z54" s="40">
        <f t="shared" si="7"/>
        <v>9056250</v>
      </c>
      <c r="AA54" s="40">
        <f t="shared" si="7"/>
        <v>9056250</v>
      </c>
      <c r="AB54" s="40">
        <f t="shared" si="7"/>
        <v>9056250</v>
      </c>
      <c r="AC54" s="40">
        <f t="shared" si="7"/>
        <v>9056250</v>
      </c>
      <c r="AD54" s="40">
        <f t="shared" si="7"/>
        <v>9056250</v>
      </c>
      <c r="AE54" s="40">
        <f t="shared" si="7"/>
        <v>9056250</v>
      </c>
      <c r="AF54" s="40">
        <f t="shared" si="7"/>
        <v>9056250</v>
      </c>
      <c r="AG54" s="40">
        <f t="shared" si="7"/>
        <v>9056250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32" t="s">
        <v>35</v>
      </c>
      <c r="B56" s="128"/>
      <c r="C56" s="128"/>
      <c r="D56" s="128"/>
      <c r="E56" s="129"/>
      <c r="F56" s="41">
        <f t="shared" ref="F56:AG56" si="8">F50*F54</f>
        <v>0</v>
      </c>
      <c r="G56" s="41">
        <f t="shared" si="8"/>
        <v>0</v>
      </c>
      <c r="H56" s="41">
        <f t="shared" si="8"/>
        <v>0</v>
      </c>
      <c r="I56" s="41">
        <f t="shared" si="8"/>
        <v>0</v>
      </c>
      <c r="J56" s="41">
        <f t="shared" si="8"/>
        <v>0</v>
      </c>
      <c r="K56" s="41">
        <f t="shared" si="8"/>
        <v>0</v>
      </c>
      <c r="L56" s="41">
        <f t="shared" si="8"/>
        <v>0</v>
      </c>
      <c r="M56" s="41">
        <f t="shared" si="8"/>
        <v>0</v>
      </c>
      <c r="N56" s="41">
        <f t="shared" si="8"/>
        <v>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127" t="s">
        <v>36</v>
      </c>
      <c r="B58" s="128"/>
      <c r="C58" s="128"/>
      <c r="D58" s="128"/>
      <c r="E58" s="129"/>
      <c r="F58" s="42">
        <f>F56-(F56*D4)</f>
        <v>0</v>
      </c>
      <c r="G58" s="43">
        <f>G56-(G56*D4)</f>
        <v>0</v>
      </c>
      <c r="H58" s="43">
        <f>H56-(H56*D4)</f>
        <v>0</v>
      </c>
      <c r="I58" s="43">
        <f>I56-(I56*D4)</f>
        <v>0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130" t="s">
        <v>37</v>
      </c>
      <c r="B60" s="128"/>
      <c r="C60" s="128"/>
      <c r="D60" s="128"/>
      <c r="E60" s="129"/>
      <c r="F60" s="45">
        <f>F54-F58-C4</f>
        <v>9056250</v>
      </c>
      <c r="G60" s="45">
        <f t="shared" ref="G60:AG60" si="9">(F60+(F60*G52))-G58</f>
        <v>9056250</v>
      </c>
      <c r="H60" s="46">
        <f t="shared" si="9"/>
        <v>9056250</v>
      </c>
      <c r="I60" s="46">
        <f t="shared" si="9"/>
        <v>9056250</v>
      </c>
      <c r="J60" s="45">
        <f t="shared" si="9"/>
        <v>9056250</v>
      </c>
      <c r="K60" s="45">
        <f t="shared" si="9"/>
        <v>9056250</v>
      </c>
      <c r="L60" s="45">
        <f t="shared" si="9"/>
        <v>9056250</v>
      </c>
      <c r="M60" s="45">
        <f t="shared" si="9"/>
        <v>9056250</v>
      </c>
      <c r="N60" s="45">
        <f t="shared" si="9"/>
        <v>9056250</v>
      </c>
      <c r="O60" s="45">
        <f t="shared" si="9"/>
        <v>9056250</v>
      </c>
      <c r="P60" s="45">
        <f t="shared" si="9"/>
        <v>9056250</v>
      </c>
      <c r="Q60" s="45">
        <f t="shared" si="9"/>
        <v>9056250</v>
      </c>
      <c r="R60" s="45">
        <f t="shared" si="9"/>
        <v>9056250</v>
      </c>
      <c r="S60" s="45">
        <f t="shared" si="9"/>
        <v>9056250</v>
      </c>
      <c r="T60" s="45">
        <f t="shared" si="9"/>
        <v>9056250</v>
      </c>
      <c r="U60" s="45">
        <f t="shared" si="9"/>
        <v>9056250</v>
      </c>
      <c r="V60" s="45">
        <f t="shared" si="9"/>
        <v>9056250</v>
      </c>
      <c r="W60" s="45">
        <f t="shared" si="9"/>
        <v>9056250</v>
      </c>
      <c r="X60" s="45">
        <f t="shared" si="9"/>
        <v>9056250</v>
      </c>
      <c r="Y60" s="45">
        <f t="shared" si="9"/>
        <v>9056250</v>
      </c>
      <c r="Z60" s="45">
        <f t="shared" si="9"/>
        <v>9056250</v>
      </c>
      <c r="AA60" s="45">
        <f t="shared" si="9"/>
        <v>9056250</v>
      </c>
      <c r="AB60" s="45">
        <f t="shared" si="9"/>
        <v>9056250</v>
      </c>
      <c r="AC60" s="45">
        <f t="shared" si="9"/>
        <v>9056250</v>
      </c>
      <c r="AD60" s="45">
        <f t="shared" si="9"/>
        <v>9056250</v>
      </c>
      <c r="AE60" s="45">
        <f t="shared" si="9"/>
        <v>9056250</v>
      </c>
      <c r="AF60" s="45">
        <f t="shared" si="9"/>
        <v>9056250</v>
      </c>
      <c r="AG60" s="45">
        <f t="shared" si="9"/>
        <v>9056250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/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6"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honeticPr fontId="29" type="noConversion"/>
  <printOptions horizontalCentered="1" verticalCentered="1" gridLines="1"/>
  <pageMargins left="0.25" right="0.25" top="0.75" bottom="0.75" header="0" footer="0"/>
  <pageSetup paperSize="8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  <pageSetUpPr fitToPage="1"/>
  </sheetPr>
  <dimension ref="A1:AG1002"/>
  <sheetViews>
    <sheetView zoomScale="85" zoomScaleNormal="85" workbookViewId="0">
      <pane xSplit="3" topLeftCell="D1" activePane="topRight" state="frozen"/>
      <selection pane="topRight" activeCell="A2" sqref="A2:B2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5" width="10.7109375" customWidth="1"/>
  </cols>
  <sheetData>
    <row r="1" spans="1:33" ht="30" customHeight="1" x14ac:dyDescent="0.25">
      <c r="A1" s="1"/>
      <c r="B1" s="102" t="s">
        <v>92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23" t="s">
        <v>1</v>
      </c>
      <c r="B3" s="124"/>
      <c r="C3" s="5">
        <f>RESUMEN!D11</f>
        <v>9056250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21" t="s">
        <v>42</v>
      </c>
      <c r="G5" s="122"/>
      <c r="H5" s="121" t="s">
        <v>43</v>
      </c>
      <c r="I5" s="122"/>
      <c r="J5" s="121" t="s">
        <v>44</v>
      </c>
      <c r="K5" s="122"/>
      <c r="L5" s="121" t="s">
        <v>45</v>
      </c>
      <c r="M5" s="122"/>
      <c r="N5" s="121" t="s">
        <v>46</v>
      </c>
      <c r="O5" s="122"/>
      <c r="P5" s="121" t="s">
        <v>47</v>
      </c>
      <c r="Q5" s="122"/>
      <c r="R5" s="121" t="s">
        <v>48</v>
      </c>
      <c r="S5" s="122"/>
      <c r="T5" s="121" t="s">
        <v>49</v>
      </c>
      <c r="U5" s="122"/>
      <c r="V5" s="121" t="s">
        <v>38</v>
      </c>
      <c r="W5" s="122"/>
      <c r="X5" s="121" t="s">
        <v>39</v>
      </c>
      <c r="Y5" s="122"/>
      <c r="Z5" s="121" t="s">
        <v>40</v>
      </c>
      <c r="AA5" s="122"/>
      <c r="AB5" s="121" t="s">
        <v>41</v>
      </c>
      <c r="AC5" s="122"/>
      <c r="AD5" s="121" t="s">
        <v>42</v>
      </c>
      <c r="AE5" s="122"/>
      <c r="AF5" s="121" t="s">
        <v>43</v>
      </c>
      <c r="AG5" s="122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3" ht="16.5" thickBot="1" x14ac:dyDescent="0.3">
      <c r="A7" s="7">
        <v>1</v>
      </c>
      <c r="B7" s="7" t="s">
        <v>52</v>
      </c>
      <c r="C7" s="8">
        <f>SUM(C8:C12)</f>
        <v>0.25</v>
      </c>
      <c r="D7" s="56">
        <f>C7*C3</f>
        <v>2264062.5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</v>
      </c>
      <c r="F8" s="14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55</v>
      </c>
      <c r="C9" s="12">
        <v>0.05</v>
      </c>
      <c r="D9" s="12"/>
      <c r="E9" s="103">
        <f t="shared" ref="E9:E12" si="0"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57</v>
      </c>
      <c r="C10" s="12">
        <v>0.05</v>
      </c>
      <c r="D10" s="12"/>
      <c r="E10" s="103">
        <f t="shared" si="0"/>
        <v>0</v>
      </c>
      <c r="F10" s="20"/>
      <c r="G10" s="15"/>
      <c r="H10" s="20"/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59</v>
      </c>
      <c r="C11" s="12">
        <v>0.05</v>
      </c>
      <c r="D11" s="12"/>
      <c r="E11" s="103">
        <f t="shared" si="0"/>
        <v>0</v>
      </c>
      <c r="F11" s="20"/>
      <c r="G11" s="15"/>
      <c r="H11" s="20"/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61</v>
      </c>
      <c r="C12" s="12">
        <v>0.05</v>
      </c>
      <c r="D12" s="12"/>
      <c r="E12" s="103">
        <f t="shared" si="0"/>
        <v>0</v>
      </c>
      <c r="F12" s="20"/>
      <c r="G12" s="15"/>
      <c r="H12" s="20"/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2716875</v>
      </c>
      <c r="E14" s="2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53</v>
      </c>
      <c r="C15" s="12">
        <v>0.1</v>
      </c>
      <c r="D15" s="12"/>
      <c r="E15" s="103">
        <f t="shared" ref="E15:E19" si="1">SUM(F15:AG15)</f>
        <v>0</v>
      </c>
      <c r="F15" s="20"/>
      <c r="G15" s="15"/>
      <c r="H15" s="20"/>
      <c r="I15" s="21"/>
      <c r="J15" s="21"/>
      <c r="K15" s="15"/>
      <c r="L15" s="21"/>
      <c r="M15" s="17"/>
      <c r="N15" s="21"/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55</v>
      </c>
      <c r="C16" s="12">
        <v>0.05</v>
      </c>
      <c r="D16" s="12"/>
      <c r="E16" s="103">
        <f t="shared" si="1"/>
        <v>0</v>
      </c>
      <c r="F16" s="21"/>
      <c r="G16" s="15"/>
      <c r="H16" s="21"/>
      <c r="I16" s="20"/>
      <c r="J16" s="21"/>
      <c r="K16" s="17"/>
      <c r="L16" s="21"/>
      <c r="M16" s="15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3</v>
      </c>
      <c r="B17" s="11" t="s">
        <v>57</v>
      </c>
      <c r="C17" s="12">
        <v>0.05</v>
      </c>
      <c r="D17" s="12"/>
      <c r="E17" s="103">
        <f t="shared" si="1"/>
        <v>0</v>
      </c>
      <c r="F17" s="21"/>
      <c r="G17" s="17"/>
      <c r="H17" s="21"/>
      <c r="I17" s="20"/>
      <c r="J17" s="20"/>
      <c r="K17" s="17"/>
      <c r="L17" s="21"/>
      <c r="M17" s="17"/>
      <c r="N17" s="21"/>
      <c r="O17" s="17"/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4</v>
      </c>
      <c r="B18" s="11" t="s">
        <v>69</v>
      </c>
      <c r="C18" s="12">
        <v>0.05</v>
      </c>
      <c r="D18" s="12"/>
      <c r="E18" s="103">
        <f t="shared" si="1"/>
        <v>0</v>
      </c>
      <c r="F18" s="21"/>
      <c r="G18" s="17"/>
      <c r="H18" s="21"/>
      <c r="I18" s="21"/>
      <c r="J18" s="21"/>
      <c r="K18" s="17"/>
      <c r="L18" s="21"/>
      <c r="M18" s="15"/>
      <c r="N18" s="21"/>
      <c r="O18" s="17"/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5</v>
      </c>
      <c r="B19" s="11" t="s">
        <v>71</v>
      </c>
      <c r="C19" s="12">
        <v>0.05</v>
      </c>
      <c r="D19" s="12"/>
      <c r="E19" s="103">
        <f t="shared" si="1"/>
        <v>0</v>
      </c>
      <c r="F19" s="21"/>
      <c r="G19" s="17"/>
      <c r="H19" s="21"/>
      <c r="I19" s="21"/>
      <c r="J19" s="21"/>
      <c r="K19" s="15"/>
      <c r="L19" s="21"/>
      <c r="M19" s="17"/>
      <c r="N19" s="21"/>
      <c r="O19" s="15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/>
      <c r="B20" s="11"/>
      <c r="C20" s="12"/>
      <c r="D20" s="12"/>
      <c r="E20" s="1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905625</v>
      </c>
      <c r="E21" s="2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x14ac:dyDescent="0.25">
      <c r="A22" s="11">
        <v>1</v>
      </c>
      <c r="B22" s="11" t="s">
        <v>53</v>
      </c>
      <c r="C22" s="12">
        <v>0.02</v>
      </c>
      <c r="D22" s="12"/>
      <c r="E22" s="103">
        <f t="shared" ref="E22:E26" si="2">SUM(F22:AG22)</f>
        <v>0</v>
      </c>
      <c r="F22" s="20"/>
      <c r="G22" s="15"/>
      <c r="H22" s="20"/>
      <c r="I22" s="21"/>
      <c r="J22" s="21"/>
      <c r="K22" s="15"/>
      <c r="L22" s="21"/>
      <c r="M22" s="17"/>
      <c r="N22" s="21"/>
      <c r="O22" s="17"/>
      <c r="P22" s="21"/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x14ac:dyDescent="0.25">
      <c r="A23" s="11">
        <v>2</v>
      </c>
      <c r="B23" s="11" t="s">
        <v>55</v>
      </c>
      <c r="C23" s="12">
        <v>0.02</v>
      </c>
      <c r="D23" s="12"/>
      <c r="E23" s="103">
        <f t="shared" si="2"/>
        <v>0</v>
      </c>
      <c r="F23" s="21"/>
      <c r="G23" s="15"/>
      <c r="H23" s="21"/>
      <c r="I23" s="20"/>
      <c r="J23" s="21"/>
      <c r="K23" s="17"/>
      <c r="L23" s="21"/>
      <c r="M23" s="15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x14ac:dyDescent="0.25">
      <c r="A24" s="11">
        <v>3</v>
      </c>
      <c r="B24" s="11" t="s">
        <v>57</v>
      </c>
      <c r="C24" s="12">
        <v>0.02</v>
      </c>
      <c r="D24" s="12"/>
      <c r="E24" s="103">
        <f t="shared" si="2"/>
        <v>0</v>
      </c>
      <c r="F24" s="21"/>
      <c r="G24" s="17"/>
      <c r="H24" s="21"/>
      <c r="I24" s="20"/>
      <c r="J24" s="20"/>
      <c r="K24" s="17"/>
      <c r="L24" s="21"/>
      <c r="M24" s="17"/>
      <c r="N24" s="21"/>
      <c r="O24" s="17"/>
      <c r="P24" s="20"/>
      <c r="Q24" s="17"/>
      <c r="R24" s="20"/>
      <c r="S24" s="17"/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x14ac:dyDescent="0.25">
      <c r="A25" s="11">
        <v>4</v>
      </c>
      <c r="B25" s="11" t="s">
        <v>69</v>
      </c>
      <c r="C25" s="12">
        <v>0.02</v>
      </c>
      <c r="D25" s="12"/>
      <c r="E25" s="103">
        <f t="shared" si="2"/>
        <v>0</v>
      </c>
      <c r="F25" s="21"/>
      <c r="G25" s="17"/>
      <c r="H25" s="21"/>
      <c r="I25" s="21"/>
      <c r="J25" s="21"/>
      <c r="K25" s="17"/>
      <c r="L25" s="21"/>
      <c r="M25" s="15"/>
      <c r="N25" s="21"/>
      <c r="O25" s="17"/>
      <c r="P25" s="21"/>
      <c r="Q25" s="17"/>
      <c r="R25" s="21"/>
      <c r="S25" s="17"/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x14ac:dyDescent="0.25">
      <c r="A26" s="11">
        <v>5</v>
      </c>
      <c r="B26" s="11" t="s">
        <v>71</v>
      </c>
      <c r="C26" s="12">
        <v>0.02</v>
      </c>
      <c r="D26" s="12"/>
      <c r="E26" s="103">
        <f t="shared" si="2"/>
        <v>0</v>
      </c>
      <c r="F26" s="21"/>
      <c r="G26" s="17"/>
      <c r="H26" s="21"/>
      <c r="I26" s="21"/>
      <c r="J26" s="21"/>
      <c r="K26" s="15"/>
      <c r="L26" s="21"/>
      <c r="M26" s="17"/>
      <c r="N26" s="21"/>
      <c r="O26" s="15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/>
      <c r="B27" s="11"/>
      <c r="C27" s="12"/>
      <c r="D27" s="12"/>
      <c r="E27" s="1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7">
        <v>4</v>
      </c>
      <c r="B28" s="7" t="s">
        <v>51</v>
      </c>
      <c r="C28" s="8">
        <f>SUM(C29:C33)</f>
        <v>0.1</v>
      </c>
      <c r="D28" s="56">
        <f>C28*C3</f>
        <v>905625</v>
      </c>
      <c r="E28" s="2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.75" customHeight="1" x14ac:dyDescent="0.25">
      <c r="A29" s="11">
        <v>1</v>
      </c>
      <c r="B29" s="11" t="s">
        <v>53</v>
      </c>
      <c r="C29" s="12">
        <v>0.02</v>
      </c>
      <c r="D29" s="12"/>
      <c r="E29" s="103">
        <f t="shared" ref="E29:E33" si="3">SUM(F29:AG29)</f>
        <v>0</v>
      </c>
      <c r="F29" s="21"/>
      <c r="G29" s="17"/>
      <c r="H29" s="21"/>
      <c r="I29" s="21"/>
      <c r="J29" s="21"/>
      <c r="K29" s="17"/>
      <c r="L29" s="21"/>
      <c r="M29" s="15"/>
      <c r="N29" s="21"/>
      <c r="O29" s="17"/>
      <c r="P29" s="21"/>
      <c r="Q29" s="17"/>
      <c r="R29" s="21"/>
      <c r="S29" s="17"/>
      <c r="T29" s="21"/>
      <c r="U29" s="15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11">
        <v>2</v>
      </c>
      <c r="B30" s="11" t="s">
        <v>55</v>
      </c>
      <c r="C30" s="12">
        <v>0.02</v>
      </c>
      <c r="D30" s="12"/>
      <c r="E30" s="103">
        <f t="shared" si="3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5"/>
      <c r="P30" s="20"/>
      <c r="Q30" s="17"/>
      <c r="R30" s="20"/>
      <c r="S30" s="15"/>
      <c r="T30" s="20"/>
      <c r="U30" s="15"/>
      <c r="V30" s="20"/>
      <c r="W30" s="17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 ht="15.75" customHeight="1" x14ac:dyDescent="0.25">
      <c r="A31" s="11">
        <v>3</v>
      </c>
      <c r="B31" s="11" t="s">
        <v>57</v>
      </c>
      <c r="C31" s="12">
        <v>0.02</v>
      </c>
      <c r="D31" s="12"/>
      <c r="E31" s="103">
        <f t="shared" si="3"/>
        <v>0</v>
      </c>
      <c r="F31" s="21"/>
      <c r="G31" s="17"/>
      <c r="H31" s="21"/>
      <c r="I31" s="21"/>
      <c r="J31" s="21"/>
      <c r="K31" s="17"/>
      <c r="L31" s="21"/>
      <c r="M31" s="17"/>
      <c r="N31" s="21"/>
      <c r="O31" s="15"/>
      <c r="P31" s="20"/>
      <c r="Q31" s="17"/>
      <c r="R31" s="20"/>
      <c r="S31" s="17"/>
      <c r="T31" s="20"/>
      <c r="U31" s="15"/>
      <c r="V31" s="20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4</v>
      </c>
      <c r="B32" s="11" t="s">
        <v>69</v>
      </c>
      <c r="C32" s="12">
        <v>0.02</v>
      </c>
      <c r="D32" s="12"/>
      <c r="E32" s="103">
        <f t="shared" si="3"/>
        <v>0</v>
      </c>
      <c r="F32" s="21"/>
      <c r="G32" s="17"/>
      <c r="H32" s="21"/>
      <c r="I32" s="21"/>
      <c r="J32" s="21"/>
      <c r="K32" s="17"/>
      <c r="L32" s="21"/>
      <c r="M32" s="17"/>
      <c r="N32" s="21"/>
      <c r="O32" s="17"/>
      <c r="P32" s="20"/>
      <c r="Q32" s="17"/>
      <c r="R32" s="20"/>
      <c r="S32" s="17"/>
      <c r="T32" s="20"/>
      <c r="U32" s="17"/>
      <c r="V32" s="20"/>
      <c r="W32" s="15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0.02</v>
      </c>
      <c r="D33" s="12"/>
      <c r="E33" s="103">
        <f t="shared" si="3"/>
        <v>0</v>
      </c>
      <c r="F33" s="21"/>
      <c r="G33" s="17"/>
      <c r="H33" s="21"/>
      <c r="I33" s="21"/>
      <c r="J33" s="21"/>
      <c r="K33" s="17"/>
      <c r="L33" s="21"/>
      <c r="M33" s="17"/>
      <c r="N33" s="21"/>
      <c r="O33" s="17"/>
      <c r="P33" s="21"/>
      <c r="Q33" s="17"/>
      <c r="R33" s="21"/>
      <c r="S33" s="17"/>
      <c r="T33" s="21"/>
      <c r="U33" s="17"/>
      <c r="V33" s="20"/>
      <c r="W33" s="15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724500</v>
      </c>
      <c r="E35" s="2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>SUM(F36:AG36)</f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5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x14ac:dyDescent="0.25">
      <c r="A38" s="7">
        <v>6</v>
      </c>
      <c r="B38" s="7" t="s">
        <v>31</v>
      </c>
      <c r="C38" s="8">
        <f>SUM(C39:C43)</f>
        <v>0.1</v>
      </c>
      <c r="D38" s="56">
        <f>C38*C3</f>
        <v>905625</v>
      </c>
      <c r="E38" s="2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0.02</v>
      </c>
      <c r="D39" s="12"/>
      <c r="E39" s="103">
        <f t="shared" ref="E39:E43" si="4">SUM(F39:AG39)</f>
        <v>0</v>
      </c>
      <c r="F39" s="21"/>
      <c r="G39" s="17"/>
      <c r="H39" s="21"/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17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0.02</v>
      </c>
      <c r="D40" s="12"/>
      <c r="E40" s="103">
        <f t="shared" si="4"/>
        <v>0</v>
      </c>
      <c r="F40" s="21"/>
      <c r="G40" s="17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0.02</v>
      </c>
      <c r="D41" s="12"/>
      <c r="E41" s="103">
        <f t="shared" si="4"/>
        <v>0</v>
      </c>
      <c r="F41" s="21"/>
      <c r="G41" s="17"/>
      <c r="H41" s="21"/>
      <c r="I41" s="21"/>
      <c r="J41" s="21"/>
      <c r="K41" s="17"/>
      <c r="L41" s="21"/>
      <c r="M41" s="17"/>
      <c r="N41" s="21"/>
      <c r="O41" s="17"/>
      <c r="P41" s="21"/>
      <c r="Q41" s="17"/>
      <c r="R41" s="21"/>
      <c r="S41" s="17"/>
      <c r="T41" s="21"/>
      <c r="U41" s="17"/>
      <c r="V41" s="21"/>
      <c r="W41" s="30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0.02</v>
      </c>
      <c r="D42" s="12"/>
      <c r="E42" s="103">
        <f t="shared" si="4"/>
        <v>0</v>
      </c>
      <c r="F42" s="21"/>
      <c r="G42" s="17"/>
      <c r="H42" s="21"/>
      <c r="I42" s="21"/>
      <c r="J42" s="21"/>
      <c r="K42" s="17"/>
      <c r="L42" s="21"/>
      <c r="M42" s="17"/>
      <c r="N42" s="21"/>
      <c r="O42" s="17"/>
      <c r="P42" s="21"/>
      <c r="Q42" s="17"/>
      <c r="R42" s="21"/>
      <c r="S42" s="17"/>
      <c r="T42" s="21"/>
      <c r="U42" s="17"/>
      <c r="V42" s="21"/>
      <c r="W42" s="30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0.02</v>
      </c>
      <c r="D43" s="12"/>
      <c r="E43" s="103">
        <f t="shared" si="4"/>
        <v>0</v>
      </c>
      <c r="F43" s="21"/>
      <c r="G43" s="17"/>
      <c r="H43" s="21"/>
      <c r="I43" s="21"/>
      <c r="J43" s="21"/>
      <c r="K43" s="17"/>
      <c r="L43" s="21"/>
      <c r="M43" s="17"/>
      <c r="N43" s="21"/>
      <c r="O43" s="17"/>
      <c r="P43" s="21"/>
      <c r="Q43" s="17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C44" s="22"/>
      <c r="D44" s="22"/>
      <c r="E44" s="13"/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7.0000000000000007E-2</v>
      </c>
      <c r="D45" s="56">
        <f>C45*C3</f>
        <v>633937.50000000012</v>
      </c>
      <c r="E45" s="2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0.02</v>
      </c>
      <c r="D46" s="12"/>
      <c r="E46" s="103">
        <f t="shared" ref="E46:E48" si="5">SUM(F46:AG46)</f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0.02</v>
      </c>
      <c r="D47" s="12"/>
      <c r="E47" s="103">
        <f t="shared" si="5"/>
        <v>0</v>
      </c>
      <c r="F47" s="21"/>
      <c r="G47" s="17"/>
      <c r="H47" s="21"/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5"/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0.03</v>
      </c>
      <c r="D48" s="12"/>
      <c r="E48" s="103">
        <f t="shared" si="5"/>
        <v>0</v>
      </c>
      <c r="F48" s="21"/>
      <c r="G48" s="17"/>
      <c r="H48" s="21"/>
      <c r="I48" s="21"/>
      <c r="J48" s="21"/>
      <c r="K48" s="17"/>
      <c r="L48" s="21"/>
      <c r="M48" s="17"/>
      <c r="N48" s="21"/>
      <c r="O48" s="17"/>
      <c r="P48" s="21"/>
      <c r="Q48" s="17"/>
      <c r="R48" s="21"/>
      <c r="S48" s="17"/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5.75" customHeight="1" thickBot="1" x14ac:dyDescent="0.3">
      <c r="A49" s="11"/>
      <c r="B49" s="11"/>
      <c r="C49" s="12"/>
      <c r="D49" s="12"/>
      <c r="E49" s="1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5.75" customHeight="1" thickBot="1" x14ac:dyDescent="0.35">
      <c r="A50" s="32"/>
      <c r="B50" s="33" t="s">
        <v>32</v>
      </c>
      <c r="C50" s="34">
        <f>SUM(C7+C14+C21+C28+C35+C38+C45)</f>
        <v>1</v>
      </c>
      <c r="D50" s="34"/>
      <c r="E50" s="35">
        <f>SUM(F50:AG50)</f>
        <v>0</v>
      </c>
      <c r="F50" s="62">
        <f t="shared" ref="F50:AG50" si="6">SUM(F8:F49)</f>
        <v>0</v>
      </c>
      <c r="G50" s="62">
        <f t="shared" si="6"/>
        <v>0</v>
      </c>
      <c r="H50" s="62">
        <f t="shared" si="6"/>
        <v>0</v>
      </c>
      <c r="I50" s="62">
        <f t="shared" si="6"/>
        <v>0</v>
      </c>
      <c r="J50" s="62">
        <f t="shared" si="6"/>
        <v>0</v>
      </c>
      <c r="K50" s="62">
        <f t="shared" si="6"/>
        <v>0</v>
      </c>
      <c r="L50" s="62">
        <f t="shared" si="6"/>
        <v>0</v>
      </c>
      <c r="M50" s="62">
        <f t="shared" si="6"/>
        <v>0</v>
      </c>
      <c r="N50" s="62">
        <f t="shared" si="6"/>
        <v>0</v>
      </c>
      <c r="O50" s="62">
        <f t="shared" si="6"/>
        <v>0</v>
      </c>
      <c r="P50" s="62">
        <f t="shared" si="6"/>
        <v>0</v>
      </c>
      <c r="Q50" s="62">
        <f t="shared" si="6"/>
        <v>0</v>
      </c>
      <c r="R50" s="62">
        <f t="shared" si="6"/>
        <v>0</v>
      </c>
      <c r="S50" s="62">
        <f t="shared" si="6"/>
        <v>0</v>
      </c>
      <c r="T50" s="62">
        <f t="shared" si="6"/>
        <v>0</v>
      </c>
      <c r="U50" s="62">
        <f t="shared" si="6"/>
        <v>0</v>
      </c>
      <c r="V50" s="62">
        <f t="shared" si="6"/>
        <v>0</v>
      </c>
      <c r="W50" s="62">
        <f t="shared" si="6"/>
        <v>0</v>
      </c>
      <c r="X50" s="62">
        <f t="shared" si="6"/>
        <v>0</v>
      </c>
      <c r="Y50" s="62">
        <f t="shared" si="6"/>
        <v>0</v>
      </c>
      <c r="Z50" s="62">
        <f t="shared" si="6"/>
        <v>0</v>
      </c>
      <c r="AA50" s="62">
        <f t="shared" si="6"/>
        <v>0</v>
      </c>
      <c r="AB50" s="62">
        <f t="shared" si="6"/>
        <v>0</v>
      </c>
      <c r="AC50" s="62">
        <f t="shared" si="6"/>
        <v>0</v>
      </c>
      <c r="AD50" s="62">
        <f t="shared" si="6"/>
        <v>0</v>
      </c>
      <c r="AE50" s="62">
        <f t="shared" si="6"/>
        <v>0</v>
      </c>
      <c r="AF50" s="62">
        <f t="shared" si="6"/>
        <v>0</v>
      </c>
      <c r="AG50" s="62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31" t="s">
        <v>34</v>
      </c>
      <c r="B54" s="128"/>
      <c r="C54" s="128"/>
      <c r="D54" s="128"/>
      <c r="E54" s="129"/>
      <c r="F54" s="40">
        <f>C3+(C3*F52)</f>
        <v>9056250</v>
      </c>
      <c r="G54" s="40">
        <f t="shared" ref="G54:AG54" si="7">F54+(F54*G52)</f>
        <v>9056250</v>
      </c>
      <c r="H54" s="40">
        <f t="shared" si="7"/>
        <v>9056250</v>
      </c>
      <c r="I54" s="40">
        <f t="shared" si="7"/>
        <v>9056250</v>
      </c>
      <c r="J54" s="40">
        <f t="shared" si="7"/>
        <v>9056250</v>
      </c>
      <c r="K54" s="40">
        <f t="shared" si="7"/>
        <v>9056250</v>
      </c>
      <c r="L54" s="40">
        <f t="shared" si="7"/>
        <v>9056250</v>
      </c>
      <c r="M54" s="40">
        <f t="shared" si="7"/>
        <v>9056250</v>
      </c>
      <c r="N54" s="40">
        <f t="shared" si="7"/>
        <v>9056250</v>
      </c>
      <c r="O54" s="40">
        <f t="shared" si="7"/>
        <v>9056250</v>
      </c>
      <c r="P54" s="40">
        <f t="shared" si="7"/>
        <v>9056250</v>
      </c>
      <c r="Q54" s="40">
        <f t="shared" si="7"/>
        <v>9056250</v>
      </c>
      <c r="R54" s="40">
        <f t="shared" si="7"/>
        <v>9056250</v>
      </c>
      <c r="S54" s="40">
        <f t="shared" si="7"/>
        <v>9056250</v>
      </c>
      <c r="T54" s="40">
        <f t="shared" si="7"/>
        <v>9056250</v>
      </c>
      <c r="U54" s="40">
        <f t="shared" si="7"/>
        <v>9056250</v>
      </c>
      <c r="V54" s="40">
        <f t="shared" si="7"/>
        <v>9056250</v>
      </c>
      <c r="W54" s="40">
        <f t="shared" si="7"/>
        <v>9056250</v>
      </c>
      <c r="X54" s="40">
        <f t="shared" si="7"/>
        <v>9056250</v>
      </c>
      <c r="Y54" s="40">
        <f t="shared" si="7"/>
        <v>9056250</v>
      </c>
      <c r="Z54" s="40">
        <f t="shared" si="7"/>
        <v>9056250</v>
      </c>
      <c r="AA54" s="40">
        <f t="shared" si="7"/>
        <v>9056250</v>
      </c>
      <c r="AB54" s="40">
        <f t="shared" si="7"/>
        <v>9056250</v>
      </c>
      <c r="AC54" s="40">
        <f t="shared" si="7"/>
        <v>9056250</v>
      </c>
      <c r="AD54" s="40">
        <f t="shared" si="7"/>
        <v>9056250</v>
      </c>
      <c r="AE54" s="40">
        <f t="shared" si="7"/>
        <v>9056250</v>
      </c>
      <c r="AF54" s="40">
        <f t="shared" si="7"/>
        <v>9056250</v>
      </c>
      <c r="AG54" s="40">
        <f t="shared" si="7"/>
        <v>9056250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32" t="s">
        <v>35</v>
      </c>
      <c r="B56" s="128"/>
      <c r="C56" s="128"/>
      <c r="D56" s="128"/>
      <c r="E56" s="129"/>
      <c r="F56" s="41">
        <f t="shared" ref="F56:AG56" si="8">F50*F54</f>
        <v>0</v>
      </c>
      <c r="G56" s="41">
        <f t="shared" si="8"/>
        <v>0</v>
      </c>
      <c r="H56" s="41">
        <f t="shared" si="8"/>
        <v>0</v>
      </c>
      <c r="I56" s="41">
        <f t="shared" si="8"/>
        <v>0</v>
      </c>
      <c r="J56" s="41">
        <f t="shared" si="8"/>
        <v>0</v>
      </c>
      <c r="K56" s="41">
        <f t="shared" si="8"/>
        <v>0</v>
      </c>
      <c r="L56" s="41">
        <f t="shared" si="8"/>
        <v>0</v>
      </c>
      <c r="M56" s="41">
        <f t="shared" si="8"/>
        <v>0</v>
      </c>
      <c r="N56" s="41">
        <f t="shared" si="8"/>
        <v>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127" t="s">
        <v>36</v>
      </c>
      <c r="B58" s="128"/>
      <c r="C58" s="128"/>
      <c r="D58" s="128"/>
      <c r="E58" s="129"/>
      <c r="F58" s="42">
        <f>F56-(F56*D4)</f>
        <v>0</v>
      </c>
      <c r="G58" s="43">
        <f>G56-(G56*D4)</f>
        <v>0</v>
      </c>
      <c r="H58" s="43">
        <f>H56-(H56*D4)</f>
        <v>0</v>
      </c>
      <c r="I58" s="43">
        <f>I56-(I56*D4)</f>
        <v>0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130" t="s">
        <v>37</v>
      </c>
      <c r="B60" s="128"/>
      <c r="C60" s="128"/>
      <c r="D60" s="128"/>
      <c r="E60" s="129"/>
      <c r="F60" s="45">
        <f>F54-F58-C4</f>
        <v>9056250</v>
      </c>
      <c r="G60" s="45">
        <f t="shared" ref="G60:AG60" si="9">(F60+(F60*G52))-G58</f>
        <v>9056250</v>
      </c>
      <c r="H60" s="46">
        <f t="shared" si="9"/>
        <v>9056250</v>
      </c>
      <c r="I60" s="46">
        <f t="shared" si="9"/>
        <v>9056250</v>
      </c>
      <c r="J60" s="45">
        <f t="shared" si="9"/>
        <v>9056250</v>
      </c>
      <c r="K60" s="45">
        <f t="shared" si="9"/>
        <v>9056250</v>
      </c>
      <c r="L60" s="45">
        <f t="shared" si="9"/>
        <v>9056250</v>
      </c>
      <c r="M60" s="45">
        <f t="shared" si="9"/>
        <v>9056250</v>
      </c>
      <c r="N60" s="45">
        <f t="shared" si="9"/>
        <v>9056250</v>
      </c>
      <c r="O60" s="45">
        <f t="shared" si="9"/>
        <v>9056250</v>
      </c>
      <c r="P60" s="45">
        <f t="shared" si="9"/>
        <v>9056250</v>
      </c>
      <c r="Q60" s="45">
        <f t="shared" si="9"/>
        <v>9056250</v>
      </c>
      <c r="R60" s="45">
        <f t="shared" si="9"/>
        <v>9056250</v>
      </c>
      <c r="S60" s="45">
        <f t="shared" si="9"/>
        <v>9056250</v>
      </c>
      <c r="T60" s="45">
        <f t="shared" si="9"/>
        <v>9056250</v>
      </c>
      <c r="U60" s="45">
        <f t="shared" si="9"/>
        <v>9056250</v>
      </c>
      <c r="V60" s="45">
        <f t="shared" si="9"/>
        <v>9056250</v>
      </c>
      <c r="W60" s="45">
        <f t="shared" si="9"/>
        <v>9056250</v>
      </c>
      <c r="X60" s="45">
        <f t="shared" si="9"/>
        <v>9056250</v>
      </c>
      <c r="Y60" s="45">
        <f t="shared" si="9"/>
        <v>9056250</v>
      </c>
      <c r="Z60" s="45">
        <f t="shared" si="9"/>
        <v>9056250</v>
      </c>
      <c r="AA60" s="45">
        <f t="shared" si="9"/>
        <v>9056250</v>
      </c>
      <c r="AB60" s="45">
        <f t="shared" si="9"/>
        <v>9056250</v>
      </c>
      <c r="AC60" s="45">
        <f t="shared" si="9"/>
        <v>9056250</v>
      </c>
      <c r="AD60" s="45">
        <f t="shared" si="9"/>
        <v>9056250</v>
      </c>
      <c r="AE60" s="45">
        <f t="shared" si="9"/>
        <v>9056250</v>
      </c>
      <c r="AF60" s="45">
        <f t="shared" si="9"/>
        <v>9056250</v>
      </c>
      <c r="AG60" s="45">
        <f t="shared" si="9"/>
        <v>9056250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/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6"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honeticPr fontId="29" type="noConversion"/>
  <printOptions horizontalCentered="1" verticalCentered="1" gridLines="1"/>
  <pageMargins left="0.25" right="0.25" top="0.75" bottom="0.75" header="0" footer="0"/>
  <pageSetup paperSize="8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G1002"/>
  <sheetViews>
    <sheetView zoomScale="85" zoomScaleNormal="85" workbookViewId="0">
      <pane xSplit="3" topLeftCell="E1" activePane="topRight" state="frozen"/>
      <selection pane="topRight" activeCell="A2" sqref="A2:B2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5" width="10.7109375" customWidth="1"/>
  </cols>
  <sheetData>
    <row r="1" spans="1:33" ht="30" customHeight="1" x14ac:dyDescent="0.25">
      <c r="A1" s="1"/>
      <c r="B1" s="102" t="s">
        <v>93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23" t="s">
        <v>1</v>
      </c>
      <c r="B3" s="124"/>
      <c r="C3" s="5">
        <f>RESUMEN!D11</f>
        <v>9056250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21" t="s">
        <v>42</v>
      </c>
      <c r="G5" s="122"/>
      <c r="H5" s="121" t="s">
        <v>43</v>
      </c>
      <c r="I5" s="122"/>
      <c r="J5" s="121" t="s">
        <v>44</v>
      </c>
      <c r="K5" s="122"/>
      <c r="L5" s="121" t="s">
        <v>45</v>
      </c>
      <c r="M5" s="122"/>
      <c r="N5" s="121" t="s">
        <v>46</v>
      </c>
      <c r="O5" s="122"/>
      <c r="P5" s="121" t="s">
        <v>47</v>
      </c>
      <c r="Q5" s="122"/>
      <c r="R5" s="121" t="s">
        <v>48</v>
      </c>
      <c r="S5" s="122"/>
      <c r="T5" s="121" t="s">
        <v>49</v>
      </c>
      <c r="U5" s="122"/>
      <c r="V5" s="121" t="s">
        <v>38</v>
      </c>
      <c r="W5" s="122"/>
      <c r="X5" s="121" t="s">
        <v>39</v>
      </c>
      <c r="Y5" s="122"/>
      <c r="Z5" s="121" t="s">
        <v>40</v>
      </c>
      <c r="AA5" s="122"/>
      <c r="AB5" s="121" t="s">
        <v>41</v>
      </c>
      <c r="AC5" s="122"/>
      <c r="AD5" s="121" t="s">
        <v>42</v>
      </c>
      <c r="AE5" s="122"/>
      <c r="AF5" s="121" t="s">
        <v>43</v>
      </c>
      <c r="AG5" s="122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3" ht="16.5" thickBot="1" x14ac:dyDescent="0.3">
      <c r="A7" s="7">
        <v>1</v>
      </c>
      <c r="B7" s="7" t="s">
        <v>52</v>
      </c>
      <c r="C7" s="8">
        <f>SUM(C8:C12)</f>
        <v>0.25</v>
      </c>
      <c r="D7" s="56">
        <f>C7*C3</f>
        <v>2264062.5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</v>
      </c>
      <c r="F8" s="14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55</v>
      </c>
      <c r="C9" s="12">
        <v>0.05</v>
      </c>
      <c r="D9" s="12"/>
      <c r="E9" s="103">
        <f t="shared" ref="E9:E12" si="0"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57</v>
      </c>
      <c r="C10" s="12">
        <v>0.05</v>
      </c>
      <c r="D10" s="12"/>
      <c r="E10" s="103">
        <f t="shared" si="0"/>
        <v>0</v>
      </c>
      <c r="F10" s="20"/>
      <c r="G10" s="15"/>
      <c r="H10" s="20"/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59</v>
      </c>
      <c r="C11" s="12">
        <v>0.05</v>
      </c>
      <c r="D11" s="12"/>
      <c r="E11" s="103">
        <f t="shared" si="0"/>
        <v>0</v>
      </c>
      <c r="F11" s="20"/>
      <c r="G11" s="15"/>
      <c r="H11" s="20"/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61</v>
      </c>
      <c r="C12" s="12">
        <v>0.05</v>
      </c>
      <c r="D12" s="12"/>
      <c r="E12" s="103">
        <f t="shared" si="0"/>
        <v>0</v>
      </c>
      <c r="F12" s="20"/>
      <c r="G12" s="15"/>
      <c r="H12" s="20"/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2716875</v>
      </c>
      <c r="E14" s="2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53</v>
      </c>
      <c r="C15" s="12">
        <v>0.1</v>
      </c>
      <c r="D15" s="12"/>
      <c r="E15" s="103">
        <f t="shared" ref="E15:E19" si="1">SUM(F15:AG15)</f>
        <v>0</v>
      </c>
      <c r="F15" s="20"/>
      <c r="G15" s="15"/>
      <c r="H15" s="20"/>
      <c r="I15" s="21"/>
      <c r="J15" s="21"/>
      <c r="K15" s="15"/>
      <c r="L15" s="21"/>
      <c r="M15" s="17"/>
      <c r="N15" s="21"/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55</v>
      </c>
      <c r="C16" s="12">
        <v>0.05</v>
      </c>
      <c r="D16" s="12"/>
      <c r="E16" s="103">
        <f t="shared" si="1"/>
        <v>0</v>
      </c>
      <c r="F16" s="21"/>
      <c r="G16" s="15"/>
      <c r="H16" s="21"/>
      <c r="I16" s="20"/>
      <c r="J16" s="21"/>
      <c r="K16" s="17"/>
      <c r="L16" s="21"/>
      <c r="M16" s="15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3</v>
      </c>
      <c r="B17" s="11" t="s">
        <v>57</v>
      </c>
      <c r="C17" s="12">
        <v>0.05</v>
      </c>
      <c r="D17" s="12"/>
      <c r="E17" s="103">
        <f t="shared" si="1"/>
        <v>0</v>
      </c>
      <c r="F17" s="21"/>
      <c r="G17" s="17"/>
      <c r="H17" s="21"/>
      <c r="I17" s="20"/>
      <c r="J17" s="20"/>
      <c r="K17" s="17"/>
      <c r="L17" s="21"/>
      <c r="M17" s="17"/>
      <c r="N17" s="21"/>
      <c r="O17" s="17"/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4</v>
      </c>
      <c r="B18" s="11" t="s">
        <v>69</v>
      </c>
      <c r="C18" s="12">
        <v>0.05</v>
      </c>
      <c r="D18" s="12"/>
      <c r="E18" s="103">
        <f t="shared" si="1"/>
        <v>0</v>
      </c>
      <c r="F18" s="21"/>
      <c r="G18" s="17"/>
      <c r="H18" s="21"/>
      <c r="I18" s="21"/>
      <c r="J18" s="21"/>
      <c r="K18" s="17"/>
      <c r="L18" s="21"/>
      <c r="M18" s="15"/>
      <c r="N18" s="21"/>
      <c r="O18" s="17"/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5</v>
      </c>
      <c r="B19" s="11" t="s">
        <v>71</v>
      </c>
      <c r="C19" s="12">
        <v>0.05</v>
      </c>
      <c r="D19" s="12"/>
      <c r="E19" s="103">
        <f t="shared" si="1"/>
        <v>0</v>
      </c>
      <c r="F19" s="21"/>
      <c r="G19" s="17"/>
      <c r="H19" s="21"/>
      <c r="I19" s="21"/>
      <c r="J19" s="21"/>
      <c r="K19" s="15"/>
      <c r="L19" s="21"/>
      <c r="M19" s="17"/>
      <c r="N19" s="21"/>
      <c r="O19" s="15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/>
      <c r="B20" s="11"/>
      <c r="C20" s="12"/>
      <c r="D20" s="12"/>
      <c r="E20" s="1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905625</v>
      </c>
      <c r="E21" s="2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x14ac:dyDescent="0.25">
      <c r="A22" s="11">
        <v>1</v>
      </c>
      <c r="B22" s="11" t="s">
        <v>53</v>
      </c>
      <c r="C22" s="12">
        <v>0.02</v>
      </c>
      <c r="D22" s="12"/>
      <c r="E22" s="103">
        <f t="shared" ref="E22:E26" si="2">SUM(F22:AG22)</f>
        <v>0</v>
      </c>
      <c r="F22" s="20"/>
      <c r="G22" s="15"/>
      <c r="H22" s="20"/>
      <c r="I22" s="21"/>
      <c r="J22" s="21"/>
      <c r="K22" s="15"/>
      <c r="L22" s="21"/>
      <c r="M22" s="17"/>
      <c r="N22" s="21"/>
      <c r="O22" s="17"/>
      <c r="P22" s="21"/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x14ac:dyDescent="0.25">
      <c r="A23" s="11">
        <v>2</v>
      </c>
      <c r="B23" s="11" t="s">
        <v>55</v>
      </c>
      <c r="C23" s="12">
        <v>0.02</v>
      </c>
      <c r="D23" s="12"/>
      <c r="E23" s="103">
        <f t="shared" si="2"/>
        <v>0</v>
      </c>
      <c r="F23" s="21"/>
      <c r="G23" s="15"/>
      <c r="H23" s="21"/>
      <c r="I23" s="20"/>
      <c r="J23" s="21"/>
      <c r="K23" s="17"/>
      <c r="L23" s="21"/>
      <c r="M23" s="15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x14ac:dyDescent="0.25">
      <c r="A24" s="11">
        <v>3</v>
      </c>
      <c r="B24" s="11" t="s">
        <v>57</v>
      </c>
      <c r="C24" s="12">
        <v>0.02</v>
      </c>
      <c r="D24" s="12"/>
      <c r="E24" s="103">
        <f t="shared" si="2"/>
        <v>0</v>
      </c>
      <c r="F24" s="21"/>
      <c r="G24" s="17"/>
      <c r="H24" s="21"/>
      <c r="I24" s="20"/>
      <c r="J24" s="20"/>
      <c r="K24" s="17"/>
      <c r="L24" s="21"/>
      <c r="M24" s="17"/>
      <c r="N24" s="21"/>
      <c r="O24" s="17"/>
      <c r="P24" s="20"/>
      <c r="Q24" s="17"/>
      <c r="R24" s="20"/>
      <c r="S24" s="17"/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x14ac:dyDescent="0.25">
      <c r="A25" s="11">
        <v>4</v>
      </c>
      <c r="B25" s="11" t="s">
        <v>69</v>
      </c>
      <c r="C25" s="12">
        <v>0.02</v>
      </c>
      <c r="D25" s="12"/>
      <c r="E25" s="103">
        <f t="shared" si="2"/>
        <v>0</v>
      </c>
      <c r="F25" s="21"/>
      <c r="G25" s="17"/>
      <c r="H25" s="21"/>
      <c r="I25" s="21"/>
      <c r="J25" s="21"/>
      <c r="K25" s="17"/>
      <c r="L25" s="21"/>
      <c r="M25" s="15"/>
      <c r="N25" s="21"/>
      <c r="O25" s="17"/>
      <c r="P25" s="21"/>
      <c r="Q25" s="17"/>
      <c r="R25" s="21"/>
      <c r="S25" s="17"/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x14ac:dyDescent="0.25">
      <c r="A26" s="11">
        <v>5</v>
      </c>
      <c r="B26" s="11" t="s">
        <v>71</v>
      </c>
      <c r="C26" s="12">
        <v>0.02</v>
      </c>
      <c r="D26" s="12"/>
      <c r="E26" s="103">
        <f t="shared" si="2"/>
        <v>0</v>
      </c>
      <c r="F26" s="21"/>
      <c r="G26" s="17"/>
      <c r="H26" s="21"/>
      <c r="I26" s="21"/>
      <c r="J26" s="21"/>
      <c r="K26" s="15"/>
      <c r="L26" s="21"/>
      <c r="M26" s="17"/>
      <c r="N26" s="21"/>
      <c r="O26" s="15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/>
      <c r="B27" s="11"/>
      <c r="C27" s="12"/>
      <c r="D27" s="12"/>
      <c r="E27" s="1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7">
        <v>4</v>
      </c>
      <c r="B28" s="7" t="s">
        <v>51</v>
      </c>
      <c r="C28" s="8">
        <f>SUM(C29:C33)</f>
        <v>0.1</v>
      </c>
      <c r="D28" s="56">
        <f>C28*C3</f>
        <v>905625</v>
      </c>
      <c r="E28" s="2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.75" customHeight="1" x14ac:dyDescent="0.25">
      <c r="A29" s="11">
        <v>1</v>
      </c>
      <c r="B29" s="11" t="s">
        <v>53</v>
      </c>
      <c r="C29" s="12">
        <v>0.02</v>
      </c>
      <c r="D29" s="12"/>
      <c r="E29" s="103">
        <f t="shared" ref="E29:E33" si="3">SUM(F29:AG29)</f>
        <v>0</v>
      </c>
      <c r="F29" s="21"/>
      <c r="G29" s="17"/>
      <c r="H29" s="21"/>
      <c r="I29" s="21"/>
      <c r="J29" s="21"/>
      <c r="K29" s="17"/>
      <c r="L29" s="21"/>
      <c r="M29" s="15"/>
      <c r="N29" s="21"/>
      <c r="O29" s="17"/>
      <c r="P29" s="21"/>
      <c r="Q29" s="17"/>
      <c r="R29" s="21"/>
      <c r="S29" s="17"/>
      <c r="T29" s="21"/>
      <c r="U29" s="15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11">
        <v>2</v>
      </c>
      <c r="B30" s="11" t="s">
        <v>55</v>
      </c>
      <c r="C30" s="12">
        <v>0.02</v>
      </c>
      <c r="D30" s="12"/>
      <c r="E30" s="103">
        <f t="shared" si="3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5"/>
      <c r="P30" s="20"/>
      <c r="Q30" s="17"/>
      <c r="R30" s="20"/>
      <c r="S30" s="15"/>
      <c r="T30" s="20"/>
      <c r="U30" s="15"/>
      <c r="V30" s="20"/>
      <c r="W30" s="17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 ht="15.75" customHeight="1" x14ac:dyDescent="0.25">
      <c r="A31" s="11">
        <v>3</v>
      </c>
      <c r="B31" s="11" t="s">
        <v>57</v>
      </c>
      <c r="C31" s="12">
        <v>0.02</v>
      </c>
      <c r="D31" s="12"/>
      <c r="E31" s="103">
        <f t="shared" si="3"/>
        <v>0</v>
      </c>
      <c r="F31" s="21"/>
      <c r="G31" s="17"/>
      <c r="H31" s="21"/>
      <c r="I31" s="21"/>
      <c r="J31" s="21"/>
      <c r="K31" s="17"/>
      <c r="L31" s="21"/>
      <c r="M31" s="17"/>
      <c r="N31" s="21"/>
      <c r="O31" s="15"/>
      <c r="P31" s="20"/>
      <c r="Q31" s="17"/>
      <c r="R31" s="20"/>
      <c r="S31" s="17"/>
      <c r="T31" s="20"/>
      <c r="U31" s="15"/>
      <c r="V31" s="20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4</v>
      </c>
      <c r="B32" s="11" t="s">
        <v>69</v>
      </c>
      <c r="C32" s="12">
        <v>0.02</v>
      </c>
      <c r="D32" s="12"/>
      <c r="E32" s="103">
        <f t="shared" si="3"/>
        <v>0</v>
      </c>
      <c r="F32" s="21"/>
      <c r="G32" s="17"/>
      <c r="H32" s="21"/>
      <c r="I32" s="21"/>
      <c r="J32" s="21"/>
      <c r="K32" s="17"/>
      <c r="L32" s="21"/>
      <c r="M32" s="17"/>
      <c r="N32" s="21"/>
      <c r="O32" s="17"/>
      <c r="P32" s="20"/>
      <c r="Q32" s="17"/>
      <c r="R32" s="20"/>
      <c r="S32" s="17"/>
      <c r="T32" s="20"/>
      <c r="U32" s="17"/>
      <c r="V32" s="20"/>
      <c r="W32" s="15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0.02</v>
      </c>
      <c r="D33" s="12"/>
      <c r="E33" s="103">
        <f t="shared" si="3"/>
        <v>0</v>
      </c>
      <c r="F33" s="21"/>
      <c r="G33" s="17"/>
      <c r="H33" s="21"/>
      <c r="I33" s="21"/>
      <c r="J33" s="21"/>
      <c r="K33" s="17"/>
      <c r="L33" s="21"/>
      <c r="M33" s="17"/>
      <c r="N33" s="21"/>
      <c r="O33" s="17"/>
      <c r="P33" s="21"/>
      <c r="Q33" s="17"/>
      <c r="R33" s="21"/>
      <c r="S33" s="17"/>
      <c r="T33" s="21"/>
      <c r="U33" s="17"/>
      <c r="V33" s="20"/>
      <c r="W33" s="15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724500</v>
      </c>
      <c r="E35" s="2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>SUM(F36:AG36)</f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5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x14ac:dyDescent="0.25">
      <c r="A38" s="7">
        <v>6</v>
      </c>
      <c r="B38" s="7" t="s">
        <v>31</v>
      </c>
      <c r="C38" s="8">
        <f>SUM(C39:C43)</f>
        <v>0.1</v>
      </c>
      <c r="D38" s="56">
        <f>C38*C3</f>
        <v>905625</v>
      </c>
      <c r="E38" s="2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0.02</v>
      </c>
      <c r="D39" s="12"/>
      <c r="E39" s="103">
        <f t="shared" ref="E39:E43" si="4">SUM(F39:AG39)</f>
        <v>0</v>
      </c>
      <c r="F39" s="21"/>
      <c r="G39" s="17"/>
      <c r="H39" s="21"/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17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0.02</v>
      </c>
      <c r="D40" s="12"/>
      <c r="E40" s="103">
        <f t="shared" si="4"/>
        <v>0</v>
      </c>
      <c r="F40" s="21"/>
      <c r="G40" s="17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0.02</v>
      </c>
      <c r="D41" s="12"/>
      <c r="E41" s="103">
        <f t="shared" si="4"/>
        <v>0</v>
      </c>
      <c r="F41" s="21"/>
      <c r="G41" s="17"/>
      <c r="H41" s="21"/>
      <c r="I41" s="21"/>
      <c r="J41" s="21"/>
      <c r="K41" s="17"/>
      <c r="L41" s="21"/>
      <c r="M41" s="17"/>
      <c r="N41" s="21"/>
      <c r="O41" s="17"/>
      <c r="P41" s="21"/>
      <c r="Q41" s="17"/>
      <c r="R41" s="21"/>
      <c r="S41" s="17"/>
      <c r="T41" s="21"/>
      <c r="U41" s="17"/>
      <c r="V41" s="21"/>
      <c r="W41" s="30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0.02</v>
      </c>
      <c r="D42" s="12"/>
      <c r="E42" s="103">
        <f t="shared" si="4"/>
        <v>0</v>
      </c>
      <c r="F42" s="21"/>
      <c r="G42" s="17"/>
      <c r="H42" s="21"/>
      <c r="I42" s="21"/>
      <c r="J42" s="21"/>
      <c r="K42" s="17"/>
      <c r="L42" s="21"/>
      <c r="M42" s="17"/>
      <c r="N42" s="21"/>
      <c r="O42" s="17"/>
      <c r="P42" s="21"/>
      <c r="Q42" s="17"/>
      <c r="R42" s="21"/>
      <c r="S42" s="17"/>
      <c r="T42" s="21"/>
      <c r="U42" s="17"/>
      <c r="V42" s="21"/>
      <c r="W42" s="30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0.02</v>
      </c>
      <c r="D43" s="12"/>
      <c r="E43" s="103">
        <f t="shared" si="4"/>
        <v>0</v>
      </c>
      <c r="F43" s="21"/>
      <c r="G43" s="17"/>
      <c r="H43" s="21"/>
      <c r="I43" s="21"/>
      <c r="J43" s="21"/>
      <c r="K43" s="17"/>
      <c r="L43" s="21"/>
      <c r="M43" s="17"/>
      <c r="N43" s="21"/>
      <c r="O43" s="17"/>
      <c r="P43" s="21"/>
      <c r="Q43" s="17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C44" s="22"/>
      <c r="D44" s="22"/>
      <c r="E44" s="13"/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7.0000000000000007E-2</v>
      </c>
      <c r="D45" s="56">
        <f>C45*C3</f>
        <v>633937.50000000012</v>
      </c>
      <c r="E45" s="2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0.02</v>
      </c>
      <c r="D46" s="12"/>
      <c r="E46" s="103">
        <f t="shared" ref="E46:E48" si="5">SUM(F46:AG46)</f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0.02</v>
      </c>
      <c r="D47" s="12"/>
      <c r="E47" s="103">
        <f t="shared" si="5"/>
        <v>0</v>
      </c>
      <c r="F47" s="21"/>
      <c r="G47" s="17"/>
      <c r="H47" s="21"/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5"/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0.03</v>
      </c>
      <c r="D48" s="12"/>
      <c r="E48" s="103">
        <f t="shared" si="5"/>
        <v>0</v>
      </c>
      <c r="F48" s="21"/>
      <c r="G48" s="17"/>
      <c r="H48" s="21"/>
      <c r="I48" s="21"/>
      <c r="J48" s="21"/>
      <c r="K48" s="17"/>
      <c r="L48" s="21"/>
      <c r="M48" s="17"/>
      <c r="N48" s="21"/>
      <c r="O48" s="17"/>
      <c r="P48" s="21"/>
      <c r="Q48" s="17"/>
      <c r="R48" s="21"/>
      <c r="S48" s="17"/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5.75" customHeight="1" thickBot="1" x14ac:dyDescent="0.3">
      <c r="A49" s="11"/>
      <c r="B49" s="11"/>
      <c r="C49" s="12"/>
      <c r="D49" s="12"/>
      <c r="E49" s="1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5.75" customHeight="1" thickBot="1" x14ac:dyDescent="0.35">
      <c r="A50" s="32"/>
      <c r="B50" s="33" t="s">
        <v>32</v>
      </c>
      <c r="C50" s="34">
        <f>SUM(C7+C14+C21+C28+C35+C38+C45)</f>
        <v>1</v>
      </c>
      <c r="D50" s="34"/>
      <c r="E50" s="35">
        <f>SUM(F50:AG50)</f>
        <v>0</v>
      </c>
      <c r="F50" s="62">
        <f t="shared" ref="F50:AG50" si="6">SUM(F8:F49)</f>
        <v>0</v>
      </c>
      <c r="G50" s="62">
        <f t="shared" si="6"/>
        <v>0</v>
      </c>
      <c r="H50" s="62">
        <f t="shared" si="6"/>
        <v>0</v>
      </c>
      <c r="I50" s="62">
        <f t="shared" si="6"/>
        <v>0</v>
      </c>
      <c r="J50" s="62">
        <f t="shared" si="6"/>
        <v>0</v>
      </c>
      <c r="K50" s="62">
        <f t="shared" si="6"/>
        <v>0</v>
      </c>
      <c r="L50" s="62">
        <f t="shared" si="6"/>
        <v>0</v>
      </c>
      <c r="M50" s="62">
        <f t="shared" si="6"/>
        <v>0</v>
      </c>
      <c r="N50" s="62">
        <f t="shared" si="6"/>
        <v>0</v>
      </c>
      <c r="O50" s="62">
        <f t="shared" si="6"/>
        <v>0</v>
      </c>
      <c r="P50" s="62">
        <f t="shared" si="6"/>
        <v>0</v>
      </c>
      <c r="Q50" s="62">
        <f t="shared" si="6"/>
        <v>0</v>
      </c>
      <c r="R50" s="62">
        <f t="shared" si="6"/>
        <v>0</v>
      </c>
      <c r="S50" s="62">
        <f t="shared" si="6"/>
        <v>0</v>
      </c>
      <c r="T50" s="62">
        <f t="shared" si="6"/>
        <v>0</v>
      </c>
      <c r="U50" s="62">
        <f t="shared" si="6"/>
        <v>0</v>
      </c>
      <c r="V50" s="62">
        <f t="shared" si="6"/>
        <v>0</v>
      </c>
      <c r="W50" s="62">
        <f t="shared" si="6"/>
        <v>0</v>
      </c>
      <c r="X50" s="62">
        <f t="shared" si="6"/>
        <v>0</v>
      </c>
      <c r="Y50" s="62">
        <f t="shared" si="6"/>
        <v>0</v>
      </c>
      <c r="Z50" s="62">
        <f t="shared" si="6"/>
        <v>0</v>
      </c>
      <c r="AA50" s="62">
        <f t="shared" si="6"/>
        <v>0</v>
      </c>
      <c r="AB50" s="62">
        <f t="shared" si="6"/>
        <v>0</v>
      </c>
      <c r="AC50" s="62">
        <f t="shared" si="6"/>
        <v>0</v>
      </c>
      <c r="AD50" s="62">
        <f t="shared" si="6"/>
        <v>0</v>
      </c>
      <c r="AE50" s="62">
        <f t="shared" si="6"/>
        <v>0</v>
      </c>
      <c r="AF50" s="62">
        <f t="shared" si="6"/>
        <v>0</v>
      </c>
      <c r="AG50" s="62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31" t="s">
        <v>34</v>
      </c>
      <c r="B54" s="128"/>
      <c r="C54" s="128"/>
      <c r="D54" s="128"/>
      <c r="E54" s="129"/>
      <c r="F54" s="40">
        <f>C3+(C3*F52)</f>
        <v>9056250</v>
      </c>
      <c r="G54" s="40">
        <f t="shared" ref="G54:AG54" si="7">F54+(F54*G52)</f>
        <v>9056250</v>
      </c>
      <c r="H54" s="40">
        <f t="shared" si="7"/>
        <v>9056250</v>
      </c>
      <c r="I54" s="40">
        <f t="shared" si="7"/>
        <v>9056250</v>
      </c>
      <c r="J54" s="40">
        <f t="shared" si="7"/>
        <v>9056250</v>
      </c>
      <c r="K54" s="40">
        <f t="shared" si="7"/>
        <v>9056250</v>
      </c>
      <c r="L54" s="40">
        <f t="shared" si="7"/>
        <v>9056250</v>
      </c>
      <c r="M54" s="40">
        <f t="shared" si="7"/>
        <v>9056250</v>
      </c>
      <c r="N54" s="40">
        <f t="shared" si="7"/>
        <v>9056250</v>
      </c>
      <c r="O54" s="40">
        <f t="shared" si="7"/>
        <v>9056250</v>
      </c>
      <c r="P54" s="40">
        <f t="shared" si="7"/>
        <v>9056250</v>
      </c>
      <c r="Q54" s="40">
        <f t="shared" si="7"/>
        <v>9056250</v>
      </c>
      <c r="R54" s="40">
        <f t="shared" si="7"/>
        <v>9056250</v>
      </c>
      <c r="S54" s="40">
        <f t="shared" si="7"/>
        <v>9056250</v>
      </c>
      <c r="T54" s="40">
        <f t="shared" si="7"/>
        <v>9056250</v>
      </c>
      <c r="U54" s="40">
        <f t="shared" si="7"/>
        <v>9056250</v>
      </c>
      <c r="V54" s="40">
        <f t="shared" si="7"/>
        <v>9056250</v>
      </c>
      <c r="W54" s="40">
        <f t="shared" si="7"/>
        <v>9056250</v>
      </c>
      <c r="X54" s="40">
        <f t="shared" si="7"/>
        <v>9056250</v>
      </c>
      <c r="Y54" s="40">
        <f t="shared" si="7"/>
        <v>9056250</v>
      </c>
      <c r="Z54" s="40">
        <f t="shared" si="7"/>
        <v>9056250</v>
      </c>
      <c r="AA54" s="40">
        <f t="shared" si="7"/>
        <v>9056250</v>
      </c>
      <c r="AB54" s="40">
        <f t="shared" si="7"/>
        <v>9056250</v>
      </c>
      <c r="AC54" s="40">
        <f t="shared" si="7"/>
        <v>9056250</v>
      </c>
      <c r="AD54" s="40">
        <f t="shared" si="7"/>
        <v>9056250</v>
      </c>
      <c r="AE54" s="40">
        <f t="shared" si="7"/>
        <v>9056250</v>
      </c>
      <c r="AF54" s="40">
        <f t="shared" si="7"/>
        <v>9056250</v>
      </c>
      <c r="AG54" s="40">
        <f t="shared" si="7"/>
        <v>9056250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32" t="s">
        <v>35</v>
      </c>
      <c r="B56" s="128"/>
      <c r="C56" s="128"/>
      <c r="D56" s="128"/>
      <c r="E56" s="129"/>
      <c r="F56" s="41">
        <f t="shared" ref="F56:AG56" si="8">F50*F54</f>
        <v>0</v>
      </c>
      <c r="G56" s="41">
        <f t="shared" si="8"/>
        <v>0</v>
      </c>
      <c r="H56" s="41">
        <f t="shared" si="8"/>
        <v>0</v>
      </c>
      <c r="I56" s="41">
        <f t="shared" si="8"/>
        <v>0</v>
      </c>
      <c r="J56" s="41">
        <f t="shared" si="8"/>
        <v>0</v>
      </c>
      <c r="K56" s="41">
        <f t="shared" si="8"/>
        <v>0</v>
      </c>
      <c r="L56" s="41">
        <f t="shared" si="8"/>
        <v>0</v>
      </c>
      <c r="M56" s="41">
        <f t="shared" si="8"/>
        <v>0</v>
      </c>
      <c r="N56" s="41">
        <f t="shared" si="8"/>
        <v>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127" t="s">
        <v>36</v>
      </c>
      <c r="B58" s="128"/>
      <c r="C58" s="128"/>
      <c r="D58" s="128"/>
      <c r="E58" s="129"/>
      <c r="F58" s="42">
        <f>F56-(F56*D4)</f>
        <v>0</v>
      </c>
      <c r="G58" s="43">
        <f>G56-(G56*D4)</f>
        <v>0</v>
      </c>
      <c r="H58" s="43">
        <f>H56-(H56*D4)</f>
        <v>0</v>
      </c>
      <c r="I58" s="43">
        <f>I56-(I56*D4)</f>
        <v>0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130" t="s">
        <v>37</v>
      </c>
      <c r="B60" s="128"/>
      <c r="C60" s="128"/>
      <c r="D60" s="128"/>
      <c r="E60" s="129"/>
      <c r="F60" s="45">
        <f>F54-F58-C4</f>
        <v>9056250</v>
      </c>
      <c r="G60" s="45">
        <f t="shared" ref="G60:AG60" si="9">(F60+(F60*G52))-G58</f>
        <v>9056250</v>
      </c>
      <c r="H60" s="46">
        <f t="shared" si="9"/>
        <v>9056250</v>
      </c>
      <c r="I60" s="46">
        <f t="shared" si="9"/>
        <v>9056250</v>
      </c>
      <c r="J60" s="45">
        <f t="shared" si="9"/>
        <v>9056250</v>
      </c>
      <c r="K60" s="45">
        <f t="shared" si="9"/>
        <v>9056250</v>
      </c>
      <c r="L60" s="45">
        <f t="shared" si="9"/>
        <v>9056250</v>
      </c>
      <c r="M60" s="45">
        <f t="shared" si="9"/>
        <v>9056250</v>
      </c>
      <c r="N60" s="45">
        <f t="shared" si="9"/>
        <v>9056250</v>
      </c>
      <c r="O60" s="45">
        <f t="shared" si="9"/>
        <v>9056250</v>
      </c>
      <c r="P60" s="45">
        <f t="shared" si="9"/>
        <v>9056250</v>
      </c>
      <c r="Q60" s="45">
        <f t="shared" si="9"/>
        <v>9056250</v>
      </c>
      <c r="R60" s="45">
        <f t="shared" si="9"/>
        <v>9056250</v>
      </c>
      <c r="S60" s="45">
        <f t="shared" si="9"/>
        <v>9056250</v>
      </c>
      <c r="T60" s="45">
        <f t="shared" si="9"/>
        <v>9056250</v>
      </c>
      <c r="U60" s="45">
        <f t="shared" si="9"/>
        <v>9056250</v>
      </c>
      <c r="V60" s="45">
        <f t="shared" si="9"/>
        <v>9056250</v>
      </c>
      <c r="W60" s="45">
        <f t="shared" si="9"/>
        <v>9056250</v>
      </c>
      <c r="X60" s="45">
        <f t="shared" si="9"/>
        <v>9056250</v>
      </c>
      <c r="Y60" s="45">
        <f t="shared" si="9"/>
        <v>9056250</v>
      </c>
      <c r="Z60" s="45">
        <f t="shared" si="9"/>
        <v>9056250</v>
      </c>
      <c r="AA60" s="45">
        <f t="shared" si="9"/>
        <v>9056250</v>
      </c>
      <c r="AB60" s="45">
        <f t="shared" si="9"/>
        <v>9056250</v>
      </c>
      <c r="AC60" s="45">
        <f t="shared" si="9"/>
        <v>9056250</v>
      </c>
      <c r="AD60" s="45">
        <f t="shared" si="9"/>
        <v>9056250</v>
      </c>
      <c r="AE60" s="45">
        <f t="shared" si="9"/>
        <v>9056250</v>
      </c>
      <c r="AF60" s="45">
        <f t="shared" si="9"/>
        <v>9056250</v>
      </c>
      <c r="AG60" s="45">
        <f t="shared" si="9"/>
        <v>9056250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/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6"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honeticPr fontId="29" type="noConversion"/>
  <printOptions horizontalCentered="1" verticalCentered="1" gridLines="1"/>
  <pageMargins left="0.25" right="0.25" top="0.75" bottom="0.75" header="0" footer="0"/>
  <pageSetup paperSize="8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AG1002"/>
  <sheetViews>
    <sheetView zoomScale="85" zoomScaleNormal="85" workbookViewId="0">
      <pane xSplit="3" topLeftCell="D1" activePane="topRight" state="frozen"/>
      <selection pane="topRight" activeCell="A22" sqref="A22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4" width="10.7109375" customWidth="1"/>
  </cols>
  <sheetData>
    <row r="1" spans="1:33" ht="30" customHeight="1" x14ac:dyDescent="0.25">
      <c r="A1" s="1"/>
      <c r="B1" s="102" t="s">
        <v>94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23" t="s">
        <v>1</v>
      </c>
      <c r="B3" s="124"/>
      <c r="C3" s="5">
        <f>RESUMEN!D11</f>
        <v>9056250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21" t="s">
        <v>45</v>
      </c>
      <c r="G5" s="122"/>
      <c r="H5" s="121" t="s">
        <v>46</v>
      </c>
      <c r="I5" s="122"/>
      <c r="J5" s="121" t="s">
        <v>47</v>
      </c>
      <c r="K5" s="122"/>
      <c r="L5" s="121" t="s">
        <v>48</v>
      </c>
      <c r="M5" s="122"/>
      <c r="N5" s="121" t="s">
        <v>49</v>
      </c>
      <c r="O5" s="122"/>
      <c r="P5" s="121" t="s">
        <v>38</v>
      </c>
      <c r="Q5" s="122"/>
      <c r="R5" s="121" t="s">
        <v>39</v>
      </c>
      <c r="S5" s="122"/>
      <c r="T5" s="121" t="s">
        <v>40</v>
      </c>
      <c r="U5" s="122"/>
      <c r="V5" s="121" t="s">
        <v>41</v>
      </c>
      <c r="W5" s="122"/>
      <c r="X5" s="121" t="s">
        <v>42</v>
      </c>
      <c r="Y5" s="122"/>
      <c r="Z5" s="121" t="s">
        <v>43</v>
      </c>
      <c r="AA5" s="122"/>
      <c r="AB5" s="121" t="s">
        <v>44</v>
      </c>
      <c r="AC5" s="122"/>
      <c r="AD5" s="121" t="s">
        <v>45</v>
      </c>
      <c r="AE5" s="122"/>
      <c r="AF5" s="121" t="s">
        <v>46</v>
      </c>
      <c r="AG5" s="122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3" ht="16.5" thickBot="1" x14ac:dyDescent="0.3">
      <c r="A7" s="7">
        <v>1</v>
      </c>
      <c r="B7" s="7" t="s">
        <v>52</v>
      </c>
      <c r="C7" s="8">
        <f>SUM(C8:C12)</f>
        <v>0.25</v>
      </c>
      <c r="D7" s="56">
        <f>C7*C3</f>
        <v>2264062.5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</v>
      </c>
      <c r="F8" s="14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55</v>
      </c>
      <c r="C9" s="12">
        <v>0.05</v>
      </c>
      <c r="D9" s="12"/>
      <c r="E9" s="103">
        <f t="shared" ref="E9:E12" si="0"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57</v>
      </c>
      <c r="C10" s="12">
        <v>0.05</v>
      </c>
      <c r="D10" s="12"/>
      <c r="E10" s="103">
        <f t="shared" si="0"/>
        <v>0</v>
      </c>
      <c r="F10" s="20"/>
      <c r="G10" s="15"/>
      <c r="H10" s="20"/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59</v>
      </c>
      <c r="C11" s="12">
        <v>0.05</v>
      </c>
      <c r="D11" s="12"/>
      <c r="E11" s="103">
        <f t="shared" si="0"/>
        <v>0</v>
      </c>
      <c r="F11" s="20"/>
      <c r="G11" s="15"/>
      <c r="H11" s="20"/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61</v>
      </c>
      <c r="C12" s="12">
        <v>0.05</v>
      </c>
      <c r="D12" s="12"/>
      <c r="E12" s="103">
        <f t="shared" si="0"/>
        <v>0</v>
      </c>
      <c r="F12" s="20"/>
      <c r="G12" s="15"/>
      <c r="H12" s="20"/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2716875</v>
      </c>
      <c r="E14" s="2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53</v>
      </c>
      <c r="C15" s="12">
        <v>0.1</v>
      </c>
      <c r="D15" s="12"/>
      <c r="E15" s="103">
        <f t="shared" ref="E15:E19" si="1">SUM(F15:AG15)</f>
        <v>0</v>
      </c>
      <c r="F15" s="20"/>
      <c r="G15" s="15"/>
      <c r="H15" s="20"/>
      <c r="I15" s="21"/>
      <c r="J15" s="21"/>
      <c r="K15" s="15"/>
      <c r="L15" s="21"/>
      <c r="M15" s="17"/>
      <c r="N15" s="21"/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55</v>
      </c>
      <c r="C16" s="12">
        <v>0.05</v>
      </c>
      <c r="D16" s="12"/>
      <c r="E16" s="103">
        <f t="shared" si="1"/>
        <v>0</v>
      </c>
      <c r="F16" s="21"/>
      <c r="G16" s="15"/>
      <c r="H16" s="21"/>
      <c r="I16" s="20"/>
      <c r="J16" s="21"/>
      <c r="K16" s="17"/>
      <c r="L16" s="21"/>
      <c r="M16" s="15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3</v>
      </c>
      <c r="B17" s="11" t="s">
        <v>57</v>
      </c>
      <c r="C17" s="12">
        <v>0.05</v>
      </c>
      <c r="D17" s="12"/>
      <c r="E17" s="103">
        <f t="shared" si="1"/>
        <v>0</v>
      </c>
      <c r="F17" s="21"/>
      <c r="G17" s="17"/>
      <c r="H17" s="21"/>
      <c r="I17" s="20"/>
      <c r="J17" s="20"/>
      <c r="K17" s="17"/>
      <c r="L17" s="21"/>
      <c r="M17" s="17"/>
      <c r="N17" s="21"/>
      <c r="O17" s="17"/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4</v>
      </c>
      <c r="B18" s="11" t="s">
        <v>69</v>
      </c>
      <c r="C18" s="12">
        <v>0.05</v>
      </c>
      <c r="D18" s="12"/>
      <c r="E18" s="103">
        <f t="shared" si="1"/>
        <v>0</v>
      </c>
      <c r="F18" s="21"/>
      <c r="G18" s="17"/>
      <c r="H18" s="21"/>
      <c r="I18" s="21"/>
      <c r="J18" s="21"/>
      <c r="K18" s="17"/>
      <c r="L18" s="21"/>
      <c r="M18" s="15"/>
      <c r="N18" s="21"/>
      <c r="O18" s="17"/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5</v>
      </c>
      <c r="B19" s="11" t="s">
        <v>71</v>
      </c>
      <c r="C19" s="12">
        <v>0.05</v>
      </c>
      <c r="D19" s="12"/>
      <c r="E19" s="103">
        <f t="shared" si="1"/>
        <v>0</v>
      </c>
      <c r="F19" s="21"/>
      <c r="G19" s="17"/>
      <c r="H19" s="21"/>
      <c r="I19" s="21"/>
      <c r="J19" s="21"/>
      <c r="K19" s="15"/>
      <c r="L19" s="21"/>
      <c r="M19" s="17"/>
      <c r="N19" s="21"/>
      <c r="O19" s="15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/>
      <c r="B20" s="11"/>
      <c r="C20" s="12"/>
      <c r="D20" s="12"/>
      <c r="E20" s="1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905625</v>
      </c>
      <c r="E21" s="2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x14ac:dyDescent="0.25">
      <c r="A22" s="11">
        <v>1</v>
      </c>
      <c r="B22" s="11" t="s">
        <v>53</v>
      </c>
      <c r="C22" s="12">
        <v>0.02</v>
      </c>
      <c r="D22" s="12"/>
      <c r="E22" s="103">
        <f t="shared" ref="E22:E26" si="2">SUM(F22:AG22)</f>
        <v>0</v>
      </c>
      <c r="F22" s="20"/>
      <c r="G22" s="15"/>
      <c r="H22" s="20"/>
      <c r="I22" s="21"/>
      <c r="J22" s="21"/>
      <c r="K22" s="15"/>
      <c r="L22" s="21"/>
      <c r="M22" s="17"/>
      <c r="N22" s="21"/>
      <c r="O22" s="17"/>
      <c r="P22" s="21"/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x14ac:dyDescent="0.25">
      <c r="A23" s="11">
        <v>2</v>
      </c>
      <c r="B23" s="11" t="s">
        <v>55</v>
      </c>
      <c r="C23" s="12">
        <v>0.02</v>
      </c>
      <c r="D23" s="12"/>
      <c r="E23" s="103">
        <f t="shared" si="2"/>
        <v>0</v>
      </c>
      <c r="F23" s="21"/>
      <c r="G23" s="15"/>
      <c r="H23" s="21"/>
      <c r="I23" s="20"/>
      <c r="J23" s="21"/>
      <c r="K23" s="17"/>
      <c r="L23" s="21"/>
      <c r="M23" s="15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x14ac:dyDescent="0.25">
      <c r="A24" s="11">
        <v>3</v>
      </c>
      <c r="B24" s="11" t="s">
        <v>57</v>
      </c>
      <c r="C24" s="12">
        <v>0.02</v>
      </c>
      <c r="D24" s="12"/>
      <c r="E24" s="103">
        <f t="shared" si="2"/>
        <v>0</v>
      </c>
      <c r="F24" s="21"/>
      <c r="G24" s="17"/>
      <c r="H24" s="21"/>
      <c r="I24" s="20"/>
      <c r="J24" s="20"/>
      <c r="K24" s="17"/>
      <c r="L24" s="21"/>
      <c r="M24" s="17"/>
      <c r="N24" s="21"/>
      <c r="O24" s="17"/>
      <c r="P24" s="20"/>
      <c r="Q24" s="17"/>
      <c r="R24" s="20"/>
      <c r="S24" s="17"/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x14ac:dyDescent="0.25">
      <c r="A25" s="11">
        <v>4</v>
      </c>
      <c r="B25" s="11" t="s">
        <v>69</v>
      </c>
      <c r="C25" s="12">
        <v>0.02</v>
      </c>
      <c r="D25" s="12"/>
      <c r="E25" s="103">
        <f t="shared" si="2"/>
        <v>0</v>
      </c>
      <c r="F25" s="21"/>
      <c r="G25" s="17"/>
      <c r="H25" s="21"/>
      <c r="I25" s="21"/>
      <c r="J25" s="21"/>
      <c r="K25" s="17"/>
      <c r="L25" s="21"/>
      <c r="M25" s="15"/>
      <c r="N25" s="21"/>
      <c r="O25" s="17"/>
      <c r="P25" s="21"/>
      <c r="Q25" s="17"/>
      <c r="R25" s="21"/>
      <c r="S25" s="17"/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x14ac:dyDescent="0.25">
      <c r="A26" s="11">
        <v>5</v>
      </c>
      <c r="B26" s="11" t="s">
        <v>71</v>
      </c>
      <c r="C26" s="12">
        <v>0.02</v>
      </c>
      <c r="D26" s="12"/>
      <c r="E26" s="103">
        <f t="shared" si="2"/>
        <v>0</v>
      </c>
      <c r="F26" s="21"/>
      <c r="G26" s="17"/>
      <c r="H26" s="21"/>
      <c r="I26" s="21"/>
      <c r="J26" s="21"/>
      <c r="K26" s="15"/>
      <c r="L26" s="21"/>
      <c r="M26" s="17"/>
      <c r="N26" s="21"/>
      <c r="O26" s="15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/>
      <c r="B27" s="11"/>
      <c r="C27" s="12"/>
      <c r="D27" s="12"/>
      <c r="E27" s="1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7">
        <v>4</v>
      </c>
      <c r="B28" s="7" t="s">
        <v>51</v>
      </c>
      <c r="C28" s="8">
        <f>SUM(C29:C33)</f>
        <v>0.1</v>
      </c>
      <c r="D28" s="56">
        <f>C28*C3</f>
        <v>905625</v>
      </c>
      <c r="E28" s="2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.75" customHeight="1" x14ac:dyDescent="0.25">
      <c r="A29" s="11">
        <v>1</v>
      </c>
      <c r="B29" s="11" t="s">
        <v>53</v>
      </c>
      <c r="C29" s="12">
        <v>0.02</v>
      </c>
      <c r="D29" s="12"/>
      <c r="E29" s="103">
        <f t="shared" ref="E29:E33" si="3">SUM(F29:AG29)</f>
        <v>0</v>
      </c>
      <c r="F29" s="21"/>
      <c r="G29" s="17"/>
      <c r="H29" s="21"/>
      <c r="I29" s="21"/>
      <c r="J29" s="21"/>
      <c r="K29" s="17"/>
      <c r="L29" s="21"/>
      <c r="M29" s="15"/>
      <c r="N29" s="21"/>
      <c r="O29" s="17"/>
      <c r="P29" s="21"/>
      <c r="Q29" s="17"/>
      <c r="R29" s="21"/>
      <c r="S29" s="17"/>
      <c r="T29" s="21"/>
      <c r="U29" s="15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11">
        <v>2</v>
      </c>
      <c r="B30" s="11" t="s">
        <v>55</v>
      </c>
      <c r="C30" s="12">
        <v>0.02</v>
      </c>
      <c r="D30" s="12"/>
      <c r="E30" s="103">
        <f t="shared" si="3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5"/>
      <c r="P30" s="20"/>
      <c r="Q30" s="17"/>
      <c r="R30" s="20"/>
      <c r="S30" s="15"/>
      <c r="T30" s="20"/>
      <c r="U30" s="15"/>
      <c r="V30" s="20"/>
      <c r="W30" s="17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 ht="15.75" customHeight="1" x14ac:dyDescent="0.25">
      <c r="A31" s="11">
        <v>3</v>
      </c>
      <c r="B31" s="11" t="s">
        <v>57</v>
      </c>
      <c r="C31" s="12">
        <v>0.02</v>
      </c>
      <c r="D31" s="12"/>
      <c r="E31" s="103">
        <f t="shared" si="3"/>
        <v>0</v>
      </c>
      <c r="F31" s="21"/>
      <c r="G31" s="17"/>
      <c r="H31" s="21"/>
      <c r="I31" s="21"/>
      <c r="J31" s="21"/>
      <c r="K31" s="17"/>
      <c r="L31" s="21"/>
      <c r="M31" s="17"/>
      <c r="N31" s="21"/>
      <c r="O31" s="15"/>
      <c r="P31" s="20"/>
      <c r="Q31" s="17"/>
      <c r="R31" s="20"/>
      <c r="S31" s="17"/>
      <c r="T31" s="20"/>
      <c r="U31" s="15"/>
      <c r="V31" s="20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4</v>
      </c>
      <c r="B32" s="11" t="s">
        <v>69</v>
      </c>
      <c r="C32" s="12">
        <v>0.02</v>
      </c>
      <c r="D32" s="12"/>
      <c r="E32" s="103">
        <f t="shared" si="3"/>
        <v>0</v>
      </c>
      <c r="F32" s="21"/>
      <c r="G32" s="17"/>
      <c r="H32" s="21"/>
      <c r="I32" s="21"/>
      <c r="J32" s="21"/>
      <c r="K32" s="17"/>
      <c r="L32" s="21"/>
      <c r="M32" s="17"/>
      <c r="N32" s="21"/>
      <c r="O32" s="17"/>
      <c r="P32" s="20"/>
      <c r="Q32" s="17"/>
      <c r="R32" s="20"/>
      <c r="S32" s="17"/>
      <c r="T32" s="20"/>
      <c r="U32" s="17"/>
      <c r="V32" s="20"/>
      <c r="W32" s="15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0.02</v>
      </c>
      <c r="D33" s="12"/>
      <c r="E33" s="103">
        <f t="shared" si="3"/>
        <v>0</v>
      </c>
      <c r="F33" s="21"/>
      <c r="G33" s="17"/>
      <c r="H33" s="21"/>
      <c r="I33" s="21"/>
      <c r="J33" s="21"/>
      <c r="K33" s="17"/>
      <c r="L33" s="21"/>
      <c r="M33" s="17"/>
      <c r="N33" s="21"/>
      <c r="O33" s="17"/>
      <c r="P33" s="21"/>
      <c r="Q33" s="17"/>
      <c r="R33" s="21"/>
      <c r="S33" s="17"/>
      <c r="T33" s="21"/>
      <c r="U33" s="17"/>
      <c r="V33" s="20"/>
      <c r="W33" s="15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724500</v>
      </c>
      <c r="E35" s="2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>SUM(F36:AG36)</f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5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x14ac:dyDescent="0.25">
      <c r="A38" s="7">
        <v>6</v>
      </c>
      <c r="B38" s="7" t="s">
        <v>31</v>
      </c>
      <c r="C38" s="8">
        <f>SUM(C39:C43)</f>
        <v>0.1</v>
      </c>
      <c r="D38" s="56">
        <f>C38*C3</f>
        <v>905625</v>
      </c>
      <c r="E38" s="2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0.02</v>
      </c>
      <c r="D39" s="12"/>
      <c r="E39" s="103">
        <f t="shared" ref="E39:E43" si="4">SUM(F39:AG39)</f>
        <v>0</v>
      </c>
      <c r="F39" s="21"/>
      <c r="G39" s="17"/>
      <c r="H39" s="21"/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17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0.02</v>
      </c>
      <c r="D40" s="12"/>
      <c r="E40" s="103">
        <f t="shared" si="4"/>
        <v>0</v>
      </c>
      <c r="F40" s="21"/>
      <c r="G40" s="17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0.02</v>
      </c>
      <c r="D41" s="12"/>
      <c r="E41" s="103">
        <f t="shared" si="4"/>
        <v>0</v>
      </c>
      <c r="F41" s="21"/>
      <c r="G41" s="17"/>
      <c r="H41" s="21"/>
      <c r="I41" s="21"/>
      <c r="J41" s="21"/>
      <c r="K41" s="17"/>
      <c r="L41" s="21"/>
      <c r="M41" s="17"/>
      <c r="N41" s="21"/>
      <c r="O41" s="17"/>
      <c r="P41" s="21"/>
      <c r="Q41" s="17"/>
      <c r="R41" s="21"/>
      <c r="S41" s="17"/>
      <c r="T41" s="21"/>
      <c r="U41" s="17"/>
      <c r="V41" s="21"/>
      <c r="W41" s="30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0.02</v>
      </c>
      <c r="D42" s="12"/>
      <c r="E42" s="103">
        <f t="shared" si="4"/>
        <v>0</v>
      </c>
      <c r="F42" s="21"/>
      <c r="G42" s="17"/>
      <c r="H42" s="21"/>
      <c r="I42" s="21"/>
      <c r="J42" s="21"/>
      <c r="K42" s="17"/>
      <c r="L42" s="21"/>
      <c r="M42" s="17"/>
      <c r="N42" s="21"/>
      <c r="O42" s="17"/>
      <c r="P42" s="21"/>
      <c r="Q42" s="17"/>
      <c r="R42" s="21"/>
      <c r="S42" s="17"/>
      <c r="T42" s="21"/>
      <c r="U42" s="17"/>
      <c r="V42" s="21"/>
      <c r="W42" s="30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0.02</v>
      </c>
      <c r="D43" s="12"/>
      <c r="E43" s="103">
        <f t="shared" si="4"/>
        <v>0</v>
      </c>
      <c r="F43" s="21"/>
      <c r="G43" s="17"/>
      <c r="H43" s="21"/>
      <c r="I43" s="21"/>
      <c r="J43" s="21"/>
      <c r="K43" s="17"/>
      <c r="L43" s="21"/>
      <c r="M43" s="17"/>
      <c r="N43" s="21"/>
      <c r="O43" s="17"/>
      <c r="P43" s="21"/>
      <c r="Q43" s="17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C44" s="22"/>
      <c r="D44" s="22"/>
      <c r="E44" s="13"/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7.0000000000000007E-2</v>
      </c>
      <c r="D45" s="56">
        <f>C45*C3</f>
        <v>633937.50000000012</v>
      </c>
      <c r="E45" s="2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0.02</v>
      </c>
      <c r="D46" s="12"/>
      <c r="E46" s="103">
        <f t="shared" ref="E46:E48" si="5">SUM(F46:AG46)</f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0.02</v>
      </c>
      <c r="D47" s="12"/>
      <c r="E47" s="103">
        <f t="shared" si="5"/>
        <v>0</v>
      </c>
      <c r="F47" s="21"/>
      <c r="G47" s="17"/>
      <c r="H47" s="21"/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5"/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0.03</v>
      </c>
      <c r="D48" s="12"/>
      <c r="E48" s="103">
        <f t="shared" si="5"/>
        <v>0</v>
      </c>
      <c r="F48" s="21"/>
      <c r="G48" s="17"/>
      <c r="H48" s="21"/>
      <c r="I48" s="21"/>
      <c r="J48" s="21"/>
      <c r="K48" s="17"/>
      <c r="L48" s="21"/>
      <c r="M48" s="17"/>
      <c r="N48" s="21"/>
      <c r="O48" s="17"/>
      <c r="P48" s="21"/>
      <c r="Q48" s="17"/>
      <c r="R48" s="21"/>
      <c r="S48" s="17"/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5.75" customHeight="1" thickBot="1" x14ac:dyDescent="0.3">
      <c r="A49" s="11"/>
      <c r="B49" s="11"/>
      <c r="C49" s="12"/>
      <c r="D49" s="12"/>
      <c r="E49" s="1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5.75" customHeight="1" thickBot="1" x14ac:dyDescent="0.35">
      <c r="A50" s="32"/>
      <c r="B50" s="33" t="s">
        <v>32</v>
      </c>
      <c r="C50" s="34">
        <f>SUM(C7+C14+C21+C28+C35+C38+C45)</f>
        <v>1</v>
      </c>
      <c r="D50" s="34"/>
      <c r="E50" s="35">
        <f>SUM(F50:AG50)</f>
        <v>0</v>
      </c>
      <c r="F50" s="62">
        <f t="shared" ref="F50:AG50" si="6">SUM(F8:F49)</f>
        <v>0</v>
      </c>
      <c r="G50" s="62">
        <f t="shared" si="6"/>
        <v>0</v>
      </c>
      <c r="H50" s="62">
        <f t="shared" si="6"/>
        <v>0</v>
      </c>
      <c r="I50" s="62">
        <f t="shared" si="6"/>
        <v>0</v>
      </c>
      <c r="J50" s="62">
        <f t="shared" si="6"/>
        <v>0</v>
      </c>
      <c r="K50" s="62">
        <f t="shared" si="6"/>
        <v>0</v>
      </c>
      <c r="L50" s="62">
        <f t="shared" si="6"/>
        <v>0</v>
      </c>
      <c r="M50" s="62">
        <f t="shared" si="6"/>
        <v>0</v>
      </c>
      <c r="N50" s="62">
        <f t="shared" si="6"/>
        <v>0</v>
      </c>
      <c r="O50" s="62">
        <f t="shared" si="6"/>
        <v>0</v>
      </c>
      <c r="P50" s="62">
        <f t="shared" si="6"/>
        <v>0</v>
      </c>
      <c r="Q50" s="62">
        <f t="shared" si="6"/>
        <v>0</v>
      </c>
      <c r="R50" s="62">
        <f t="shared" si="6"/>
        <v>0</v>
      </c>
      <c r="S50" s="62">
        <f t="shared" si="6"/>
        <v>0</v>
      </c>
      <c r="T50" s="62">
        <f t="shared" si="6"/>
        <v>0</v>
      </c>
      <c r="U50" s="62">
        <f t="shared" si="6"/>
        <v>0</v>
      </c>
      <c r="V50" s="62">
        <f t="shared" si="6"/>
        <v>0</v>
      </c>
      <c r="W50" s="62">
        <f t="shared" si="6"/>
        <v>0</v>
      </c>
      <c r="X50" s="62">
        <f t="shared" si="6"/>
        <v>0</v>
      </c>
      <c r="Y50" s="62">
        <f t="shared" si="6"/>
        <v>0</v>
      </c>
      <c r="Z50" s="62">
        <f t="shared" si="6"/>
        <v>0</v>
      </c>
      <c r="AA50" s="62">
        <f t="shared" si="6"/>
        <v>0</v>
      </c>
      <c r="AB50" s="62">
        <f t="shared" si="6"/>
        <v>0</v>
      </c>
      <c r="AC50" s="62">
        <f t="shared" si="6"/>
        <v>0</v>
      </c>
      <c r="AD50" s="62">
        <f t="shared" si="6"/>
        <v>0</v>
      </c>
      <c r="AE50" s="62">
        <f t="shared" si="6"/>
        <v>0</v>
      </c>
      <c r="AF50" s="62">
        <f t="shared" si="6"/>
        <v>0</v>
      </c>
      <c r="AG50" s="62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31" t="s">
        <v>34</v>
      </c>
      <c r="B54" s="128"/>
      <c r="C54" s="128"/>
      <c r="D54" s="128"/>
      <c r="E54" s="129"/>
      <c r="F54" s="40">
        <f>C3+(C3*F52)</f>
        <v>9056250</v>
      </c>
      <c r="G54" s="40">
        <f t="shared" ref="G54:AG54" si="7">F54+(F54*G52)</f>
        <v>9056250</v>
      </c>
      <c r="H54" s="40">
        <f t="shared" si="7"/>
        <v>9056250</v>
      </c>
      <c r="I54" s="40">
        <f t="shared" si="7"/>
        <v>9056250</v>
      </c>
      <c r="J54" s="40">
        <f t="shared" si="7"/>
        <v>9056250</v>
      </c>
      <c r="K54" s="40">
        <f t="shared" si="7"/>
        <v>9056250</v>
      </c>
      <c r="L54" s="40">
        <f t="shared" si="7"/>
        <v>9056250</v>
      </c>
      <c r="M54" s="40">
        <f t="shared" si="7"/>
        <v>9056250</v>
      </c>
      <c r="N54" s="40">
        <f t="shared" si="7"/>
        <v>9056250</v>
      </c>
      <c r="O54" s="40">
        <f t="shared" si="7"/>
        <v>9056250</v>
      </c>
      <c r="P54" s="40">
        <f t="shared" si="7"/>
        <v>9056250</v>
      </c>
      <c r="Q54" s="40">
        <f t="shared" si="7"/>
        <v>9056250</v>
      </c>
      <c r="R54" s="40">
        <f t="shared" si="7"/>
        <v>9056250</v>
      </c>
      <c r="S54" s="40">
        <f t="shared" si="7"/>
        <v>9056250</v>
      </c>
      <c r="T54" s="40">
        <f t="shared" si="7"/>
        <v>9056250</v>
      </c>
      <c r="U54" s="40">
        <f t="shared" si="7"/>
        <v>9056250</v>
      </c>
      <c r="V54" s="40">
        <f t="shared" si="7"/>
        <v>9056250</v>
      </c>
      <c r="W54" s="40">
        <f t="shared" si="7"/>
        <v>9056250</v>
      </c>
      <c r="X54" s="40">
        <f t="shared" si="7"/>
        <v>9056250</v>
      </c>
      <c r="Y54" s="40">
        <f t="shared" si="7"/>
        <v>9056250</v>
      </c>
      <c r="Z54" s="40">
        <f t="shared" si="7"/>
        <v>9056250</v>
      </c>
      <c r="AA54" s="40">
        <f t="shared" si="7"/>
        <v>9056250</v>
      </c>
      <c r="AB54" s="40">
        <f t="shared" si="7"/>
        <v>9056250</v>
      </c>
      <c r="AC54" s="40">
        <f t="shared" si="7"/>
        <v>9056250</v>
      </c>
      <c r="AD54" s="40">
        <f t="shared" si="7"/>
        <v>9056250</v>
      </c>
      <c r="AE54" s="40">
        <f t="shared" si="7"/>
        <v>9056250</v>
      </c>
      <c r="AF54" s="40">
        <f t="shared" si="7"/>
        <v>9056250</v>
      </c>
      <c r="AG54" s="40">
        <f t="shared" si="7"/>
        <v>9056250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32" t="s">
        <v>35</v>
      </c>
      <c r="B56" s="128"/>
      <c r="C56" s="128"/>
      <c r="D56" s="128"/>
      <c r="E56" s="129"/>
      <c r="F56" s="41">
        <f t="shared" ref="F56:AG56" si="8">F50*F54</f>
        <v>0</v>
      </c>
      <c r="G56" s="41">
        <f t="shared" si="8"/>
        <v>0</v>
      </c>
      <c r="H56" s="41">
        <f t="shared" si="8"/>
        <v>0</v>
      </c>
      <c r="I56" s="41">
        <f t="shared" si="8"/>
        <v>0</v>
      </c>
      <c r="J56" s="41">
        <f t="shared" si="8"/>
        <v>0</v>
      </c>
      <c r="K56" s="41">
        <f t="shared" si="8"/>
        <v>0</v>
      </c>
      <c r="L56" s="41">
        <f t="shared" si="8"/>
        <v>0</v>
      </c>
      <c r="M56" s="41">
        <f t="shared" si="8"/>
        <v>0</v>
      </c>
      <c r="N56" s="41">
        <f t="shared" si="8"/>
        <v>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127" t="s">
        <v>36</v>
      </c>
      <c r="B58" s="128"/>
      <c r="C58" s="128"/>
      <c r="D58" s="128"/>
      <c r="E58" s="129"/>
      <c r="F58" s="42">
        <f>F56-(F56*D4)</f>
        <v>0</v>
      </c>
      <c r="G58" s="43">
        <f>G56-(G56*D4)</f>
        <v>0</v>
      </c>
      <c r="H58" s="43">
        <f>H56-(H56*D4)</f>
        <v>0</v>
      </c>
      <c r="I58" s="43">
        <f>I56-(I56*D4)</f>
        <v>0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130" t="s">
        <v>37</v>
      </c>
      <c r="B60" s="128"/>
      <c r="C60" s="128"/>
      <c r="D60" s="128"/>
      <c r="E60" s="129"/>
      <c r="F60" s="45">
        <f>F54-F58-C4</f>
        <v>9056250</v>
      </c>
      <c r="G60" s="45">
        <f t="shared" ref="G60:AG60" si="9">(F60+(F60*G52))-G58</f>
        <v>9056250</v>
      </c>
      <c r="H60" s="46">
        <f t="shared" si="9"/>
        <v>9056250</v>
      </c>
      <c r="I60" s="46">
        <f t="shared" si="9"/>
        <v>9056250</v>
      </c>
      <c r="J60" s="45">
        <f t="shared" si="9"/>
        <v>9056250</v>
      </c>
      <c r="K60" s="45">
        <f t="shared" si="9"/>
        <v>9056250</v>
      </c>
      <c r="L60" s="45">
        <f t="shared" si="9"/>
        <v>9056250</v>
      </c>
      <c r="M60" s="45">
        <f t="shared" si="9"/>
        <v>9056250</v>
      </c>
      <c r="N60" s="45">
        <f t="shared" si="9"/>
        <v>9056250</v>
      </c>
      <c r="O60" s="45">
        <f t="shared" si="9"/>
        <v>9056250</v>
      </c>
      <c r="P60" s="45">
        <f t="shared" si="9"/>
        <v>9056250</v>
      </c>
      <c r="Q60" s="45">
        <f t="shared" si="9"/>
        <v>9056250</v>
      </c>
      <c r="R60" s="45">
        <f t="shared" si="9"/>
        <v>9056250</v>
      </c>
      <c r="S60" s="45">
        <f t="shared" si="9"/>
        <v>9056250</v>
      </c>
      <c r="T60" s="45">
        <f t="shared" si="9"/>
        <v>9056250</v>
      </c>
      <c r="U60" s="45">
        <f t="shared" si="9"/>
        <v>9056250</v>
      </c>
      <c r="V60" s="45">
        <f t="shared" si="9"/>
        <v>9056250</v>
      </c>
      <c r="W60" s="45">
        <f t="shared" si="9"/>
        <v>9056250</v>
      </c>
      <c r="X60" s="45">
        <f t="shared" si="9"/>
        <v>9056250</v>
      </c>
      <c r="Y60" s="45">
        <f t="shared" si="9"/>
        <v>9056250</v>
      </c>
      <c r="Z60" s="45">
        <f t="shared" si="9"/>
        <v>9056250</v>
      </c>
      <c r="AA60" s="45">
        <f t="shared" si="9"/>
        <v>9056250</v>
      </c>
      <c r="AB60" s="45">
        <f t="shared" si="9"/>
        <v>9056250</v>
      </c>
      <c r="AC60" s="45">
        <f t="shared" si="9"/>
        <v>9056250</v>
      </c>
      <c r="AD60" s="45">
        <f t="shared" si="9"/>
        <v>9056250</v>
      </c>
      <c r="AE60" s="45">
        <f t="shared" si="9"/>
        <v>9056250</v>
      </c>
      <c r="AF60" s="45">
        <f t="shared" si="9"/>
        <v>9056250</v>
      </c>
      <c r="AG60" s="45">
        <f t="shared" si="9"/>
        <v>9056250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/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6"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honeticPr fontId="29" type="noConversion"/>
  <printOptions horizontalCentered="1" verticalCentered="1" gridLines="1"/>
  <pageMargins left="0.25" right="0.25" top="0.75" bottom="0.75" header="0" footer="0"/>
  <pageSetup paperSize="8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1:AG1002"/>
  <sheetViews>
    <sheetView zoomScale="85" zoomScaleNormal="85" workbookViewId="0">
      <pane xSplit="3" topLeftCell="D1" activePane="topRight" state="frozen"/>
      <selection pane="topRight" activeCell="A2" sqref="A2:B2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5" width="10.7109375" customWidth="1"/>
  </cols>
  <sheetData>
    <row r="1" spans="1:33" ht="30" customHeight="1" x14ac:dyDescent="0.25">
      <c r="A1" s="1"/>
      <c r="B1" s="102" t="s">
        <v>95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23" t="s">
        <v>1</v>
      </c>
      <c r="B3" s="124"/>
      <c r="C3" s="5">
        <f>RESUMEN!D11</f>
        <v>9056250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21" t="s">
        <v>45</v>
      </c>
      <c r="G5" s="122"/>
      <c r="H5" s="121" t="s">
        <v>46</v>
      </c>
      <c r="I5" s="122"/>
      <c r="J5" s="121" t="s">
        <v>47</v>
      </c>
      <c r="K5" s="122"/>
      <c r="L5" s="121" t="s">
        <v>48</v>
      </c>
      <c r="M5" s="122"/>
      <c r="N5" s="121" t="s">
        <v>49</v>
      </c>
      <c r="O5" s="122"/>
      <c r="P5" s="121" t="s">
        <v>38</v>
      </c>
      <c r="Q5" s="122"/>
      <c r="R5" s="121" t="s">
        <v>39</v>
      </c>
      <c r="S5" s="122"/>
      <c r="T5" s="121" t="s">
        <v>40</v>
      </c>
      <c r="U5" s="122"/>
      <c r="V5" s="121" t="s">
        <v>41</v>
      </c>
      <c r="W5" s="122"/>
      <c r="X5" s="121" t="s">
        <v>42</v>
      </c>
      <c r="Y5" s="122"/>
      <c r="Z5" s="121" t="s">
        <v>43</v>
      </c>
      <c r="AA5" s="122"/>
      <c r="AB5" s="121" t="s">
        <v>44</v>
      </c>
      <c r="AC5" s="122"/>
      <c r="AD5" s="121" t="s">
        <v>45</v>
      </c>
      <c r="AE5" s="122"/>
      <c r="AF5" s="121" t="s">
        <v>46</v>
      </c>
      <c r="AG5" s="122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3" ht="16.5" thickBot="1" x14ac:dyDescent="0.3">
      <c r="A7" s="7">
        <v>1</v>
      </c>
      <c r="B7" s="7" t="s">
        <v>52</v>
      </c>
      <c r="C7" s="8">
        <f>SUM(C8:C12)</f>
        <v>0.25</v>
      </c>
      <c r="D7" s="56">
        <f>C7*C3</f>
        <v>2264062.5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</v>
      </c>
      <c r="F8" s="14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55</v>
      </c>
      <c r="C9" s="12">
        <v>0.05</v>
      </c>
      <c r="D9" s="12"/>
      <c r="E9" s="103">
        <f t="shared" ref="E9:E12" si="0"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57</v>
      </c>
      <c r="C10" s="12">
        <v>0.05</v>
      </c>
      <c r="D10" s="12"/>
      <c r="E10" s="103">
        <f t="shared" si="0"/>
        <v>0</v>
      </c>
      <c r="F10" s="20"/>
      <c r="G10" s="15"/>
      <c r="H10" s="20"/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59</v>
      </c>
      <c r="C11" s="12">
        <v>0.05</v>
      </c>
      <c r="D11" s="12"/>
      <c r="E11" s="103">
        <f t="shared" si="0"/>
        <v>0</v>
      </c>
      <c r="F11" s="20"/>
      <c r="G11" s="15"/>
      <c r="H11" s="20"/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61</v>
      </c>
      <c r="C12" s="12">
        <v>0.05</v>
      </c>
      <c r="D12" s="12"/>
      <c r="E12" s="103">
        <f t="shared" si="0"/>
        <v>0</v>
      </c>
      <c r="F12" s="20"/>
      <c r="G12" s="15"/>
      <c r="H12" s="20"/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2716875</v>
      </c>
      <c r="E14" s="2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53</v>
      </c>
      <c r="C15" s="12">
        <v>0.1</v>
      </c>
      <c r="D15" s="12"/>
      <c r="E15" s="103">
        <f t="shared" ref="E15:E19" si="1">SUM(F15:AG15)</f>
        <v>0</v>
      </c>
      <c r="F15" s="20"/>
      <c r="G15" s="15"/>
      <c r="H15" s="20"/>
      <c r="I15" s="21"/>
      <c r="J15" s="21"/>
      <c r="K15" s="15"/>
      <c r="L15" s="21"/>
      <c r="M15" s="17"/>
      <c r="N15" s="21"/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55</v>
      </c>
      <c r="C16" s="12">
        <v>0.05</v>
      </c>
      <c r="D16" s="12"/>
      <c r="E16" s="103">
        <f t="shared" si="1"/>
        <v>0</v>
      </c>
      <c r="F16" s="21"/>
      <c r="G16" s="15"/>
      <c r="H16" s="21"/>
      <c r="I16" s="20"/>
      <c r="J16" s="21"/>
      <c r="K16" s="17"/>
      <c r="L16" s="21"/>
      <c r="M16" s="15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3</v>
      </c>
      <c r="B17" s="11" t="s">
        <v>57</v>
      </c>
      <c r="C17" s="12">
        <v>0.05</v>
      </c>
      <c r="D17" s="12"/>
      <c r="E17" s="103">
        <f t="shared" si="1"/>
        <v>0</v>
      </c>
      <c r="F17" s="21"/>
      <c r="G17" s="17"/>
      <c r="H17" s="21"/>
      <c r="I17" s="20"/>
      <c r="J17" s="20"/>
      <c r="K17" s="17"/>
      <c r="L17" s="21"/>
      <c r="M17" s="17"/>
      <c r="N17" s="21"/>
      <c r="O17" s="17"/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4</v>
      </c>
      <c r="B18" s="11" t="s">
        <v>69</v>
      </c>
      <c r="C18" s="12">
        <v>0.05</v>
      </c>
      <c r="D18" s="12"/>
      <c r="E18" s="103">
        <f t="shared" si="1"/>
        <v>0</v>
      </c>
      <c r="F18" s="21"/>
      <c r="G18" s="17"/>
      <c r="H18" s="21"/>
      <c r="I18" s="21"/>
      <c r="J18" s="21"/>
      <c r="K18" s="17"/>
      <c r="L18" s="21"/>
      <c r="M18" s="15"/>
      <c r="N18" s="21"/>
      <c r="O18" s="17"/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5</v>
      </c>
      <c r="B19" s="11" t="s">
        <v>71</v>
      </c>
      <c r="C19" s="12">
        <v>0.05</v>
      </c>
      <c r="D19" s="12"/>
      <c r="E19" s="103">
        <f t="shared" si="1"/>
        <v>0</v>
      </c>
      <c r="F19" s="21"/>
      <c r="G19" s="17"/>
      <c r="H19" s="21"/>
      <c r="I19" s="21"/>
      <c r="J19" s="21"/>
      <c r="K19" s="15"/>
      <c r="L19" s="21"/>
      <c r="M19" s="17"/>
      <c r="N19" s="21"/>
      <c r="O19" s="15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/>
      <c r="B20" s="11"/>
      <c r="C20" s="12"/>
      <c r="D20" s="12"/>
      <c r="E20" s="1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905625</v>
      </c>
      <c r="E21" s="2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x14ac:dyDescent="0.25">
      <c r="A22" s="11">
        <v>1</v>
      </c>
      <c r="B22" s="11" t="s">
        <v>53</v>
      </c>
      <c r="C22" s="12">
        <v>0.02</v>
      </c>
      <c r="D22" s="12"/>
      <c r="E22" s="103">
        <f t="shared" ref="E22:E26" si="2">SUM(F22:AG22)</f>
        <v>0</v>
      </c>
      <c r="F22" s="20"/>
      <c r="G22" s="15"/>
      <c r="H22" s="20"/>
      <c r="I22" s="21"/>
      <c r="J22" s="21"/>
      <c r="K22" s="15"/>
      <c r="L22" s="21"/>
      <c r="M22" s="17"/>
      <c r="N22" s="21"/>
      <c r="O22" s="17"/>
      <c r="P22" s="21"/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x14ac:dyDescent="0.25">
      <c r="A23" s="11">
        <v>2</v>
      </c>
      <c r="B23" s="11" t="s">
        <v>55</v>
      </c>
      <c r="C23" s="12">
        <v>0.02</v>
      </c>
      <c r="D23" s="12"/>
      <c r="E23" s="103">
        <f t="shared" si="2"/>
        <v>0</v>
      </c>
      <c r="F23" s="21"/>
      <c r="G23" s="15"/>
      <c r="H23" s="21"/>
      <c r="I23" s="20"/>
      <c r="J23" s="21"/>
      <c r="K23" s="17"/>
      <c r="L23" s="21"/>
      <c r="M23" s="15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x14ac:dyDescent="0.25">
      <c r="A24" s="11">
        <v>3</v>
      </c>
      <c r="B24" s="11" t="s">
        <v>57</v>
      </c>
      <c r="C24" s="12">
        <v>0.02</v>
      </c>
      <c r="D24" s="12"/>
      <c r="E24" s="103">
        <f t="shared" si="2"/>
        <v>0</v>
      </c>
      <c r="F24" s="21"/>
      <c r="G24" s="17"/>
      <c r="H24" s="21"/>
      <c r="I24" s="20"/>
      <c r="J24" s="20"/>
      <c r="K24" s="17"/>
      <c r="L24" s="21"/>
      <c r="M24" s="17"/>
      <c r="N24" s="21"/>
      <c r="O24" s="17"/>
      <c r="P24" s="20"/>
      <c r="Q24" s="17"/>
      <c r="R24" s="20"/>
      <c r="S24" s="17"/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x14ac:dyDescent="0.25">
      <c r="A25" s="11">
        <v>4</v>
      </c>
      <c r="B25" s="11" t="s">
        <v>69</v>
      </c>
      <c r="C25" s="12">
        <v>0.02</v>
      </c>
      <c r="D25" s="12"/>
      <c r="E25" s="103">
        <f t="shared" si="2"/>
        <v>0</v>
      </c>
      <c r="F25" s="21"/>
      <c r="G25" s="17"/>
      <c r="H25" s="21"/>
      <c r="I25" s="21"/>
      <c r="J25" s="21"/>
      <c r="K25" s="17"/>
      <c r="L25" s="21"/>
      <c r="M25" s="15"/>
      <c r="N25" s="21"/>
      <c r="O25" s="17"/>
      <c r="P25" s="21"/>
      <c r="Q25" s="17"/>
      <c r="R25" s="21"/>
      <c r="S25" s="17"/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x14ac:dyDescent="0.25">
      <c r="A26" s="11">
        <v>5</v>
      </c>
      <c r="B26" s="11" t="s">
        <v>71</v>
      </c>
      <c r="C26" s="12">
        <v>0.02</v>
      </c>
      <c r="D26" s="12"/>
      <c r="E26" s="103">
        <f t="shared" si="2"/>
        <v>0</v>
      </c>
      <c r="F26" s="21"/>
      <c r="G26" s="17"/>
      <c r="H26" s="21"/>
      <c r="I26" s="21"/>
      <c r="J26" s="21"/>
      <c r="K26" s="15"/>
      <c r="L26" s="21"/>
      <c r="M26" s="17"/>
      <c r="N26" s="21"/>
      <c r="O26" s="15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/>
      <c r="B27" s="11"/>
      <c r="C27" s="12"/>
      <c r="D27" s="12"/>
      <c r="E27" s="1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7">
        <v>4</v>
      </c>
      <c r="B28" s="7" t="s">
        <v>51</v>
      </c>
      <c r="C28" s="8">
        <f>SUM(C29:C33)</f>
        <v>0.1</v>
      </c>
      <c r="D28" s="56">
        <f>C28*C3</f>
        <v>905625</v>
      </c>
      <c r="E28" s="2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.75" customHeight="1" x14ac:dyDescent="0.25">
      <c r="A29" s="11">
        <v>1</v>
      </c>
      <c r="B29" s="11" t="s">
        <v>53</v>
      </c>
      <c r="C29" s="12">
        <v>0.02</v>
      </c>
      <c r="D29" s="12"/>
      <c r="E29" s="103">
        <f t="shared" ref="E29:E33" si="3">SUM(F29:AG29)</f>
        <v>0</v>
      </c>
      <c r="F29" s="21"/>
      <c r="G29" s="17"/>
      <c r="H29" s="21"/>
      <c r="I29" s="21"/>
      <c r="J29" s="21"/>
      <c r="K29" s="17"/>
      <c r="L29" s="21"/>
      <c r="M29" s="15"/>
      <c r="N29" s="21"/>
      <c r="O29" s="17"/>
      <c r="P29" s="21"/>
      <c r="Q29" s="17"/>
      <c r="R29" s="21"/>
      <c r="S29" s="17"/>
      <c r="T29" s="21"/>
      <c r="U29" s="15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11">
        <v>2</v>
      </c>
      <c r="B30" s="11" t="s">
        <v>55</v>
      </c>
      <c r="C30" s="12">
        <v>0.02</v>
      </c>
      <c r="D30" s="12"/>
      <c r="E30" s="103">
        <f t="shared" si="3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5"/>
      <c r="P30" s="20"/>
      <c r="Q30" s="17"/>
      <c r="R30" s="20"/>
      <c r="S30" s="15"/>
      <c r="T30" s="20"/>
      <c r="U30" s="15"/>
      <c r="V30" s="20"/>
      <c r="W30" s="17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 ht="15.75" customHeight="1" x14ac:dyDescent="0.25">
      <c r="A31" s="11">
        <v>3</v>
      </c>
      <c r="B31" s="11" t="s">
        <v>57</v>
      </c>
      <c r="C31" s="12">
        <v>0.02</v>
      </c>
      <c r="D31" s="12"/>
      <c r="E31" s="103">
        <f t="shared" si="3"/>
        <v>0</v>
      </c>
      <c r="F31" s="21"/>
      <c r="G31" s="17"/>
      <c r="H31" s="21"/>
      <c r="I31" s="21"/>
      <c r="J31" s="21"/>
      <c r="K31" s="17"/>
      <c r="L31" s="21"/>
      <c r="M31" s="17"/>
      <c r="N31" s="21"/>
      <c r="O31" s="15"/>
      <c r="P31" s="20"/>
      <c r="Q31" s="17"/>
      <c r="R31" s="20"/>
      <c r="S31" s="17"/>
      <c r="T31" s="20"/>
      <c r="U31" s="15"/>
      <c r="V31" s="20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4</v>
      </c>
      <c r="B32" s="11" t="s">
        <v>69</v>
      </c>
      <c r="C32" s="12">
        <v>0.02</v>
      </c>
      <c r="D32" s="12"/>
      <c r="E32" s="103">
        <f t="shared" si="3"/>
        <v>0</v>
      </c>
      <c r="F32" s="21"/>
      <c r="G32" s="17"/>
      <c r="H32" s="21"/>
      <c r="I32" s="21"/>
      <c r="J32" s="21"/>
      <c r="K32" s="17"/>
      <c r="L32" s="21"/>
      <c r="M32" s="17"/>
      <c r="N32" s="21"/>
      <c r="O32" s="17"/>
      <c r="P32" s="20"/>
      <c r="Q32" s="17"/>
      <c r="R32" s="20"/>
      <c r="S32" s="17"/>
      <c r="T32" s="20"/>
      <c r="U32" s="17"/>
      <c r="V32" s="20"/>
      <c r="W32" s="15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0.02</v>
      </c>
      <c r="D33" s="12"/>
      <c r="E33" s="103">
        <f t="shared" si="3"/>
        <v>0</v>
      </c>
      <c r="F33" s="21"/>
      <c r="G33" s="17"/>
      <c r="H33" s="21"/>
      <c r="I33" s="21"/>
      <c r="J33" s="21"/>
      <c r="K33" s="17"/>
      <c r="L33" s="21"/>
      <c r="M33" s="17"/>
      <c r="N33" s="21"/>
      <c r="O33" s="17"/>
      <c r="P33" s="21"/>
      <c r="Q33" s="17"/>
      <c r="R33" s="21"/>
      <c r="S33" s="17"/>
      <c r="T33" s="21"/>
      <c r="U33" s="17"/>
      <c r="V33" s="20"/>
      <c r="W33" s="15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724500</v>
      </c>
      <c r="E35" s="2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>SUM(F36:AG36)</f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5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x14ac:dyDescent="0.25">
      <c r="A38" s="7">
        <v>6</v>
      </c>
      <c r="B38" s="7" t="s">
        <v>31</v>
      </c>
      <c r="C38" s="8">
        <f>SUM(C39:C43)</f>
        <v>0.1</v>
      </c>
      <c r="D38" s="56">
        <f>C38*C3</f>
        <v>905625</v>
      </c>
      <c r="E38" s="2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0.02</v>
      </c>
      <c r="D39" s="12"/>
      <c r="E39" s="103">
        <f t="shared" ref="E39:E43" si="4">SUM(F39:AG39)</f>
        <v>0</v>
      </c>
      <c r="F39" s="21"/>
      <c r="G39" s="17"/>
      <c r="H39" s="21"/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17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0.02</v>
      </c>
      <c r="D40" s="12"/>
      <c r="E40" s="103">
        <f t="shared" si="4"/>
        <v>0</v>
      </c>
      <c r="F40" s="21"/>
      <c r="G40" s="17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0.02</v>
      </c>
      <c r="D41" s="12"/>
      <c r="E41" s="103">
        <f t="shared" si="4"/>
        <v>0</v>
      </c>
      <c r="F41" s="21"/>
      <c r="G41" s="17"/>
      <c r="H41" s="21"/>
      <c r="I41" s="21"/>
      <c r="J41" s="21"/>
      <c r="K41" s="17"/>
      <c r="L41" s="21"/>
      <c r="M41" s="17"/>
      <c r="N41" s="21"/>
      <c r="O41" s="17"/>
      <c r="P41" s="21"/>
      <c r="Q41" s="17"/>
      <c r="R41" s="21"/>
      <c r="S41" s="17"/>
      <c r="T41" s="21"/>
      <c r="U41" s="17"/>
      <c r="V41" s="21"/>
      <c r="W41" s="30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0.02</v>
      </c>
      <c r="D42" s="12"/>
      <c r="E42" s="103">
        <f t="shared" si="4"/>
        <v>0</v>
      </c>
      <c r="F42" s="21"/>
      <c r="G42" s="17"/>
      <c r="H42" s="21"/>
      <c r="I42" s="21"/>
      <c r="J42" s="21"/>
      <c r="K42" s="17"/>
      <c r="L42" s="21"/>
      <c r="M42" s="17"/>
      <c r="N42" s="21"/>
      <c r="O42" s="17"/>
      <c r="P42" s="21"/>
      <c r="Q42" s="17"/>
      <c r="R42" s="21"/>
      <c r="S42" s="17"/>
      <c r="T42" s="21"/>
      <c r="U42" s="17"/>
      <c r="V42" s="21"/>
      <c r="W42" s="30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0.02</v>
      </c>
      <c r="D43" s="12"/>
      <c r="E43" s="103">
        <f t="shared" si="4"/>
        <v>0</v>
      </c>
      <c r="F43" s="21"/>
      <c r="G43" s="17"/>
      <c r="H43" s="21"/>
      <c r="I43" s="21"/>
      <c r="J43" s="21"/>
      <c r="K43" s="17"/>
      <c r="L43" s="21"/>
      <c r="M43" s="17"/>
      <c r="N43" s="21"/>
      <c r="O43" s="17"/>
      <c r="P43" s="21"/>
      <c r="Q43" s="17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C44" s="22"/>
      <c r="D44" s="22"/>
      <c r="E44" s="13"/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7.0000000000000007E-2</v>
      </c>
      <c r="D45" s="56">
        <f>C45*C3</f>
        <v>633937.50000000012</v>
      </c>
      <c r="E45" s="2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0.02</v>
      </c>
      <c r="D46" s="12"/>
      <c r="E46" s="103">
        <f t="shared" ref="E46:E48" si="5">SUM(F46:AG46)</f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0.02</v>
      </c>
      <c r="D47" s="12"/>
      <c r="E47" s="103">
        <f t="shared" si="5"/>
        <v>0</v>
      </c>
      <c r="F47" s="21"/>
      <c r="G47" s="17"/>
      <c r="H47" s="21"/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5"/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0.03</v>
      </c>
      <c r="D48" s="12"/>
      <c r="E48" s="103">
        <f t="shared" si="5"/>
        <v>0</v>
      </c>
      <c r="F48" s="21"/>
      <c r="G48" s="17"/>
      <c r="H48" s="21"/>
      <c r="I48" s="21"/>
      <c r="J48" s="21"/>
      <c r="K48" s="17"/>
      <c r="L48" s="21"/>
      <c r="M48" s="17"/>
      <c r="N48" s="21"/>
      <c r="O48" s="17"/>
      <c r="P48" s="21"/>
      <c r="Q48" s="17"/>
      <c r="R48" s="21"/>
      <c r="S48" s="17"/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5.75" customHeight="1" thickBot="1" x14ac:dyDescent="0.3">
      <c r="A49" s="11"/>
      <c r="B49" s="11"/>
      <c r="C49" s="12"/>
      <c r="D49" s="12"/>
      <c r="E49" s="1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5.75" customHeight="1" thickBot="1" x14ac:dyDescent="0.35">
      <c r="A50" s="32"/>
      <c r="B50" s="33" t="s">
        <v>32</v>
      </c>
      <c r="C50" s="34">
        <f>SUM(C7+C14+C21+C28+C35+C38+C45)</f>
        <v>1</v>
      </c>
      <c r="D50" s="34"/>
      <c r="E50" s="35">
        <f>SUM(F50:AG50)</f>
        <v>0</v>
      </c>
      <c r="F50" s="62">
        <f t="shared" ref="F50:AG50" si="6">SUM(F8:F49)</f>
        <v>0</v>
      </c>
      <c r="G50" s="62">
        <f t="shared" si="6"/>
        <v>0</v>
      </c>
      <c r="H50" s="62">
        <f t="shared" si="6"/>
        <v>0</v>
      </c>
      <c r="I50" s="62">
        <f t="shared" si="6"/>
        <v>0</v>
      </c>
      <c r="J50" s="62">
        <f t="shared" si="6"/>
        <v>0</v>
      </c>
      <c r="K50" s="62">
        <f t="shared" si="6"/>
        <v>0</v>
      </c>
      <c r="L50" s="62">
        <f t="shared" si="6"/>
        <v>0</v>
      </c>
      <c r="M50" s="62">
        <f t="shared" si="6"/>
        <v>0</v>
      </c>
      <c r="N50" s="62">
        <f t="shared" si="6"/>
        <v>0</v>
      </c>
      <c r="O50" s="62">
        <f t="shared" si="6"/>
        <v>0</v>
      </c>
      <c r="P50" s="62">
        <f t="shared" si="6"/>
        <v>0</v>
      </c>
      <c r="Q50" s="62">
        <f t="shared" si="6"/>
        <v>0</v>
      </c>
      <c r="R50" s="62">
        <f t="shared" si="6"/>
        <v>0</v>
      </c>
      <c r="S50" s="62">
        <f t="shared" si="6"/>
        <v>0</v>
      </c>
      <c r="T50" s="62">
        <f t="shared" si="6"/>
        <v>0</v>
      </c>
      <c r="U50" s="62">
        <f t="shared" si="6"/>
        <v>0</v>
      </c>
      <c r="V50" s="62">
        <f t="shared" si="6"/>
        <v>0</v>
      </c>
      <c r="W50" s="62">
        <f t="shared" si="6"/>
        <v>0</v>
      </c>
      <c r="X50" s="62">
        <f t="shared" si="6"/>
        <v>0</v>
      </c>
      <c r="Y50" s="62">
        <f t="shared" si="6"/>
        <v>0</v>
      </c>
      <c r="Z50" s="62">
        <f t="shared" si="6"/>
        <v>0</v>
      </c>
      <c r="AA50" s="62">
        <f t="shared" si="6"/>
        <v>0</v>
      </c>
      <c r="AB50" s="62">
        <f t="shared" si="6"/>
        <v>0</v>
      </c>
      <c r="AC50" s="62">
        <f t="shared" si="6"/>
        <v>0</v>
      </c>
      <c r="AD50" s="62">
        <f t="shared" si="6"/>
        <v>0</v>
      </c>
      <c r="AE50" s="62">
        <f t="shared" si="6"/>
        <v>0</v>
      </c>
      <c r="AF50" s="62">
        <f t="shared" si="6"/>
        <v>0</v>
      </c>
      <c r="AG50" s="62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31" t="s">
        <v>34</v>
      </c>
      <c r="B54" s="128"/>
      <c r="C54" s="128"/>
      <c r="D54" s="128"/>
      <c r="E54" s="129"/>
      <c r="F54" s="40">
        <f>C3+(C3*F52)</f>
        <v>9056250</v>
      </c>
      <c r="G54" s="40">
        <f t="shared" ref="G54:AG54" si="7">F54+(F54*G52)</f>
        <v>9056250</v>
      </c>
      <c r="H54" s="40">
        <f t="shared" si="7"/>
        <v>9056250</v>
      </c>
      <c r="I54" s="40">
        <f t="shared" si="7"/>
        <v>9056250</v>
      </c>
      <c r="J54" s="40">
        <f t="shared" si="7"/>
        <v>9056250</v>
      </c>
      <c r="K54" s="40">
        <f t="shared" si="7"/>
        <v>9056250</v>
      </c>
      <c r="L54" s="40">
        <f t="shared" si="7"/>
        <v>9056250</v>
      </c>
      <c r="M54" s="40">
        <f t="shared" si="7"/>
        <v>9056250</v>
      </c>
      <c r="N54" s="40">
        <f t="shared" si="7"/>
        <v>9056250</v>
      </c>
      <c r="O54" s="40">
        <f t="shared" si="7"/>
        <v>9056250</v>
      </c>
      <c r="P54" s="40">
        <f t="shared" si="7"/>
        <v>9056250</v>
      </c>
      <c r="Q54" s="40">
        <f t="shared" si="7"/>
        <v>9056250</v>
      </c>
      <c r="R54" s="40">
        <f t="shared" si="7"/>
        <v>9056250</v>
      </c>
      <c r="S54" s="40">
        <f t="shared" si="7"/>
        <v>9056250</v>
      </c>
      <c r="T54" s="40">
        <f t="shared" si="7"/>
        <v>9056250</v>
      </c>
      <c r="U54" s="40">
        <f t="shared" si="7"/>
        <v>9056250</v>
      </c>
      <c r="V54" s="40">
        <f t="shared" si="7"/>
        <v>9056250</v>
      </c>
      <c r="W54" s="40">
        <f t="shared" si="7"/>
        <v>9056250</v>
      </c>
      <c r="X54" s="40">
        <f t="shared" si="7"/>
        <v>9056250</v>
      </c>
      <c r="Y54" s="40">
        <f t="shared" si="7"/>
        <v>9056250</v>
      </c>
      <c r="Z54" s="40">
        <f t="shared" si="7"/>
        <v>9056250</v>
      </c>
      <c r="AA54" s="40">
        <f t="shared" si="7"/>
        <v>9056250</v>
      </c>
      <c r="AB54" s="40">
        <f t="shared" si="7"/>
        <v>9056250</v>
      </c>
      <c r="AC54" s="40">
        <f t="shared" si="7"/>
        <v>9056250</v>
      </c>
      <c r="AD54" s="40">
        <f t="shared" si="7"/>
        <v>9056250</v>
      </c>
      <c r="AE54" s="40">
        <f t="shared" si="7"/>
        <v>9056250</v>
      </c>
      <c r="AF54" s="40">
        <f t="shared" si="7"/>
        <v>9056250</v>
      </c>
      <c r="AG54" s="40">
        <f t="shared" si="7"/>
        <v>9056250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32" t="s">
        <v>35</v>
      </c>
      <c r="B56" s="128"/>
      <c r="C56" s="128"/>
      <c r="D56" s="128"/>
      <c r="E56" s="129"/>
      <c r="F56" s="41">
        <f t="shared" ref="F56:AG56" si="8">F50*F54</f>
        <v>0</v>
      </c>
      <c r="G56" s="41">
        <f t="shared" si="8"/>
        <v>0</v>
      </c>
      <c r="H56" s="41">
        <f t="shared" si="8"/>
        <v>0</v>
      </c>
      <c r="I56" s="41">
        <f t="shared" si="8"/>
        <v>0</v>
      </c>
      <c r="J56" s="41">
        <f t="shared" si="8"/>
        <v>0</v>
      </c>
      <c r="K56" s="41">
        <f t="shared" si="8"/>
        <v>0</v>
      </c>
      <c r="L56" s="41">
        <f t="shared" si="8"/>
        <v>0</v>
      </c>
      <c r="M56" s="41">
        <f t="shared" si="8"/>
        <v>0</v>
      </c>
      <c r="N56" s="41">
        <f t="shared" si="8"/>
        <v>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127" t="s">
        <v>36</v>
      </c>
      <c r="B58" s="128"/>
      <c r="C58" s="128"/>
      <c r="D58" s="128"/>
      <c r="E58" s="129"/>
      <c r="F58" s="42">
        <f>F56-(F56*D4)</f>
        <v>0</v>
      </c>
      <c r="G58" s="43">
        <f>G56-(G56*D4)</f>
        <v>0</v>
      </c>
      <c r="H58" s="43">
        <f>H56-(H56*D4)</f>
        <v>0</v>
      </c>
      <c r="I58" s="43">
        <f>I56-(I56*D4)</f>
        <v>0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130" t="s">
        <v>37</v>
      </c>
      <c r="B60" s="128"/>
      <c r="C60" s="128"/>
      <c r="D60" s="128"/>
      <c r="E60" s="129"/>
      <c r="F60" s="45">
        <f>F54-F58-C4</f>
        <v>9056250</v>
      </c>
      <c r="G60" s="45">
        <f t="shared" ref="G60:AG60" si="9">(F60+(F60*G52))-G58</f>
        <v>9056250</v>
      </c>
      <c r="H60" s="46">
        <f t="shared" si="9"/>
        <v>9056250</v>
      </c>
      <c r="I60" s="46">
        <f t="shared" si="9"/>
        <v>9056250</v>
      </c>
      <c r="J60" s="45">
        <f t="shared" si="9"/>
        <v>9056250</v>
      </c>
      <c r="K60" s="45">
        <f t="shared" si="9"/>
        <v>9056250</v>
      </c>
      <c r="L60" s="45">
        <f t="shared" si="9"/>
        <v>9056250</v>
      </c>
      <c r="M60" s="45">
        <f t="shared" si="9"/>
        <v>9056250</v>
      </c>
      <c r="N60" s="45">
        <f t="shared" si="9"/>
        <v>9056250</v>
      </c>
      <c r="O60" s="45">
        <f t="shared" si="9"/>
        <v>9056250</v>
      </c>
      <c r="P60" s="45">
        <f t="shared" si="9"/>
        <v>9056250</v>
      </c>
      <c r="Q60" s="45">
        <f t="shared" si="9"/>
        <v>9056250</v>
      </c>
      <c r="R60" s="45">
        <f t="shared" si="9"/>
        <v>9056250</v>
      </c>
      <c r="S60" s="45">
        <f t="shared" si="9"/>
        <v>9056250</v>
      </c>
      <c r="T60" s="45">
        <f t="shared" si="9"/>
        <v>9056250</v>
      </c>
      <c r="U60" s="45">
        <f t="shared" si="9"/>
        <v>9056250</v>
      </c>
      <c r="V60" s="45">
        <f t="shared" si="9"/>
        <v>9056250</v>
      </c>
      <c r="W60" s="45">
        <f t="shared" si="9"/>
        <v>9056250</v>
      </c>
      <c r="X60" s="45">
        <f t="shared" si="9"/>
        <v>9056250</v>
      </c>
      <c r="Y60" s="45">
        <f t="shared" si="9"/>
        <v>9056250</v>
      </c>
      <c r="Z60" s="45">
        <f t="shared" si="9"/>
        <v>9056250</v>
      </c>
      <c r="AA60" s="45">
        <f t="shared" si="9"/>
        <v>9056250</v>
      </c>
      <c r="AB60" s="45">
        <f t="shared" si="9"/>
        <v>9056250</v>
      </c>
      <c r="AC60" s="45">
        <f t="shared" si="9"/>
        <v>9056250</v>
      </c>
      <c r="AD60" s="45">
        <f t="shared" si="9"/>
        <v>9056250</v>
      </c>
      <c r="AE60" s="45">
        <f t="shared" si="9"/>
        <v>9056250</v>
      </c>
      <c r="AF60" s="45">
        <f t="shared" si="9"/>
        <v>9056250</v>
      </c>
      <c r="AG60" s="45">
        <f t="shared" si="9"/>
        <v>9056250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/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6"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honeticPr fontId="29" type="noConversion"/>
  <printOptions horizontalCentered="1" verticalCentered="1" gridLines="1"/>
  <pageMargins left="0.25" right="0.25" top="0.75" bottom="0.75" header="0" footer="0"/>
  <pageSetup paperSize="8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AG1002"/>
  <sheetViews>
    <sheetView zoomScale="85" zoomScaleNormal="85" workbookViewId="0">
      <pane xSplit="3" topLeftCell="D1" activePane="topRight" state="frozen"/>
      <selection pane="topRight" activeCell="A2" sqref="A2:B2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5" width="10.7109375" customWidth="1"/>
  </cols>
  <sheetData>
    <row r="1" spans="1:33" ht="30" customHeight="1" x14ac:dyDescent="0.25">
      <c r="A1" s="1"/>
      <c r="B1" s="102" t="s">
        <v>96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23" t="s">
        <v>1</v>
      </c>
      <c r="B3" s="124"/>
      <c r="C3" s="5">
        <f>RESUMEN!D11</f>
        <v>9056250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21" t="s">
        <v>45</v>
      </c>
      <c r="G5" s="122"/>
      <c r="H5" s="121" t="s">
        <v>46</v>
      </c>
      <c r="I5" s="122"/>
      <c r="J5" s="121" t="s">
        <v>47</v>
      </c>
      <c r="K5" s="122"/>
      <c r="L5" s="121" t="s">
        <v>48</v>
      </c>
      <c r="M5" s="122"/>
      <c r="N5" s="121" t="s">
        <v>49</v>
      </c>
      <c r="O5" s="122"/>
      <c r="P5" s="121" t="s">
        <v>38</v>
      </c>
      <c r="Q5" s="122"/>
      <c r="R5" s="121" t="s">
        <v>39</v>
      </c>
      <c r="S5" s="122"/>
      <c r="T5" s="121" t="s">
        <v>40</v>
      </c>
      <c r="U5" s="122"/>
      <c r="V5" s="121" t="s">
        <v>41</v>
      </c>
      <c r="W5" s="122"/>
      <c r="X5" s="121" t="s">
        <v>42</v>
      </c>
      <c r="Y5" s="122"/>
      <c r="Z5" s="121" t="s">
        <v>43</v>
      </c>
      <c r="AA5" s="122"/>
      <c r="AB5" s="121" t="s">
        <v>44</v>
      </c>
      <c r="AC5" s="122"/>
      <c r="AD5" s="121" t="s">
        <v>45</v>
      </c>
      <c r="AE5" s="122"/>
      <c r="AF5" s="121" t="s">
        <v>46</v>
      </c>
      <c r="AG5" s="122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3" ht="16.5" thickBot="1" x14ac:dyDescent="0.3">
      <c r="A7" s="7">
        <v>1</v>
      </c>
      <c r="B7" s="7" t="s">
        <v>52</v>
      </c>
      <c r="C7" s="8">
        <f>SUM(C8:C12)</f>
        <v>0.25</v>
      </c>
      <c r="D7" s="56">
        <f>C7*C3</f>
        <v>2264062.5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</v>
      </c>
      <c r="F8" s="14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55</v>
      </c>
      <c r="C9" s="12">
        <v>0.05</v>
      </c>
      <c r="D9" s="12"/>
      <c r="E9" s="103">
        <f t="shared" ref="E9:E12" si="0"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57</v>
      </c>
      <c r="C10" s="12">
        <v>0.05</v>
      </c>
      <c r="D10" s="12"/>
      <c r="E10" s="103">
        <f t="shared" si="0"/>
        <v>0</v>
      </c>
      <c r="F10" s="20"/>
      <c r="G10" s="15"/>
      <c r="H10" s="20"/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59</v>
      </c>
      <c r="C11" s="12">
        <v>0.05</v>
      </c>
      <c r="D11" s="12"/>
      <c r="E11" s="103">
        <f t="shared" si="0"/>
        <v>0</v>
      </c>
      <c r="F11" s="20"/>
      <c r="G11" s="15"/>
      <c r="H11" s="20"/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61</v>
      </c>
      <c r="C12" s="12">
        <v>0.05</v>
      </c>
      <c r="D12" s="12"/>
      <c r="E12" s="103">
        <f t="shared" si="0"/>
        <v>0</v>
      </c>
      <c r="F12" s="20"/>
      <c r="G12" s="15"/>
      <c r="H12" s="20"/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2716875</v>
      </c>
      <c r="E14" s="2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53</v>
      </c>
      <c r="C15" s="12">
        <v>0.1</v>
      </c>
      <c r="D15" s="12"/>
      <c r="E15" s="103">
        <f t="shared" ref="E15:E19" si="1">SUM(F15:AG15)</f>
        <v>0</v>
      </c>
      <c r="F15" s="20"/>
      <c r="G15" s="15"/>
      <c r="H15" s="20"/>
      <c r="I15" s="21"/>
      <c r="J15" s="21"/>
      <c r="K15" s="15"/>
      <c r="L15" s="21"/>
      <c r="M15" s="17"/>
      <c r="N15" s="21"/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55</v>
      </c>
      <c r="C16" s="12">
        <v>0.05</v>
      </c>
      <c r="D16" s="12"/>
      <c r="E16" s="103">
        <f t="shared" si="1"/>
        <v>0</v>
      </c>
      <c r="F16" s="21"/>
      <c r="G16" s="15"/>
      <c r="H16" s="21"/>
      <c r="I16" s="20"/>
      <c r="J16" s="21"/>
      <c r="K16" s="17"/>
      <c r="L16" s="21"/>
      <c r="M16" s="15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3</v>
      </c>
      <c r="B17" s="11" t="s">
        <v>57</v>
      </c>
      <c r="C17" s="12">
        <v>0.05</v>
      </c>
      <c r="D17" s="12"/>
      <c r="E17" s="103">
        <f t="shared" si="1"/>
        <v>0</v>
      </c>
      <c r="F17" s="21"/>
      <c r="G17" s="17"/>
      <c r="H17" s="21"/>
      <c r="I17" s="20"/>
      <c r="J17" s="20"/>
      <c r="K17" s="17"/>
      <c r="L17" s="21"/>
      <c r="M17" s="17"/>
      <c r="N17" s="21"/>
      <c r="O17" s="17"/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4</v>
      </c>
      <c r="B18" s="11" t="s">
        <v>69</v>
      </c>
      <c r="C18" s="12">
        <v>0.05</v>
      </c>
      <c r="D18" s="12"/>
      <c r="E18" s="103">
        <f t="shared" si="1"/>
        <v>0</v>
      </c>
      <c r="F18" s="21"/>
      <c r="G18" s="17"/>
      <c r="H18" s="21"/>
      <c r="I18" s="21"/>
      <c r="J18" s="21"/>
      <c r="K18" s="17"/>
      <c r="L18" s="21"/>
      <c r="M18" s="15"/>
      <c r="N18" s="21"/>
      <c r="O18" s="17"/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5</v>
      </c>
      <c r="B19" s="11" t="s">
        <v>71</v>
      </c>
      <c r="C19" s="12">
        <v>0.05</v>
      </c>
      <c r="D19" s="12"/>
      <c r="E19" s="103">
        <f t="shared" si="1"/>
        <v>0</v>
      </c>
      <c r="F19" s="21"/>
      <c r="G19" s="17"/>
      <c r="H19" s="21"/>
      <c r="I19" s="21"/>
      <c r="J19" s="21"/>
      <c r="K19" s="15"/>
      <c r="L19" s="21"/>
      <c r="M19" s="17"/>
      <c r="N19" s="21"/>
      <c r="O19" s="15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/>
      <c r="B20" s="11"/>
      <c r="C20" s="12"/>
      <c r="D20" s="12"/>
      <c r="E20" s="1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905625</v>
      </c>
      <c r="E21" s="2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x14ac:dyDescent="0.25">
      <c r="A22" s="11">
        <v>1</v>
      </c>
      <c r="B22" s="11" t="s">
        <v>53</v>
      </c>
      <c r="C22" s="12">
        <v>0.02</v>
      </c>
      <c r="D22" s="12"/>
      <c r="E22" s="103">
        <f t="shared" ref="E22:E26" si="2">SUM(F22:AG22)</f>
        <v>0</v>
      </c>
      <c r="F22" s="20"/>
      <c r="G22" s="15"/>
      <c r="H22" s="20"/>
      <c r="I22" s="21"/>
      <c r="J22" s="21"/>
      <c r="K22" s="15"/>
      <c r="L22" s="21"/>
      <c r="M22" s="17"/>
      <c r="N22" s="21"/>
      <c r="O22" s="17"/>
      <c r="P22" s="21"/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x14ac:dyDescent="0.25">
      <c r="A23" s="11">
        <v>2</v>
      </c>
      <c r="B23" s="11" t="s">
        <v>55</v>
      </c>
      <c r="C23" s="12">
        <v>0.02</v>
      </c>
      <c r="D23" s="12"/>
      <c r="E23" s="103">
        <f t="shared" si="2"/>
        <v>0</v>
      </c>
      <c r="F23" s="21"/>
      <c r="G23" s="15"/>
      <c r="H23" s="21"/>
      <c r="I23" s="20"/>
      <c r="J23" s="21"/>
      <c r="K23" s="17"/>
      <c r="L23" s="21"/>
      <c r="M23" s="15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x14ac:dyDescent="0.25">
      <c r="A24" s="11">
        <v>3</v>
      </c>
      <c r="B24" s="11" t="s">
        <v>57</v>
      </c>
      <c r="C24" s="12">
        <v>0.02</v>
      </c>
      <c r="D24" s="12"/>
      <c r="E24" s="103">
        <f t="shared" si="2"/>
        <v>0</v>
      </c>
      <c r="F24" s="21"/>
      <c r="G24" s="17"/>
      <c r="H24" s="21"/>
      <c r="I24" s="20"/>
      <c r="J24" s="20"/>
      <c r="K24" s="17"/>
      <c r="L24" s="21"/>
      <c r="M24" s="17"/>
      <c r="N24" s="21"/>
      <c r="O24" s="17"/>
      <c r="P24" s="20"/>
      <c r="Q24" s="17"/>
      <c r="R24" s="20"/>
      <c r="S24" s="17"/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x14ac:dyDescent="0.25">
      <c r="A25" s="11">
        <v>4</v>
      </c>
      <c r="B25" s="11" t="s">
        <v>69</v>
      </c>
      <c r="C25" s="12">
        <v>0.02</v>
      </c>
      <c r="D25" s="12"/>
      <c r="E25" s="103">
        <f t="shared" si="2"/>
        <v>0</v>
      </c>
      <c r="F25" s="21"/>
      <c r="G25" s="17"/>
      <c r="H25" s="21"/>
      <c r="I25" s="21"/>
      <c r="J25" s="21"/>
      <c r="K25" s="17"/>
      <c r="L25" s="21"/>
      <c r="M25" s="15"/>
      <c r="N25" s="21"/>
      <c r="O25" s="17"/>
      <c r="P25" s="21"/>
      <c r="Q25" s="17"/>
      <c r="R25" s="21"/>
      <c r="S25" s="17"/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x14ac:dyDescent="0.25">
      <c r="A26" s="11">
        <v>5</v>
      </c>
      <c r="B26" s="11" t="s">
        <v>71</v>
      </c>
      <c r="C26" s="12">
        <v>0.02</v>
      </c>
      <c r="D26" s="12"/>
      <c r="E26" s="103">
        <f t="shared" si="2"/>
        <v>0</v>
      </c>
      <c r="F26" s="21"/>
      <c r="G26" s="17"/>
      <c r="H26" s="21"/>
      <c r="I26" s="21"/>
      <c r="J26" s="21"/>
      <c r="K26" s="15"/>
      <c r="L26" s="21"/>
      <c r="M26" s="17"/>
      <c r="N26" s="21"/>
      <c r="O26" s="15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/>
      <c r="B27" s="11"/>
      <c r="C27" s="12"/>
      <c r="D27" s="12"/>
      <c r="E27" s="1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7">
        <v>4</v>
      </c>
      <c r="B28" s="7" t="s">
        <v>51</v>
      </c>
      <c r="C28" s="8">
        <f>SUM(C29:C33)</f>
        <v>0.1</v>
      </c>
      <c r="D28" s="56">
        <f>C28*C3</f>
        <v>905625</v>
      </c>
      <c r="E28" s="2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.75" customHeight="1" x14ac:dyDescent="0.25">
      <c r="A29" s="11">
        <v>1</v>
      </c>
      <c r="B29" s="11" t="s">
        <v>53</v>
      </c>
      <c r="C29" s="12">
        <v>0.02</v>
      </c>
      <c r="D29" s="12"/>
      <c r="E29" s="103">
        <f t="shared" ref="E29:E33" si="3">SUM(F29:AG29)</f>
        <v>0</v>
      </c>
      <c r="F29" s="21"/>
      <c r="G29" s="17"/>
      <c r="H29" s="21"/>
      <c r="I29" s="21"/>
      <c r="J29" s="21"/>
      <c r="K29" s="17"/>
      <c r="L29" s="21"/>
      <c r="M29" s="15"/>
      <c r="N29" s="21"/>
      <c r="O29" s="17"/>
      <c r="P29" s="21"/>
      <c r="Q29" s="17"/>
      <c r="R29" s="21"/>
      <c r="S29" s="17"/>
      <c r="T29" s="21"/>
      <c r="U29" s="15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11">
        <v>2</v>
      </c>
      <c r="B30" s="11" t="s">
        <v>55</v>
      </c>
      <c r="C30" s="12">
        <v>0.02</v>
      </c>
      <c r="D30" s="12"/>
      <c r="E30" s="103">
        <f t="shared" si="3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5"/>
      <c r="P30" s="20"/>
      <c r="Q30" s="17"/>
      <c r="R30" s="20"/>
      <c r="S30" s="15"/>
      <c r="T30" s="20"/>
      <c r="U30" s="15"/>
      <c r="V30" s="20"/>
      <c r="W30" s="17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 ht="15.75" customHeight="1" x14ac:dyDescent="0.25">
      <c r="A31" s="11">
        <v>3</v>
      </c>
      <c r="B31" s="11" t="s">
        <v>57</v>
      </c>
      <c r="C31" s="12">
        <v>0.02</v>
      </c>
      <c r="D31" s="12"/>
      <c r="E31" s="103">
        <f t="shared" si="3"/>
        <v>0</v>
      </c>
      <c r="F31" s="21"/>
      <c r="G31" s="17"/>
      <c r="H31" s="21"/>
      <c r="I31" s="21"/>
      <c r="J31" s="21"/>
      <c r="K31" s="17"/>
      <c r="L31" s="21"/>
      <c r="M31" s="17"/>
      <c r="N31" s="21"/>
      <c r="O31" s="15"/>
      <c r="P31" s="20"/>
      <c r="Q31" s="17"/>
      <c r="R31" s="20"/>
      <c r="S31" s="17"/>
      <c r="T31" s="20"/>
      <c r="U31" s="15"/>
      <c r="V31" s="20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4</v>
      </c>
      <c r="B32" s="11" t="s">
        <v>69</v>
      </c>
      <c r="C32" s="12">
        <v>0.02</v>
      </c>
      <c r="D32" s="12"/>
      <c r="E32" s="103">
        <f t="shared" si="3"/>
        <v>0</v>
      </c>
      <c r="F32" s="21"/>
      <c r="G32" s="17"/>
      <c r="H32" s="21"/>
      <c r="I32" s="21"/>
      <c r="J32" s="21"/>
      <c r="K32" s="17"/>
      <c r="L32" s="21"/>
      <c r="M32" s="17"/>
      <c r="N32" s="21"/>
      <c r="O32" s="17"/>
      <c r="P32" s="20"/>
      <c r="Q32" s="17"/>
      <c r="R32" s="20"/>
      <c r="S32" s="17"/>
      <c r="T32" s="20"/>
      <c r="U32" s="17"/>
      <c r="V32" s="20"/>
      <c r="W32" s="15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0.02</v>
      </c>
      <c r="D33" s="12"/>
      <c r="E33" s="103">
        <f t="shared" si="3"/>
        <v>0</v>
      </c>
      <c r="F33" s="21"/>
      <c r="G33" s="17"/>
      <c r="H33" s="21"/>
      <c r="I33" s="21"/>
      <c r="J33" s="21"/>
      <c r="K33" s="17"/>
      <c r="L33" s="21"/>
      <c r="M33" s="17"/>
      <c r="N33" s="21"/>
      <c r="O33" s="17"/>
      <c r="P33" s="21"/>
      <c r="Q33" s="17"/>
      <c r="R33" s="21"/>
      <c r="S33" s="17"/>
      <c r="T33" s="21"/>
      <c r="U33" s="17"/>
      <c r="V33" s="20"/>
      <c r="W33" s="15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724500</v>
      </c>
      <c r="E35" s="2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>SUM(F36:AG36)</f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5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x14ac:dyDescent="0.25">
      <c r="A38" s="7">
        <v>6</v>
      </c>
      <c r="B38" s="7" t="s">
        <v>31</v>
      </c>
      <c r="C38" s="8">
        <f>SUM(C39:C43)</f>
        <v>0.1</v>
      </c>
      <c r="D38" s="56">
        <f>C38*C3</f>
        <v>905625</v>
      </c>
      <c r="E38" s="2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0.02</v>
      </c>
      <c r="D39" s="12"/>
      <c r="E39" s="103">
        <f t="shared" ref="E39:E43" si="4">SUM(F39:AG39)</f>
        <v>0</v>
      </c>
      <c r="F39" s="21"/>
      <c r="G39" s="17"/>
      <c r="H39" s="21"/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17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0.02</v>
      </c>
      <c r="D40" s="12"/>
      <c r="E40" s="103">
        <f t="shared" si="4"/>
        <v>0</v>
      </c>
      <c r="F40" s="21"/>
      <c r="G40" s="17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0.02</v>
      </c>
      <c r="D41" s="12"/>
      <c r="E41" s="103">
        <f t="shared" si="4"/>
        <v>0</v>
      </c>
      <c r="F41" s="21"/>
      <c r="G41" s="17"/>
      <c r="H41" s="21"/>
      <c r="I41" s="21"/>
      <c r="J41" s="21"/>
      <c r="K41" s="17"/>
      <c r="L41" s="21"/>
      <c r="M41" s="17"/>
      <c r="N41" s="21"/>
      <c r="O41" s="17"/>
      <c r="P41" s="21"/>
      <c r="Q41" s="17"/>
      <c r="R41" s="21"/>
      <c r="S41" s="17"/>
      <c r="T41" s="21"/>
      <c r="U41" s="17"/>
      <c r="V41" s="21"/>
      <c r="W41" s="30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0.02</v>
      </c>
      <c r="D42" s="12"/>
      <c r="E42" s="103">
        <f t="shared" si="4"/>
        <v>0</v>
      </c>
      <c r="F42" s="21"/>
      <c r="G42" s="17"/>
      <c r="H42" s="21"/>
      <c r="I42" s="21"/>
      <c r="J42" s="21"/>
      <c r="K42" s="17"/>
      <c r="L42" s="21"/>
      <c r="M42" s="17"/>
      <c r="N42" s="21"/>
      <c r="O42" s="17"/>
      <c r="P42" s="21"/>
      <c r="Q42" s="17"/>
      <c r="R42" s="21"/>
      <c r="S42" s="17"/>
      <c r="T42" s="21"/>
      <c r="U42" s="17"/>
      <c r="V42" s="21"/>
      <c r="W42" s="30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0.02</v>
      </c>
      <c r="D43" s="12"/>
      <c r="E43" s="103">
        <f t="shared" si="4"/>
        <v>0</v>
      </c>
      <c r="F43" s="21"/>
      <c r="G43" s="17"/>
      <c r="H43" s="21"/>
      <c r="I43" s="21"/>
      <c r="J43" s="21"/>
      <c r="K43" s="17"/>
      <c r="L43" s="21"/>
      <c r="M43" s="17"/>
      <c r="N43" s="21"/>
      <c r="O43" s="17"/>
      <c r="P43" s="21"/>
      <c r="Q43" s="17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C44" s="22"/>
      <c r="D44" s="22"/>
      <c r="E44" s="13"/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7.0000000000000007E-2</v>
      </c>
      <c r="D45" s="56">
        <f>C45*C3</f>
        <v>633937.50000000012</v>
      </c>
      <c r="E45" s="2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0.02</v>
      </c>
      <c r="D46" s="12"/>
      <c r="E46" s="103">
        <f t="shared" ref="E46:E48" si="5">SUM(F46:AG46)</f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0.02</v>
      </c>
      <c r="D47" s="12"/>
      <c r="E47" s="103">
        <f t="shared" si="5"/>
        <v>0</v>
      </c>
      <c r="F47" s="21"/>
      <c r="G47" s="17"/>
      <c r="H47" s="21"/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5"/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0.03</v>
      </c>
      <c r="D48" s="12"/>
      <c r="E48" s="103">
        <f t="shared" si="5"/>
        <v>0</v>
      </c>
      <c r="F48" s="21"/>
      <c r="G48" s="17"/>
      <c r="H48" s="21"/>
      <c r="I48" s="21"/>
      <c r="J48" s="21"/>
      <c r="K48" s="17"/>
      <c r="L48" s="21"/>
      <c r="M48" s="17"/>
      <c r="N48" s="21"/>
      <c r="O48" s="17"/>
      <c r="P48" s="21"/>
      <c r="Q48" s="17"/>
      <c r="R48" s="21"/>
      <c r="S48" s="17"/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5.75" customHeight="1" thickBot="1" x14ac:dyDescent="0.3">
      <c r="A49" s="11"/>
      <c r="B49" s="11"/>
      <c r="C49" s="12"/>
      <c r="D49" s="12"/>
      <c r="E49" s="1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5.75" customHeight="1" thickBot="1" x14ac:dyDescent="0.35">
      <c r="A50" s="32"/>
      <c r="B50" s="33" t="s">
        <v>32</v>
      </c>
      <c r="C50" s="34">
        <f>SUM(C7+C14+C21+C28+C35+C38+C45)</f>
        <v>1</v>
      </c>
      <c r="D50" s="34"/>
      <c r="E50" s="35">
        <f>SUM(F50:AG50)</f>
        <v>0</v>
      </c>
      <c r="F50" s="62">
        <f t="shared" ref="F50:AG50" si="6">SUM(F8:F49)</f>
        <v>0</v>
      </c>
      <c r="G50" s="62">
        <f t="shared" si="6"/>
        <v>0</v>
      </c>
      <c r="H50" s="62">
        <f t="shared" si="6"/>
        <v>0</v>
      </c>
      <c r="I50" s="62">
        <f t="shared" si="6"/>
        <v>0</v>
      </c>
      <c r="J50" s="62">
        <f t="shared" si="6"/>
        <v>0</v>
      </c>
      <c r="K50" s="62">
        <f t="shared" si="6"/>
        <v>0</v>
      </c>
      <c r="L50" s="62">
        <f t="shared" si="6"/>
        <v>0</v>
      </c>
      <c r="M50" s="62">
        <f t="shared" si="6"/>
        <v>0</v>
      </c>
      <c r="N50" s="62">
        <f t="shared" si="6"/>
        <v>0</v>
      </c>
      <c r="O50" s="62">
        <f t="shared" si="6"/>
        <v>0</v>
      </c>
      <c r="P50" s="62">
        <f t="shared" si="6"/>
        <v>0</v>
      </c>
      <c r="Q50" s="62">
        <f t="shared" si="6"/>
        <v>0</v>
      </c>
      <c r="R50" s="62">
        <f t="shared" si="6"/>
        <v>0</v>
      </c>
      <c r="S50" s="62">
        <f t="shared" si="6"/>
        <v>0</v>
      </c>
      <c r="T50" s="62">
        <f t="shared" si="6"/>
        <v>0</v>
      </c>
      <c r="U50" s="62">
        <f t="shared" si="6"/>
        <v>0</v>
      </c>
      <c r="V50" s="62">
        <f t="shared" si="6"/>
        <v>0</v>
      </c>
      <c r="W50" s="62">
        <f t="shared" si="6"/>
        <v>0</v>
      </c>
      <c r="X50" s="62">
        <f t="shared" si="6"/>
        <v>0</v>
      </c>
      <c r="Y50" s="62">
        <f t="shared" si="6"/>
        <v>0</v>
      </c>
      <c r="Z50" s="62">
        <f t="shared" si="6"/>
        <v>0</v>
      </c>
      <c r="AA50" s="62">
        <f t="shared" si="6"/>
        <v>0</v>
      </c>
      <c r="AB50" s="62">
        <f t="shared" si="6"/>
        <v>0</v>
      </c>
      <c r="AC50" s="62">
        <f t="shared" si="6"/>
        <v>0</v>
      </c>
      <c r="AD50" s="62">
        <f t="shared" si="6"/>
        <v>0</v>
      </c>
      <c r="AE50" s="62">
        <f t="shared" si="6"/>
        <v>0</v>
      </c>
      <c r="AF50" s="62">
        <f t="shared" si="6"/>
        <v>0</v>
      </c>
      <c r="AG50" s="62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31" t="s">
        <v>34</v>
      </c>
      <c r="B54" s="128"/>
      <c r="C54" s="128"/>
      <c r="D54" s="128"/>
      <c r="E54" s="129"/>
      <c r="F54" s="40">
        <f>C3+(C3*F52)</f>
        <v>9056250</v>
      </c>
      <c r="G54" s="40">
        <f t="shared" ref="G54:AG54" si="7">F54+(F54*G52)</f>
        <v>9056250</v>
      </c>
      <c r="H54" s="40">
        <f t="shared" si="7"/>
        <v>9056250</v>
      </c>
      <c r="I54" s="40">
        <f t="shared" si="7"/>
        <v>9056250</v>
      </c>
      <c r="J54" s="40">
        <f t="shared" si="7"/>
        <v>9056250</v>
      </c>
      <c r="K54" s="40">
        <f t="shared" si="7"/>
        <v>9056250</v>
      </c>
      <c r="L54" s="40">
        <f t="shared" si="7"/>
        <v>9056250</v>
      </c>
      <c r="M54" s="40">
        <f t="shared" si="7"/>
        <v>9056250</v>
      </c>
      <c r="N54" s="40">
        <f t="shared" si="7"/>
        <v>9056250</v>
      </c>
      <c r="O54" s="40">
        <f t="shared" si="7"/>
        <v>9056250</v>
      </c>
      <c r="P54" s="40">
        <f t="shared" si="7"/>
        <v>9056250</v>
      </c>
      <c r="Q54" s="40">
        <f t="shared" si="7"/>
        <v>9056250</v>
      </c>
      <c r="R54" s="40">
        <f t="shared" si="7"/>
        <v>9056250</v>
      </c>
      <c r="S54" s="40">
        <f t="shared" si="7"/>
        <v>9056250</v>
      </c>
      <c r="T54" s="40">
        <f t="shared" si="7"/>
        <v>9056250</v>
      </c>
      <c r="U54" s="40">
        <f t="shared" si="7"/>
        <v>9056250</v>
      </c>
      <c r="V54" s="40">
        <f t="shared" si="7"/>
        <v>9056250</v>
      </c>
      <c r="W54" s="40">
        <f t="shared" si="7"/>
        <v>9056250</v>
      </c>
      <c r="X54" s="40">
        <f t="shared" si="7"/>
        <v>9056250</v>
      </c>
      <c r="Y54" s="40">
        <f t="shared" si="7"/>
        <v>9056250</v>
      </c>
      <c r="Z54" s="40">
        <f t="shared" si="7"/>
        <v>9056250</v>
      </c>
      <c r="AA54" s="40">
        <f t="shared" si="7"/>
        <v>9056250</v>
      </c>
      <c r="AB54" s="40">
        <f t="shared" si="7"/>
        <v>9056250</v>
      </c>
      <c r="AC54" s="40">
        <f t="shared" si="7"/>
        <v>9056250</v>
      </c>
      <c r="AD54" s="40">
        <f t="shared" si="7"/>
        <v>9056250</v>
      </c>
      <c r="AE54" s="40">
        <f t="shared" si="7"/>
        <v>9056250</v>
      </c>
      <c r="AF54" s="40">
        <f t="shared" si="7"/>
        <v>9056250</v>
      </c>
      <c r="AG54" s="40">
        <f t="shared" si="7"/>
        <v>9056250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32" t="s">
        <v>35</v>
      </c>
      <c r="B56" s="128"/>
      <c r="C56" s="128"/>
      <c r="D56" s="128"/>
      <c r="E56" s="129"/>
      <c r="F56" s="41">
        <f t="shared" ref="F56:AG56" si="8">F50*F54</f>
        <v>0</v>
      </c>
      <c r="G56" s="41">
        <f t="shared" si="8"/>
        <v>0</v>
      </c>
      <c r="H56" s="41">
        <f t="shared" si="8"/>
        <v>0</v>
      </c>
      <c r="I56" s="41">
        <f t="shared" si="8"/>
        <v>0</v>
      </c>
      <c r="J56" s="41">
        <f t="shared" si="8"/>
        <v>0</v>
      </c>
      <c r="K56" s="41">
        <f t="shared" si="8"/>
        <v>0</v>
      </c>
      <c r="L56" s="41">
        <f t="shared" si="8"/>
        <v>0</v>
      </c>
      <c r="M56" s="41">
        <f t="shared" si="8"/>
        <v>0</v>
      </c>
      <c r="N56" s="41">
        <f t="shared" si="8"/>
        <v>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127" t="s">
        <v>36</v>
      </c>
      <c r="B58" s="128"/>
      <c r="C58" s="128"/>
      <c r="D58" s="128"/>
      <c r="E58" s="129"/>
      <c r="F58" s="42">
        <f>F56-(F56*D4)</f>
        <v>0</v>
      </c>
      <c r="G58" s="43">
        <f>G56-(G56*D4)</f>
        <v>0</v>
      </c>
      <c r="H58" s="43">
        <f>H56-(H56*D4)</f>
        <v>0</v>
      </c>
      <c r="I58" s="43">
        <f>I56-(I56*D4)</f>
        <v>0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130" t="s">
        <v>37</v>
      </c>
      <c r="B60" s="128"/>
      <c r="C60" s="128"/>
      <c r="D60" s="128"/>
      <c r="E60" s="129"/>
      <c r="F60" s="45">
        <f>F54-F58-C4</f>
        <v>9056250</v>
      </c>
      <c r="G60" s="45">
        <f t="shared" ref="G60:AG60" si="9">(F60+(F60*G52))-G58</f>
        <v>9056250</v>
      </c>
      <c r="H60" s="46">
        <f t="shared" si="9"/>
        <v>9056250</v>
      </c>
      <c r="I60" s="46">
        <f t="shared" si="9"/>
        <v>9056250</v>
      </c>
      <c r="J60" s="45">
        <f t="shared" si="9"/>
        <v>9056250</v>
      </c>
      <c r="K60" s="45">
        <f t="shared" si="9"/>
        <v>9056250</v>
      </c>
      <c r="L60" s="45">
        <f t="shared" si="9"/>
        <v>9056250</v>
      </c>
      <c r="M60" s="45">
        <f t="shared" si="9"/>
        <v>9056250</v>
      </c>
      <c r="N60" s="45">
        <f t="shared" si="9"/>
        <v>9056250</v>
      </c>
      <c r="O60" s="45">
        <f t="shared" si="9"/>
        <v>9056250</v>
      </c>
      <c r="P60" s="45">
        <f t="shared" si="9"/>
        <v>9056250</v>
      </c>
      <c r="Q60" s="45">
        <f t="shared" si="9"/>
        <v>9056250</v>
      </c>
      <c r="R60" s="45">
        <f t="shared" si="9"/>
        <v>9056250</v>
      </c>
      <c r="S60" s="45">
        <f t="shared" si="9"/>
        <v>9056250</v>
      </c>
      <c r="T60" s="45">
        <f t="shared" si="9"/>
        <v>9056250</v>
      </c>
      <c r="U60" s="45">
        <f t="shared" si="9"/>
        <v>9056250</v>
      </c>
      <c r="V60" s="45">
        <f t="shared" si="9"/>
        <v>9056250</v>
      </c>
      <c r="W60" s="45">
        <f t="shared" si="9"/>
        <v>9056250</v>
      </c>
      <c r="X60" s="45">
        <f t="shared" si="9"/>
        <v>9056250</v>
      </c>
      <c r="Y60" s="45">
        <f t="shared" si="9"/>
        <v>9056250</v>
      </c>
      <c r="Z60" s="45">
        <f t="shared" si="9"/>
        <v>9056250</v>
      </c>
      <c r="AA60" s="45">
        <f t="shared" si="9"/>
        <v>9056250</v>
      </c>
      <c r="AB60" s="45">
        <f t="shared" si="9"/>
        <v>9056250</v>
      </c>
      <c r="AC60" s="45">
        <f t="shared" si="9"/>
        <v>9056250</v>
      </c>
      <c r="AD60" s="45">
        <f t="shared" si="9"/>
        <v>9056250</v>
      </c>
      <c r="AE60" s="45">
        <f t="shared" si="9"/>
        <v>9056250</v>
      </c>
      <c r="AF60" s="45">
        <f t="shared" si="9"/>
        <v>9056250</v>
      </c>
      <c r="AG60" s="45">
        <f t="shared" si="9"/>
        <v>9056250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/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6"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honeticPr fontId="29" type="noConversion"/>
  <printOptions horizontalCentered="1" verticalCentered="1" gridLines="1"/>
  <pageMargins left="0.25" right="0.25" top="0.75" bottom="0.75" header="0" footer="0"/>
  <pageSetup paperSize="8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70C0"/>
    <pageSetUpPr fitToPage="1"/>
  </sheetPr>
  <dimension ref="A1:AG1002"/>
  <sheetViews>
    <sheetView zoomScale="85" zoomScaleNormal="85" workbookViewId="0">
      <pane xSplit="3" topLeftCell="D1" activePane="topRight" state="frozen"/>
      <selection pane="topRight" activeCell="A2" sqref="A2:B2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5" width="10.7109375" customWidth="1"/>
  </cols>
  <sheetData>
    <row r="1" spans="1:33" ht="30" customHeight="1" x14ac:dyDescent="0.25">
      <c r="A1" s="1"/>
      <c r="B1" s="102" t="s">
        <v>97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23" t="s">
        <v>1</v>
      </c>
      <c r="B3" s="124"/>
      <c r="C3" s="5">
        <f>RESUMEN!D11</f>
        <v>9056250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21" t="s">
        <v>48</v>
      </c>
      <c r="G5" s="122"/>
      <c r="H5" s="121" t="s">
        <v>49</v>
      </c>
      <c r="I5" s="122"/>
      <c r="J5" s="121" t="s">
        <v>38</v>
      </c>
      <c r="K5" s="122"/>
      <c r="L5" s="121" t="s">
        <v>39</v>
      </c>
      <c r="M5" s="122"/>
      <c r="N5" s="121" t="s">
        <v>40</v>
      </c>
      <c r="O5" s="122"/>
      <c r="P5" s="121" t="s">
        <v>41</v>
      </c>
      <c r="Q5" s="122"/>
      <c r="R5" s="121" t="s">
        <v>42</v>
      </c>
      <c r="S5" s="122"/>
      <c r="T5" s="121" t="s">
        <v>43</v>
      </c>
      <c r="U5" s="122"/>
      <c r="V5" s="121" t="s">
        <v>44</v>
      </c>
      <c r="W5" s="122"/>
      <c r="X5" s="121" t="s">
        <v>45</v>
      </c>
      <c r="Y5" s="122"/>
      <c r="Z5" s="121" t="s">
        <v>46</v>
      </c>
      <c r="AA5" s="122"/>
      <c r="AB5" s="121" t="s">
        <v>47</v>
      </c>
      <c r="AC5" s="122"/>
      <c r="AD5" s="121" t="s">
        <v>48</v>
      </c>
      <c r="AE5" s="122"/>
      <c r="AF5" s="121" t="s">
        <v>49</v>
      </c>
      <c r="AG5" s="122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3" ht="16.5" thickBot="1" x14ac:dyDescent="0.3">
      <c r="A7" s="7">
        <v>1</v>
      </c>
      <c r="B7" s="7" t="s">
        <v>52</v>
      </c>
      <c r="C7" s="8">
        <f>SUM(C8:C12)</f>
        <v>0.25</v>
      </c>
      <c r="D7" s="56">
        <f>C7*C3</f>
        <v>2264062.5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</v>
      </c>
      <c r="F8" s="14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55</v>
      </c>
      <c r="C9" s="12">
        <v>0.05</v>
      </c>
      <c r="D9" s="12"/>
      <c r="E9" s="103">
        <f t="shared" ref="E9:E12" si="0"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57</v>
      </c>
      <c r="C10" s="12">
        <v>0.05</v>
      </c>
      <c r="D10" s="12"/>
      <c r="E10" s="103">
        <f t="shared" si="0"/>
        <v>0</v>
      </c>
      <c r="F10" s="20"/>
      <c r="G10" s="15"/>
      <c r="H10" s="20"/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59</v>
      </c>
      <c r="C11" s="12">
        <v>0.05</v>
      </c>
      <c r="D11" s="12"/>
      <c r="E11" s="103">
        <f t="shared" si="0"/>
        <v>0</v>
      </c>
      <c r="F11" s="20"/>
      <c r="G11" s="15"/>
      <c r="H11" s="20"/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61</v>
      </c>
      <c r="C12" s="12">
        <v>0.05</v>
      </c>
      <c r="D12" s="12"/>
      <c r="E12" s="103">
        <f t="shared" si="0"/>
        <v>0</v>
      </c>
      <c r="F12" s="20"/>
      <c r="G12" s="15"/>
      <c r="H12" s="20"/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2716875</v>
      </c>
      <c r="E14" s="2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53</v>
      </c>
      <c r="C15" s="12">
        <v>0.1</v>
      </c>
      <c r="D15" s="12"/>
      <c r="E15" s="103">
        <f t="shared" ref="E15:E19" si="1">SUM(F15:AG15)</f>
        <v>0</v>
      </c>
      <c r="F15" s="20"/>
      <c r="G15" s="15"/>
      <c r="H15" s="20"/>
      <c r="I15" s="21"/>
      <c r="J15" s="21"/>
      <c r="K15" s="15"/>
      <c r="L15" s="21"/>
      <c r="M15" s="17"/>
      <c r="N15" s="21"/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55</v>
      </c>
      <c r="C16" s="12">
        <v>0.05</v>
      </c>
      <c r="D16" s="12"/>
      <c r="E16" s="103">
        <f t="shared" si="1"/>
        <v>0</v>
      </c>
      <c r="F16" s="21"/>
      <c r="G16" s="15"/>
      <c r="H16" s="21"/>
      <c r="I16" s="20"/>
      <c r="J16" s="21"/>
      <c r="K16" s="17"/>
      <c r="L16" s="21"/>
      <c r="M16" s="15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3</v>
      </c>
      <c r="B17" s="11" t="s">
        <v>57</v>
      </c>
      <c r="C17" s="12">
        <v>0.05</v>
      </c>
      <c r="D17" s="12"/>
      <c r="E17" s="103">
        <f t="shared" si="1"/>
        <v>0</v>
      </c>
      <c r="F17" s="21"/>
      <c r="G17" s="17"/>
      <c r="H17" s="21"/>
      <c r="I17" s="20"/>
      <c r="J17" s="20"/>
      <c r="K17" s="17"/>
      <c r="L17" s="21"/>
      <c r="M17" s="17"/>
      <c r="N17" s="21"/>
      <c r="O17" s="17"/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4</v>
      </c>
      <c r="B18" s="11" t="s">
        <v>69</v>
      </c>
      <c r="C18" s="12">
        <v>0.05</v>
      </c>
      <c r="D18" s="12"/>
      <c r="E18" s="103">
        <f t="shared" si="1"/>
        <v>0</v>
      </c>
      <c r="F18" s="21"/>
      <c r="G18" s="17"/>
      <c r="H18" s="21"/>
      <c r="I18" s="21"/>
      <c r="J18" s="21"/>
      <c r="K18" s="17"/>
      <c r="L18" s="21"/>
      <c r="M18" s="15"/>
      <c r="N18" s="21"/>
      <c r="O18" s="17"/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5</v>
      </c>
      <c r="B19" s="11" t="s">
        <v>71</v>
      </c>
      <c r="C19" s="12">
        <v>0.05</v>
      </c>
      <c r="D19" s="12"/>
      <c r="E19" s="103">
        <f t="shared" si="1"/>
        <v>0</v>
      </c>
      <c r="F19" s="21"/>
      <c r="G19" s="17"/>
      <c r="H19" s="21"/>
      <c r="I19" s="21"/>
      <c r="J19" s="21"/>
      <c r="K19" s="15"/>
      <c r="L19" s="21"/>
      <c r="M19" s="17"/>
      <c r="N19" s="21"/>
      <c r="O19" s="15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/>
      <c r="B20" s="11"/>
      <c r="C20" s="12"/>
      <c r="D20" s="12"/>
      <c r="E20" s="1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905625</v>
      </c>
      <c r="E21" s="2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x14ac:dyDescent="0.25">
      <c r="A22" s="11">
        <v>1</v>
      </c>
      <c r="B22" s="11" t="s">
        <v>53</v>
      </c>
      <c r="C22" s="12">
        <v>0.02</v>
      </c>
      <c r="D22" s="12"/>
      <c r="E22" s="103">
        <f t="shared" ref="E22:E26" si="2">SUM(F22:AG22)</f>
        <v>0</v>
      </c>
      <c r="F22" s="20"/>
      <c r="G22" s="15"/>
      <c r="H22" s="20"/>
      <c r="I22" s="21"/>
      <c r="J22" s="21"/>
      <c r="K22" s="15"/>
      <c r="L22" s="21"/>
      <c r="M22" s="17"/>
      <c r="N22" s="21"/>
      <c r="O22" s="17"/>
      <c r="P22" s="21"/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x14ac:dyDescent="0.25">
      <c r="A23" s="11">
        <v>2</v>
      </c>
      <c r="B23" s="11" t="s">
        <v>55</v>
      </c>
      <c r="C23" s="12">
        <v>0.02</v>
      </c>
      <c r="D23" s="12"/>
      <c r="E23" s="103">
        <f t="shared" si="2"/>
        <v>0</v>
      </c>
      <c r="F23" s="21"/>
      <c r="G23" s="15"/>
      <c r="H23" s="21"/>
      <c r="I23" s="20"/>
      <c r="J23" s="21"/>
      <c r="K23" s="17"/>
      <c r="L23" s="21"/>
      <c r="M23" s="15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x14ac:dyDescent="0.25">
      <c r="A24" s="11">
        <v>3</v>
      </c>
      <c r="B24" s="11" t="s">
        <v>57</v>
      </c>
      <c r="C24" s="12">
        <v>0.02</v>
      </c>
      <c r="D24" s="12"/>
      <c r="E24" s="103">
        <f t="shared" si="2"/>
        <v>0</v>
      </c>
      <c r="F24" s="21"/>
      <c r="G24" s="17"/>
      <c r="H24" s="21"/>
      <c r="I24" s="20"/>
      <c r="J24" s="20"/>
      <c r="K24" s="17"/>
      <c r="L24" s="21"/>
      <c r="M24" s="17"/>
      <c r="N24" s="21"/>
      <c r="O24" s="17"/>
      <c r="P24" s="20"/>
      <c r="Q24" s="17"/>
      <c r="R24" s="20"/>
      <c r="S24" s="17"/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x14ac:dyDescent="0.25">
      <c r="A25" s="11">
        <v>4</v>
      </c>
      <c r="B25" s="11" t="s">
        <v>69</v>
      </c>
      <c r="C25" s="12">
        <v>0.02</v>
      </c>
      <c r="D25" s="12"/>
      <c r="E25" s="103">
        <f t="shared" si="2"/>
        <v>0</v>
      </c>
      <c r="F25" s="21"/>
      <c r="G25" s="17"/>
      <c r="H25" s="21"/>
      <c r="I25" s="21"/>
      <c r="J25" s="21"/>
      <c r="K25" s="17"/>
      <c r="L25" s="21"/>
      <c r="M25" s="15"/>
      <c r="N25" s="21"/>
      <c r="O25" s="17"/>
      <c r="P25" s="21"/>
      <c r="Q25" s="17"/>
      <c r="R25" s="21"/>
      <c r="S25" s="17"/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x14ac:dyDescent="0.25">
      <c r="A26" s="11">
        <v>5</v>
      </c>
      <c r="B26" s="11" t="s">
        <v>71</v>
      </c>
      <c r="C26" s="12">
        <v>0.02</v>
      </c>
      <c r="D26" s="12"/>
      <c r="E26" s="103">
        <f t="shared" si="2"/>
        <v>0</v>
      </c>
      <c r="F26" s="21"/>
      <c r="G26" s="17"/>
      <c r="H26" s="21"/>
      <c r="I26" s="21"/>
      <c r="J26" s="21"/>
      <c r="K26" s="15"/>
      <c r="L26" s="21"/>
      <c r="M26" s="17"/>
      <c r="N26" s="21"/>
      <c r="O26" s="15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/>
      <c r="B27" s="11"/>
      <c r="C27" s="12"/>
      <c r="D27" s="12"/>
      <c r="E27" s="1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7">
        <v>4</v>
      </c>
      <c r="B28" s="7" t="s">
        <v>51</v>
      </c>
      <c r="C28" s="8">
        <f>SUM(C29:C33)</f>
        <v>0.1</v>
      </c>
      <c r="D28" s="56">
        <f>C28*C3</f>
        <v>905625</v>
      </c>
      <c r="E28" s="2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.75" customHeight="1" x14ac:dyDescent="0.25">
      <c r="A29" s="11">
        <v>1</v>
      </c>
      <c r="B29" s="11" t="s">
        <v>53</v>
      </c>
      <c r="C29" s="12">
        <v>0.02</v>
      </c>
      <c r="D29" s="12"/>
      <c r="E29" s="103">
        <f t="shared" ref="E29:E33" si="3">SUM(F29:AG29)</f>
        <v>0</v>
      </c>
      <c r="F29" s="21"/>
      <c r="G29" s="17"/>
      <c r="H29" s="21"/>
      <c r="I29" s="21"/>
      <c r="J29" s="21"/>
      <c r="K29" s="17"/>
      <c r="L29" s="21"/>
      <c r="M29" s="15"/>
      <c r="N29" s="21"/>
      <c r="O29" s="17"/>
      <c r="P29" s="21"/>
      <c r="Q29" s="17"/>
      <c r="R29" s="21"/>
      <c r="S29" s="17"/>
      <c r="T29" s="21"/>
      <c r="U29" s="15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11">
        <v>2</v>
      </c>
      <c r="B30" s="11" t="s">
        <v>55</v>
      </c>
      <c r="C30" s="12">
        <v>0.02</v>
      </c>
      <c r="D30" s="12"/>
      <c r="E30" s="103">
        <f t="shared" si="3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5"/>
      <c r="P30" s="20"/>
      <c r="Q30" s="17"/>
      <c r="R30" s="20"/>
      <c r="S30" s="15"/>
      <c r="T30" s="20"/>
      <c r="U30" s="15"/>
      <c r="V30" s="20"/>
      <c r="W30" s="17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 ht="15.75" customHeight="1" x14ac:dyDescent="0.25">
      <c r="A31" s="11">
        <v>3</v>
      </c>
      <c r="B31" s="11" t="s">
        <v>57</v>
      </c>
      <c r="C31" s="12">
        <v>0.02</v>
      </c>
      <c r="D31" s="12"/>
      <c r="E31" s="103">
        <f t="shared" si="3"/>
        <v>0</v>
      </c>
      <c r="F31" s="21"/>
      <c r="G31" s="17"/>
      <c r="H31" s="21"/>
      <c r="I31" s="21"/>
      <c r="J31" s="21"/>
      <c r="K31" s="17"/>
      <c r="L31" s="21"/>
      <c r="M31" s="17"/>
      <c r="N31" s="21"/>
      <c r="O31" s="15"/>
      <c r="P31" s="20"/>
      <c r="Q31" s="17"/>
      <c r="R31" s="20"/>
      <c r="S31" s="17"/>
      <c r="T31" s="20"/>
      <c r="U31" s="15"/>
      <c r="V31" s="20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4</v>
      </c>
      <c r="B32" s="11" t="s">
        <v>69</v>
      </c>
      <c r="C32" s="12">
        <v>0.02</v>
      </c>
      <c r="D32" s="12"/>
      <c r="E32" s="103">
        <f t="shared" si="3"/>
        <v>0</v>
      </c>
      <c r="F32" s="21"/>
      <c r="G32" s="17"/>
      <c r="H32" s="21"/>
      <c r="I32" s="21"/>
      <c r="J32" s="21"/>
      <c r="K32" s="17"/>
      <c r="L32" s="21"/>
      <c r="M32" s="17"/>
      <c r="N32" s="21"/>
      <c r="O32" s="17"/>
      <c r="P32" s="20"/>
      <c r="Q32" s="17"/>
      <c r="R32" s="20"/>
      <c r="S32" s="17"/>
      <c r="T32" s="20"/>
      <c r="U32" s="17"/>
      <c r="V32" s="20"/>
      <c r="W32" s="15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0.02</v>
      </c>
      <c r="D33" s="12"/>
      <c r="E33" s="103">
        <f t="shared" si="3"/>
        <v>0</v>
      </c>
      <c r="F33" s="21"/>
      <c r="G33" s="17"/>
      <c r="H33" s="21"/>
      <c r="I33" s="21"/>
      <c r="J33" s="21"/>
      <c r="K33" s="17"/>
      <c r="L33" s="21"/>
      <c r="M33" s="17"/>
      <c r="N33" s="21"/>
      <c r="O33" s="17"/>
      <c r="P33" s="21"/>
      <c r="Q33" s="17"/>
      <c r="R33" s="21"/>
      <c r="S33" s="17"/>
      <c r="T33" s="21"/>
      <c r="U33" s="17"/>
      <c r="V33" s="20"/>
      <c r="W33" s="15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724500</v>
      </c>
      <c r="E35" s="2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>SUM(F36:AG36)</f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5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x14ac:dyDescent="0.25">
      <c r="A38" s="7">
        <v>6</v>
      </c>
      <c r="B38" s="7" t="s">
        <v>31</v>
      </c>
      <c r="C38" s="8">
        <f>SUM(C39:C43)</f>
        <v>0.1</v>
      </c>
      <c r="D38" s="56">
        <f>C38*C3</f>
        <v>905625</v>
      </c>
      <c r="E38" s="2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0.02</v>
      </c>
      <c r="D39" s="12"/>
      <c r="E39" s="103">
        <f t="shared" ref="E39:E43" si="4">SUM(F39:AG39)</f>
        <v>0</v>
      </c>
      <c r="F39" s="21"/>
      <c r="G39" s="17"/>
      <c r="H39" s="21"/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17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0.02</v>
      </c>
      <c r="D40" s="12"/>
      <c r="E40" s="103">
        <f t="shared" si="4"/>
        <v>0</v>
      </c>
      <c r="F40" s="21"/>
      <c r="G40" s="17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0.02</v>
      </c>
      <c r="D41" s="12"/>
      <c r="E41" s="103">
        <f t="shared" si="4"/>
        <v>0</v>
      </c>
      <c r="F41" s="21"/>
      <c r="G41" s="17"/>
      <c r="H41" s="21"/>
      <c r="I41" s="21"/>
      <c r="J41" s="21"/>
      <c r="K41" s="17"/>
      <c r="L41" s="21"/>
      <c r="M41" s="17"/>
      <c r="N41" s="21"/>
      <c r="O41" s="17"/>
      <c r="P41" s="21"/>
      <c r="Q41" s="17"/>
      <c r="R41" s="21"/>
      <c r="S41" s="17"/>
      <c r="T41" s="21"/>
      <c r="U41" s="17"/>
      <c r="V41" s="21"/>
      <c r="W41" s="30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0.02</v>
      </c>
      <c r="D42" s="12"/>
      <c r="E42" s="103">
        <f t="shared" si="4"/>
        <v>0</v>
      </c>
      <c r="F42" s="21"/>
      <c r="G42" s="17"/>
      <c r="H42" s="21"/>
      <c r="I42" s="21"/>
      <c r="J42" s="21"/>
      <c r="K42" s="17"/>
      <c r="L42" s="21"/>
      <c r="M42" s="17"/>
      <c r="N42" s="21"/>
      <c r="O42" s="17"/>
      <c r="P42" s="21"/>
      <c r="Q42" s="17"/>
      <c r="R42" s="21"/>
      <c r="S42" s="17"/>
      <c r="T42" s="21"/>
      <c r="U42" s="17"/>
      <c r="V42" s="21"/>
      <c r="W42" s="30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0.02</v>
      </c>
      <c r="D43" s="12"/>
      <c r="E43" s="103">
        <f t="shared" si="4"/>
        <v>0</v>
      </c>
      <c r="F43" s="21"/>
      <c r="G43" s="17"/>
      <c r="H43" s="21"/>
      <c r="I43" s="21"/>
      <c r="J43" s="21"/>
      <c r="K43" s="17"/>
      <c r="L43" s="21"/>
      <c r="M43" s="17"/>
      <c r="N43" s="21"/>
      <c r="O43" s="17"/>
      <c r="P43" s="21"/>
      <c r="Q43" s="17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C44" s="22"/>
      <c r="D44" s="22"/>
      <c r="E44" s="13"/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7.0000000000000007E-2</v>
      </c>
      <c r="D45" s="56">
        <f>C45*C3</f>
        <v>633937.50000000012</v>
      </c>
      <c r="E45" s="2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0.02</v>
      </c>
      <c r="D46" s="12"/>
      <c r="E46" s="103">
        <f t="shared" ref="E46:E48" si="5">SUM(F46:AG46)</f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0.02</v>
      </c>
      <c r="D47" s="12"/>
      <c r="E47" s="103">
        <f t="shared" si="5"/>
        <v>0</v>
      </c>
      <c r="F47" s="21"/>
      <c r="G47" s="17"/>
      <c r="H47" s="21"/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5"/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0.03</v>
      </c>
      <c r="D48" s="12"/>
      <c r="E48" s="103">
        <f t="shared" si="5"/>
        <v>0</v>
      </c>
      <c r="F48" s="21"/>
      <c r="G48" s="17"/>
      <c r="H48" s="21"/>
      <c r="I48" s="21"/>
      <c r="J48" s="21"/>
      <c r="K48" s="17"/>
      <c r="L48" s="21"/>
      <c r="M48" s="17"/>
      <c r="N48" s="21"/>
      <c r="O48" s="17"/>
      <c r="P48" s="21"/>
      <c r="Q48" s="17"/>
      <c r="R48" s="21"/>
      <c r="S48" s="17"/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5.75" customHeight="1" thickBot="1" x14ac:dyDescent="0.3">
      <c r="A49" s="11"/>
      <c r="B49" s="11"/>
      <c r="C49" s="12"/>
      <c r="D49" s="12"/>
      <c r="E49" s="1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5.75" customHeight="1" thickBot="1" x14ac:dyDescent="0.35">
      <c r="A50" s="32"/>
      <c r="B50" s="33" t="s">
        <v>32</v>
      </c>
      <c r="C50" s="34">
        <f>SUM(C7+C14+C21+C28+C35+C38+C45)</f>
        <v>1</v>
      </c>
      <c r="D50" s="34"/>
      <c r="E50" s="35">
        <f>SUM(F50:AG50)</f>
        <v>0</v>
      </c>
      <c r="F50" s="62">
        <f t="shared" ref="F50:AG50" si="6">SUM(F8:F49)</f>
        <v>0</v>
      </c>
      <c r="G50" s="62">
        <f t="shared" si="6"/>
        <v>0</v>
      </c>
      <c r="H50" s="62">
        <f t="shared" si="6"/>
        <v>0</v>
      </c>
      <c r="I50" s="62">
        <f t="shared" si="6"/>
        <v>0</v>
      </c>
      <c r="J50" s="62">
        <f t="shared" si="6"/>
        <v>0</v>
      </c>
      <c r="K50" s="62">
        <f t="shared" si="6"/>
        <v>0</v>
      </c>
      <c r="L50" s="62">
        <f t="shared" si="6"/>
        <v>0</v>
      </c>
      <c r="M50" s="62">
        <f t="shared" si="6"/>
        <v>0</v>
      </c>
      <c r="N50" s="62">
        <f t="shared" si="6"/>
        <v>0</v>
      </c>
      <c r="O50" s="62">
        <f t="shared" si="6"/>
        <v>0</v>
      </c>
      <c r="P50" s="62">
        <f t="shared" si="6"/>
        <v>0</v>
      </c>
      <c r="Q50" s="62">
        <f t="shared" si="6"/>
        <v>0</v>
      </c>
      <c r="R50" s="62">
        <f t="shared" si="6"/>
        <v>0</v>
      </c>
      <c r="S50" s="62">
        <f t="shared" si="6"/>
        <v>0</v>
      </c>
      <c r="T50" s="62">
        <f t="shared" si="6"/>
        <v>0</v>
      </c>
      <c r="U50" s="62">
        <f t="shared" si="6"/>
        <v>0</v>
      </c>
      <c r="V50" s="62">
        <f t="shared" si="6"/>
        <v>0</v>
      </c>
      <c r="W50" s="62">
        <f t="shared" si="6"/>
        <v>0</v>
      </c>
      <c r="X50" s="62">
        <f t="shared" si="6"/>
        <v>0</v>
      </c>
      <c r="Y50" s="62">
        <f t="shared" si="6"/>
        <v>0</v>
      </c>
      <c r="Z50" s="62">
        <f t="shared" si="6"/>
        <v>0</v>
      </c>
      <c r="AA50" s="62">
        <f t="shared" si="6"/>
        <v>0</v>
      </c>
      <c r="AB50" s="62">
        <f t="shared" si="6"/>
        <v>0</v>
      </c>
      <c r="AC50" s="62">
        <f t="shared" si="6"/>
        <v>0</v>
      </c>
      <c r="AD50" s="62">
        <f t="shared" si="6"/>
        <v>0</v>
      </c>
      <c r="AE50" s="62">
        <f t="shared" si="6"/>
        <v>0</v>
      </c>
      <c r="AF50" s="62">
        <f t="shared" si="6"/>
        <v>0</v>
      </c>
      <c r="AG50" s="62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31" t="s">
        <v>34</v>
      </c>
      <c r="B54" s="128"/>
      <c r="C54" s="128"/>
      <c r="D54" s="128"/>
      <c r="E54" s="129"/>
      <c r="F54" s="40">
        <f>C3+(C3*F52)</f>
        <v>9056250</v>
      </c>
      <c r="G54" s="40">
        <f t="shared" ref="G54:AG54" si="7">F54+(F54*G52)</f>
        <v>9056250</v>
      </c>
      <c r="H54" s="40">
        <f t="shared" si="7"/>
        <v>9056250</v>
      </c>
      <c r="I54" s="40">
        <f t="shared" si="7"/>
        <v>9056250</v>
      </c>
      <c r="J54" s="40">
        <f t="shared" si="7"/>
        <v>9056250</v>
      </c>
      <c r="K54" s="40">
        <f t="shared" si="7"/>
        <v>9056250</v>
      </c>
      <c r="L54" s="40">
        <f t="shared" si="7"/>
        <v>9056250</v>
      </c>
      <c r="M54" s="40">
        <f t="shared" si="7"/>
        <v>9056250</v>
      </c>
      <c r="N54" s="40">
        <f t="shared" si="7"/>
        <v>9056250</v>
      </c>
      <c r="O54" s="40">
        <f t="shared" si="7"/>
        <v>9056250</v>
      </c>
      <c r="P54" s="40">
        <f t="shared" si="7"/>
        <v>9056250</v>
      </c>
      <c r="Q54" s="40">
        <f t="shared" si="7"/>
        <v>9056250</v>
      </c>
      <c r="R54" s="40">
        <f t="shared" si="7"/>
        <v>9056250</v>
      </c>
      <c r="S54" s="40">
        <f t="shared" si="7"/>
        <v>9056250</v>
      </c>
      <c r="T54" s="40">
        <f t="shared" si="7"/>
        <v>9056250</v>
      </c>
      <c r="U54" s="40">
        <f t="shared" si="7"/>
        <v>9056250</v>
      </c>
      <c r="V54" s="40">
        <f t="shared" si="7"/>
        <v>9056250</v>
      </c>
      <c r="W54" s="40">
        <f t="shared" si="7"/>
        <v>9056250</v>
      </c>
      <c r="X54" s="40">
        <f t="shared" si="7"/>
        <v>9056250</v>
      </c>
      <c r="Y54" s="40">
        <f t="shared" si="7"/>
        <v>9056250</v>
      </c>
      <c r="Z54" s="40">
        <f t="shared" si="7"/>
        <v>9056250</v>
      </c>
      <c r="AA54" s="40">
        <f t="shared" si="7"/>
        <v>9056250</v>
      </c>
      <c r="AB54" s="40">
        <f t="shared" si="7"/>
        <v>9056250</v>
      </c>
      <c r="AC54" s="40">
        <f t="shared" si="7"/>
        <v>9056250</v>
      </c>
      <c r="AD54" s="40">
        <f t="shared" si="7"/>
        <v>9056250</v>
      </c>
      <c r="AE54" s="40">
        <f t="shared" si="7"/>
        <v>9056250</v>
      </c>
      <c r="AF54" s="40">
        <f t="shared" si="7"/>
        <v>9056250</v>
      </c>
      <c r="AG54" s="40">
        <f t="shared" si="7"/>
        <v>9056250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32" t="s">
        <v>35</v>
      </c>
      <c r="B56" s="128"/>
      <c r="C56" s="128"/>
      <c r="D56" s="128"/>
      <c r="E56" s="129"/>
      <c r="F56" s="41">
        <f t="shared" ref="F56:AG56" si="8">F50*F54</f>
        <v>0</v>
      </c>
      <c r="G56" s="41">
        <f t="shared" si="8"/>
        <v>0</v>
      </c>
      <c r="H56" s="41">
        <f t="shared" si="8"/>
        <v>0</v>
      </c>
      <c r="I56" s="41">
        <f t="shared" si="8"/>
        <v>0</v>
      </c>
      <c r="J56" s="41">
        <f t="shared" si="8"/>
        <v>0</v>
      </c>
      <c r="K56" s="41">
        <f t="shared" si="8"/>
        <v>0</v>
      </c>
      <c r="L56" s="41">
        <f t="shared" si="8"/>
        <v>0</v>
      </c>
      <c r="M56" s="41">
        <f t="shared" si="8"/>
        <v>0</v>
      </c>
      <c r="N56" s="41">
        <f t="shared" si="8"/>
        <v>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127" t="s">
        <v>36</v>
      </c>
      <c r="B58" s="128"/>
      <c r="C58" s="128"/>
      <c r="D58" s="128"/>
      <c r="E58" s="129"/>
      <c r="F58" s="42">
        <f>F56-(F56*D4)</f>
        <v>0</v>
      </c>
      <c r="G58" s="43">
        <f>G56-(G56*D4)</f>
        <v>0</v>
      </c>
      <c r="H58" s="43">
        <f>H56-(H56*D4)</f>
        <v>0</v>
      </c>
      <c r="I58" s="43">
        <f>I56-(I56*D4)</f>
        <v>0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130" t="s">
        <v>37</v>
      </c>
      <c r="B60" s="128"/>
      <c r="C60" s="128"/>
      <c r="D60" s="128"/>
      <c r="E60" s="129"/>
      <c r="F60" s="45">
        <f>F54-F58-C4</f>
        <v>9056250</v>
      </c>
      <c r="G60" s="45">
        <f t="shared" ref="G60:AG60" si="9">(F60+(F60*G52))-G58</f>
        <v>9056250</v>
      </c>
      <c r="H60" s="46">
        <f t="shared" si="9"/>
        <v>9056250</v>
      </c>
      <c r="I60" s="46">
        <f t="shared" si="9"/>
        <v>9056250</v>
      </c>
      <c r="J60" s="45">
        <f t="shared" si="9"/>
        <v>9056250</v>
      </c>
      <c r="K60" s="45">
        <f t="shared" si="9"/>
        <v>9056250</v>
      </c>
      <c r="L60" s="45">
        <f t="shared" si="9"/>
        <v>9056250</v>
      </c>
      <c r="M60" s="45">
        <f t="shared" si="9"/>
        <v>9056250</v>
      </c>
      <c r="N60" s="45">
        <f t="shared" si="9"/>
        <v>9056250</v>
      </c>
      <c r="O60" s="45">
        <f t="shared" si="9"/>
        <v>9056250</v>
      </c>
      <c r="P60" s="45">
        <f t="shared" si="9"/>
        <v>9056250</v>
      </c>
      <c r="Q60" s="45">
        <f t="shared" si="9"/>
        <v>9056250</v>
      </c>
      <c r="R60" s="45">
        <f t="shared" si="9"/>
        <v>9056250</v>
      </c>
      <c r="S60" s="45">
        <f t="shared" si="9"/>
        <v>9056250</v>
      </c>
      <c r="T60" s="45">
        <f t="shared" si="9"/>
        <v>9056250</v>
      </c>
      <c r="U60" s="45">
        <f t="shared" si="9"/>
        <v>9056250</v>
      </c>
      <c r="V60" s="45">
        <f t="shared" si="9"/>
        <v>9056250</v>
      </c>
      <c r="W60" s="45">
        <f t="shared" si="9"/>
        <v>9056250</v>
      </c>
      <c r="X60" s="45">
        <f t="shared" si="9"/>
        <v>9056250</v>
      </c>
      <c r="Y60" s="45">
        <f t="shared" si="9"/>
        <v>9056250</v>
      </c>
      <c r="Z60" s="45">
        <f t="shared" si="9"/>
        <v>9056250</v>
      </c>
      <c r="AA60" s="45">
        <f t="shared" si="9"/>
        <v>9056250</v>
      </c>
      <c r="AB60" s="45">
        <f t="shared" si="9"/>
        <v>9056250</v>
      </c>
      <c r="AC60" s="45">
        <f t="shared" si="9"/>
        <v>9056250</v>
      </c>
      <c r="AD60" s="45">
        <f t="shared" si="9"/>
        <v>9056250</v>
      </c>
      <c r="AE60" s="45">
        <f t="shared" si="9"/>
        <v>9056250</v>
      </c>
      <c r="AF60" s="45">
        <f t="shared" si="9"/>
        <v>9056250</v>
      </c>
      <c r="AG60" s="45">
        <f t="shared" si="9"/>
        <v>9056250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/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6"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honeticPr fontId="29" type="noConversion"/>
  <printOptions horizontalCentered="1" verticalCentered="1" gridLines="1"/>
  <pageMargins left="0.25" right="0.25" top="0.75" bottom="0.75" header="0" footer="0"/>
  <pageSetup paperSize="8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70C0"/>
    <pageSetUpPr fitToPage="1"/>
  </sheetPr>
  <dimension ref="A1:AG1002"/>
  <sheetViews>
    <sheetView zoomScale="85" zoomScaleNormal="85" workbookViewId="0">
      <pane xSplit="3" topLeftCell="D1" activePane="topRight" state="frozen"/>
      <selection pane="topRight" activeCell="A2" sqref="A2:B2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36.5703125" customWidth="1"/>
    <col min="3" max="4" width="16.85546875" customWidth="1"/>
    <col min="5" max="5" width="13" customWidth="1"/>
    <col min="6" max="6" width="18.7109375" customWidth="1"/>
    <col min="7" max="8" width="18.28515625" customWidth="1"/>
    <col min="9" max="10" width="20.28515625" customWidth="1"/>
    <col min="11" max="15" width="18.7109375" customWidth="1"/>
    <col min="16" max="16" width="18.5703125" customWidth="1"/>
    <col min="17" max="17" width="18.7109375" customWidth="1"/>
    <col min="18" max="18" width="16.5703125" customWidth="1"/>
    <col min="19" max="22" width="18.7109375" customWidth="1"/>
    <col min="23" max="23" width="18.5703125" customWidth="1"/>
    <col min="24" max="33" width="18.7109375" customWidth="1"/>
    <col min="34" max="35" width="10.7109375" customWidth="1"/>
  </cols>
  <sheetData>
    <row r="1" spans="1:33" ht="30" customHeight="1" x14ac:dyDescent="0.25">
      <c r="A1" s="1"/>
      <c r="B1" s="102" t="s">
        <v>98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23" t="s">
        <v>0</v>
      </c>
      <c r="B2" s="124"/>
      <c r="C2" s="3">
        <v>46113</v>
      </c>
      <c r="D2" s="3"/>
      <c r="E2" s="2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33" x14ac:dyDescent="0.25">
      <c r="A3" s="123" t="s">
        <v>1</v>
      </c>
      <c r="B3" s="124"/>
      <c r="C3" s="5">
        <f>RESUMEN!D11</f>
        <v>9056250</v>
      </c>
      <c r="D3" s="5"/>
      <c r="E3" s="2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33" x14ac:dyDescent="0.25">
      <c r="A4" s="123" t="s">
        <v>2</v>
      </c>
      <c r="B4" s="124"/>
      <c r="C4" s="5"/>
      <c r="D4" s="55">
        <f>C4/C3</f>
        <v>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33" x14ac:dyDescent="0.25">
      <c r="A5" s="6"/>
      <c r="B5" s="6"/>
      <c r="C5" s="6"/>
      <c r="D5" s="6"/>
      <c r="E5" s="6"/>
      <c r="F5" s="121" t="s">
        <v>48</v>
      </c>
      <c r="G5" s="122"/>
      <c r="H5" s="121" t="s">
        <v>49</v>
      </c>
      <c r="I5" s="122"/>
      <c r="J5" s="121" t="s">
        <v>38</v>
      </c>
      <c r="K5" s="122"/>
      <c r="L5" s="121" t="s">
        <v>39</v>
      </c>
      <c r="M5" s="122"/>
      <c r="N5" s="121" t="s">
        <v>40</v>
      </c>
      <c r="O5" s="122"/>
      <c r="P5" s="121" t="s">
        <v>41</v>
      </c>
      <c r="Q5" s="122"/>
      <c r="R5" s="121" t="s">
        <v>42</v>
      </c>
      <c r="S5" s="122"/>
      <c r="T5" s="121" t="s">
        <v>43</v>
      </c>
      <c r="U5" s="122"/>
      <c r="V5" s="121" t="s">
        <v>44</v>
      </c>
      <c r="W5" s="122"/>
      <c r="X5" s="121" t="s">
        <v>45</v>
      </c>
      <c r="Y5" s="122"/>
      <c r="Z5" s="121" t="s">
        <v>46</v>
      </c>
      <c r="AA5" s="122"/>
      <c r="AB5" s="121" t="s">
        <v>47</v>
      </c>
      <c r="AC5" s="122"/>
      <c r="AD5" s="121" t="s">
        <v>48</v>
      </c>
      <c r="AE5" s="122"/>
      <c r="AF5" s="121" t="s">
        <v>49</v>
      </c>
      <c r="AG5" s="122"/>
    </row>
    <row r="6" spans="1:33" ht="16.5" thickBot="1" x14ac:dyDescent="0.3">
      <c r="A6" s="2" t="s">
        <v>3</v>
      </c>
      <c r="B6" s="2" t="s">
        <v>4</v>
      </c>
      <c r="C6" s="2" t="s">
        <v>5</v>
      </c>
      <c r="D6" s="2" t="s">
        <v>50</v>
      </c>
      <c r="E6" s="2" t="s">
        <v>6</v>
      </c>
      <c r="F6" s="125" t="s">
        <v>7</v>
      </c>
      <c r="G6" s="126"/>
      <c r="H6" s="125" t="s">
        <v>8</v>
      </c>
      <c r="I6" s="126"/>
      <c r="J6" s="125" t="s">
        <v>9</v>
      </c>
      <c r="K6" s="126"/>
      <c r="L6" s="125" t="s">
        <v>10</v>
      </c>
      <c r="M6" s="126"/>
      <c r="N6" s="125" t="s">
        <v>11</v>
      </c>
      <c r="O6" s="126"/>
      <c r="P6" s="125" t="s">
        <v>12</v>
      </c>
      <c r="Q6" s="126"/>
      <c r="R6" s="125" t="s">
        <v>13</v>
      </c>
      <c r="S6" s="126"/>
      <c r="T6" s="125" t="s">
        <v>14</v>
      </c>
      <c r="U6" s="126"/>
      <c r="V6" s="125" t="s">
        <v>15</v>
      </c>
      <c r="W6" s="126"/>
      <c r="X6" s="125" t="s">
        <v>16</v>
      </c>
      <c r="Y6" s="126"/>
      <c r="Z6" s="125" t="s">
        <v>17</v>
      </c>
      <c r="AA6" s="126"/>
      <c r="AB6" s="125" t="s">
        <v>18</v>
      </c>
      <c r="AC6" s="126"/>
      <c r="AD6" s="125" t="s">
        <v>19</v>
      </c>
      <c r="AE6" s="126"/>
      <c r="AF6" s="125" t="s">
        <v>20</v>
      </c>
      <c r="AG6" s="126"/>
    </row>
    <row r="7" spans="1:33" ht="16.5" thickBot="1" x14ac:dyDescent="0.3">
      <c r="A7" s="7">
        <v>1</v>
      </c>
      <c r="B7" s="7" t="s">
        <v>52</v>
      </c>
      <c r="C7" s="8">
        <f>SUM(C8:C12)</f>
        <v>0.25</v>
      </c>
      <c r="D7" s="56">
        <f>C7*C3</f>
        <v>2264062.5</v>
      </c>
      <c r="E7" s="9"/>
      <c r="F7" s="10" t="s">
        <v>21</v>
      </c>
      <c r="G7" s="10" t="s">
        <v>22</v>
      </c>
      <c r="H7" s="10" t="s">
        <v>21</v>
      </c>
      <c r="I7" s="10" t="s">
        <v>22</v>
      </c>
      <c r="J7" s="10" t="s">
        <v>21</v>
      </c>
      <c r="K7" s="10" t="s">
        <v>22</v>
      </c>
      <c r="L7" s="10" t="s">
        <v>21</v>
      </c>
      <c r="M7" s="10" t="s">
        <v>22</v>
      </c>
      <c r="N7" s="10" t="s">
        <v>21</v>
      </c>
      <c r="O7" s="10" t="s">
        <v>22</v>
      </c>
      <c r="P7" s="10" t="s">
        <v>21</v>
      </c>
      <c r="Q7" s="10" t="s">
        <v>22</v>
      </c>
      <c r="R7" s="10" t="s">
        <v>21</v>
      </c>
      <c r="S7" s="10" t="s">
        <v>22</v>
      </c>
      <c r="T7" s="10" t="s">
        <v>21</v>
      </c>
      <c r="U7" s="10" t="s">
        <v>22</v>
      </c>
      <c r="V7" s="10" t="s">
        <v>21</v>
      </c>
      <c r="W7" s="10" t="s">
        <v>22</v>
      </c>
      <c r="X7" s="10" t="s">
        <v>21</v>
      </c>
      <c r="Y7" s="10" t="s">
        <v>22</v>
      </c>
      <c r="Z7" s="10" t="s">
        <v>23</v>
      </c>
      <c r="AA7" s="10" t="s">
        <v>24</v>
      </c>
      <c r="AB7" s="10" t="s">
        <v>25</v>
      </c>
      <c r="AC7" s="10" t="s">
        <v>26</v>
      </c>
      <c r="AD7" s="10" t="s">
        <v>27</v>
      </c>
      <c r="AE7" s="10" t="s">
        <v>28</v>
      </c>
      <c r="AF7" s="10" t="s">
        <v>29</v>
      </c>
      <c r="AG7" s="10" t="s">
        <v>30</v>
      </c>
    </row>
    <row r="8" spans="1:33" x14ac:dyDescent="0.25">
      <c r="A8" s="11">
        <v>1</v>
      </c>
      <c r="B8" s="11" t="s">
        <v>53</v>
      </c>
      <c r="C8" s="12">
        <v>0.05</v>
      </c>
      <c r="D8" s="12"/>
      <c r="E8" s="103">
        <f>SUM(F8:AG8)</f>
        <v>0</v>
      </c>
      <c r="F8" s="14"/>
      <c r="G8" s="15"/>
      <c r="H8" s="14"/>
      <c r="I8" s="16"/>
      <c r="J8" s="16"/>
      <c r="K8" s="17"/>
      <c r="L8" s="16"/>
      <c r="M8" s="17"/>
      <c r="N8" s="16"/>
      <c r="O8" s="17"/>
      <c r="P8" s="16"/>
      <c r="Q8" s="17"/>
      <c r="R8" s="16"/>
      <c r="S8" s="17"/>
      <c r="T8" s="16"/>
      <c r="U8" s="17"/>
      <c r="V8" s="16"/>
      <c r="W8" s="17"/>
      <c r="X8" s="18"/>
      <c r="Y8" s="19"/>
      <c r="Z8" s="18"/>
      <c r="AA8" s="19"/>
      <c r="AB8" s="18"/>
      <c r="AC8" s="19"/>
      <c r="AD8" s="18"/>
      <c r="AE8" s="19"/>
      <c r="AF8" s="18"/>
      <c r="AG8" s="19"/>
    </row>
    <row r="9" spans="1:33" x14ac:dyDescent="0.25">
      <c r="A9" s="11">
        <v>2</v>
      </c>
      <c r="B9" s="11" t="s">
        <v>55</v>
      </c>
      <c r="C9" s="12">
        <v>0.05</v>
      </c>
      <c r="D9" s="12"/>
      <c r="E9" s="103">
        <f t="shared" ref="E9:E12" si="0">SUM(F9:AG9)</f>
        <v>0</v>
      </c>
      <c r="F9" s="20"/>
      <c r="G9" s="15"/>
      <c r="H9" s="20"/>
      <c r="I9" s="21"/>
      <c r="J9" s="21"/>
      <c r="K9" s="17"/>
      <c r="L9" s="21"/>
      <c r="M9" s="17"/>
      <c r="N9" s="21"/>
      <c r="O9" s="17"/>
      <c r="P9" s="21"/>
      <c r="Q9" s="17"/>
      <c r="R9" s="21"/>
      <c r="S9" s="17"/>
      <c r="T9" s="21"/>
      <c r="U9" s="17"/>
      <c r="V9" s="21"/>
      <c r="W9" s="17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x14ac:dyDescent="0.25">
      <c r="A10" s="11">
        <v>3</v>
      </c>
      <c r="B10" s="11" t="s">
        <v>57</v>
      </c>
      <c r="C10" s="12">
        <v>0.05</v>
      </c>
      <c r="D10" s="12"/>
      <c r="E10" s="103">
        <f t="shared" si="0"/>
        <v>0</v>
      </c>
      <c r="F10" s="20"/>
      <c r="G10" s="15"/>
      <c r="H10" s="20"/>
      <c r="I10" s="20"/>
      <c r="J10" s="21"/>
      <c r="K10" s="17"/>
      <c r="L10" s="21"/>
      <c r="M10" s="17"/>
      <c r="N10" s="21"/>
      <c r="O10" s="17"/>
      <c r="P10" s="21"/>
      <c r="Q10" s="17"/>
      <c r="R10" s="21"/>
      <c r="S10" s="17"/>
      <c r="T10" s="21"/>
      <c r="U10" s="17"/>
      <c r="V10" s="21"/>
      <c r="W10" s="17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x14ac:dyDescent="0.25">
      <c r="A11" s="11">
        <v>4</v>
      </c>
      <c r="B11" s="11" t="s">
        <v>59</v>
      </c>
      <c r="C11" s="12">
        <v>0.05</v>
      </c>
      <c r="D11" s="12"/>
      <c r="E11" s="103">
        <f t="shared" si="0"/>
        <v>0</v>
      </c>
      <c r="F11" s="20"/>
      <c r="G11" s="15"/>
      <c r="H11" s="20"/>
      <c r="I11" s="20"/>
      <c r="J11" s="21"/>
      <c r="K11" s="17"/>
      <c r="L11" s="21"/>
      <c r="M11" s="17"/>
      <c r="N11" s="21"/>
      <c r="O11" s="17"/>
      <c r="P11" s="21"/>
      <c r="Q11" s="17"/>
      <c r="R11" s="21"/>
      <c r="S11" s="17"/>
      <c r="T11" s="21"/>
      <c r="U11" s="17"/>
      <c r="V11" s="21"/>
      <c r="W11" s="17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x14ac:dyDescent="0.25">
      <c r="A12" s="11">
        <v>5</v>
      </c>
      <c r="B12" s="11" t="s">
        <v>61</v>
      </c>
      <c r="C12" s="12">
        <v>0.05</v>
      </c>
      <c r="D12" s="12"/>
      <c r="E12" s="103">
        <f t="shared" si="0"/>
        <v>0</v>
      </c>
      <c r="F12" s="20"/>
      <c r="G12" s="15"/>
      <c r="H12" s="20"/>
      <c r="I12" s="20"/>
      <c r="J12" s="21"/>
      <c r="K12" s="17"/>
      <c r="L12" s="21"/>
      <c r="M12" s="17"/>
      <c r="N12" s="21"/>
      <c r="O12" s="17"/>
      <c r="P12" s="21"/>
      <c r="Q12" s="17"/>
      <c r="R12" s="21"/>
      <c r="S12" s="17"/>
      <c r="T12" s="21"/>
      <c r="U12" s="17"/>
      <c r="V12" s="21"/>
      <c r="W12" s="17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x14ac:dyDescent="0.25">
      <c r="C13" s="22"/>
      <c r="D13" s="22"/>
      <c r="E13" s="13"/>
      <c r="F13" s="21"/>
      <c r="G13" s="23"/>
      <c r="H13" s="21"/>
      <c r="I13" s="21"/>
      <c r="J13" s="21"/>
      <c r="K13" s="17"/>
      <c r="L13" s="21"/>
      <c r="M13" s="17"/>
      <c r="N13" s="21"/>
      <c r="O13" s="17"/>
      <c r="P13" s="21"/>
      <c r="Q13" s="17"/>
      <c r="R13" s="21"/>
      <c r="S13" s="17"/>
      <c r="T13" s="21"/>
      <c r="U13" s="17"/>
      <c r="V13" s="21"/>
      <c r="W13" s="17"/>
      <c r="X13" s="19"/>
      <c r="Y13" s="19"/>
      <c r="Z13" s="19"/>
      <c r="AA13" s="19"/>
      <c r="AB13" s="19"/>
      <c r="AC13" s="19"/>
      <c r="AD13" s="19"/>
      <c r="AE13" s="19"/>
      <c r="AF13" s="19"/>
      <c r="AG13" s="19"/>
    </row>
    <row r="14" spans="1:33" ht="15.75" x14ac:dyDescent="0.25">
      <c r="A14" s="7">
        <v>2</v>
      </c>
      <c r="B14" s="7" t="s">
        <v>64</v>
      </c>
      <c r="C14" s="8">
        <f>SUM(C15:C19)</f>
        <v>0.3</v>
      </c>
      <c r="D14" s="56">
        <f>C14*C3</f>
        <v>2716875</v>
      </c>
      <c r="E14" s="24"/>
      <c r="F14" s="25"/>
      <c r="G14" s="26"/>
      <c r="H14" s="25"/>
      <c r="I14" s="25"/>
      <c r="J14" s="25"/>
      <c r="K14" s="27"/>
      <c r="L14" s="25"/>
      <c r="M14" s="27"/>
      <c r="N14" s="25"/>
      <c r="O14" s="27"/>
      <c r="P14" s="25"/>
      <c r="Q14" s="27"/>
      <c r="R14" s="25"/>
      <c r="S14" s="27"/>
      <c r="T14" s="25"/>
      <c r="U14" s="27"/>
      <c r="V14" s="25"/>
      <c r="W14" s="27"/>
      <c r="X14" s="28"/>
      <c r="Y14" s="28"/>
      <c r="Z14" s="28"/>
      <c r="AA14" s="28"/>
      <c r="AB14" s="28"/>
      <c r="AC14" s="28"/>
      <c r="AD14" s="28"/>
      <c r="AE14" s="28"/>
      <c r="AF14" s="28"/>
      <c r="AG14" s="28"/>
    </row>
    <row r="15" spans="1:33" x14ac:dyDescent="0.25">
      <c r="A15" s="11">
        <v>1</v>
      </c>
      <c r="B15" s="11" t="s">
        <v>53</v>
      </c>
      <c r="C15" s="12">
        <v>0.1</v>
      </c>
      <c r="D15" s="12"/>
      <c r="E15" s="103">
        <f t="shared" ref="E15:E19" si="1">SUM(F15:AG15)</f>
        <v>0</v>
      </c>
      <c r="F15" s="20"/>
      <c r="G15" s="15"/>
      <c r="H15" s="20"/>
      <c r="I15" s="21"/>
      <c r="J15" s="21"/>
      <c r="K15" s="15"/>
      <c r="L15" s="21"/>
      <c r="M15" s="17"/>
      <c r="N15" s="21"/>
      <c r="O15" s="17"/>
      <c r="P15" s="21"/>
      <c r="Q15" s="17"/>
      <c r="R15" s="21"/>
      <c r="S15" s="17"/>
      <c r="T15" s="21"/>
      <c r="U15" s="17"/>
      <c r="V15" s="21"/>
      <c r="W15" s="17"/>
      <c r="X15" s="19"/>
      <c r="Y15" s="19"/>
      <c r="Z15" s="19"/>
      <c r="AA15" s="19"/>
      <c r="AB15" s="19"/>
      <c r="AC15" s="19"/>
      <c r="AD15" s="19"/>
      <c r="AE15" s="19"/>
      <c r="AF15" s="19"/>
      <c r="AG15" s="19"/>
    </row>
    <row r="16" spans="1:33" x14ac:dyDescent="0.25">
      <c r="A16" s="11">
        <v>2</v>
      </c>
      <c r="B16" s="11" t="s">
        <v>55</v>
      </c>
      <c r="C16" s="12">
        <v>0.05</v>
      </c>
      <c r="D16" s="12"/>
      <c r="E16" s="103">
        <f t="shared" si="1"/>
        <v>0</v>
      </c>
      <c r="F16" s="21"/>
      <c r="G16" s="15"/>
      <c r="H16" s="21"/>
      <c r="I16" s="20"/>
      <c r="J16" s="21"/>
      <c r="K16" s="17"/>
      <c r="L16" s="21"/>
      <c r="M16" s="15"/>
      <c r="N16" s="21"/>
      <c r="O16" s="17"/>
      <c r="P16" s="21"/>
      <c r="Q16" s="17"/>
      <c r="R16" s="21"/>
      <c r="S16" s="17"/>
      <c r="T16" s="21"/>
      <c r="U16" s="17"/>
      <c r="V16" s="21"/>
      <c r="W16" s="17"/>
      <c r="X16" s="19"/>
      <c r="Y16" s="19"/>
      <c r="Z16" s="19"/>
      <c r="AA16" s="19"/>
      <c r="AB16" s="19"/>
      <c r="AC16" s="19"/>
      <c r="AD16" s="19"/>
      <c r="AE16" s="19"/>
      <c r="AF16" s="19"/>
      <c r="AG16" s="19"/>
    </row>
    <row r="17" spans="1:33" x14ac:dyDescent="0.25">
      <c r="A17" s="11">
        <v>3</v>
      </c>
      <c r="B17" s="11" t="s">
        <v>57</v>
      </c>
      <c r="C17" s="12">
        <v>0.05</v>
      </c>
      <c r="D17" s="12"/>
      <c r="E17" s="103">
        <f t="shared" si="1"/>
        <v>0</v>
      </c>
      <c r="F17" s="21"/>
      <c r="G17" s="17"/>
      <c r="H17" s="21"/>
      <c r="I17" s="20"/>
      <c r="J17" s="20"/>
      <c r="K17" s="17"/>
      <c r="L17" s="21"/>
      <c r="M17" s="17"/>
      <c r="N17" s="21"/>
      <c r="O17" s="17"/>
      <c r="P17" s="20"/>
      <c r="Q17" s="17"/>
      <c r="R17" s="20"/>
      <c r="S17" s="17"/>
      <c r="T17" s="20"/>
      <c r="U17" s="17"/>
      <c r="V17" s="20"/>
      <c r="W17" s="17"/>
      <c r="X17" s="19"/>
      <c r="Y17" s="19"/>
      <c r="Z17" s="19"/>
      <c r="AA17" s="19"/>
      <c r="AB17" s="19"/>
      <c r="AC17" s="19"/>
      <c r="AD17" s="19"/>
      <c r="AE17" s="19"/>
      <c r="AF17" s="19"/>
      <c r="AG17" s="19"/>
    </row>
    <row r="18" spans="1:33" x14ac:dyDescent="0.25">
      <c r="A18" s="11">
        <v>4</v>
      </c>
      <c r="B18" s="11" t="s">
        <v>69</v>
      </c>
      <c r="C18" s="12">
        <v>0.05</v>
      </c>
      <c r="D18" s="12"/>
      <c r="E18" s="103">
        <f t="shared" si="1"/>
        <v>0</v>
      </c>
      <c r="F18" s="21"/>
      <c r="G18" s="17"/>
      <c r="H18" s="21"/>
      <c r="I18" s="21"/>
      <c r="J18" s="21"/>
      <c r="K18" s="17"/>
      <c r="L18" s="21"/>
      <c r="M18" s="15"/>
      <c r="N18" s="21"/>
      <c r="O18" s="17"/>
      <c r="P18" s="21"/>
      <c r="Q18" s="17"/>
      <c r="R18" s="21"/>
      <c r="S18" s="17"/>
      <c r="T18" s="21"/>
      <c r="U18" s="17"/>
      <c r="V18" s="21"/>
      <c r="W18" s="17"/>
      <c r="X18" s="19"/>
      <c r="Y18" s="19"/>
      <c r="Z18" s="19"/>
      <c r="AA18" s="19"/>
      <c r="AB18" s="19"/>
      <c r="AC18" s="19"/>
      <c r="AD18" s="19"/>
      <c r="AE18" s="19"/>
      <c r="AF18" s="19"/>
      <c r="AG18" s="19"/>
    </row>
    <row r="19" spans="1:33" x14ac:dyDescent="0.25">
      <c r="A19" s="11">
        <v>5</v>
      </c>
      <c r="B19" s="11" t="s">
        <v>71</v>
      </c>
      <c r="C19" s="12">
        <v>0.05</v>
      </c>
      <c r="D19" s="12"/>
      <c r="E19" s="103">
        <f t="shared" si="1"/>
        <v>0</v>
      </c>
      <c r="F19" s="21"/>
      <c r="G19" s="17"/>
      <c r="H19" s="21"/>
      <c r="I19" s="21"/>
      <c r="J19" s="21"/>
      <c r="K19" s="15"/>
      <c r="L19" s="21"/>
      <c r="M19" s="17"/>
      <c r="N19" s="21"/>
      <c r="O19" s="15"/>
      <c r="P19" s="21"/>
      <c r="Q19" s="17"/>
      <c r="R19" s="21"/>
      <c r="S19" s="17"/>
      <c r="T19" s="21"/>
      <c r="U19" s="17"/>
      <c r="V19" s="21"/>
      <c r="W19" s="17"/>
      <c r="X19" s="19"/>
      <c r="Y19" s="19"/>
      <c r="Z19" s="19"/>
      <c r="AA19" s="19"/>
      <c r="AB19" s="19"/>
      <c r="AC19" s="19"/>
      <c r="AD19" s="19"/>
      <c r="AE19" s="19"/>
      <c r="AF19" s="19"/>
      <c r="AG19" s="19"/>
    </row>
    <row r="20" spans="1:33" x14ac:dyDescent="0.25">
      <c r="A20" s="11"/>
      <c r="B20" s="11"/>
      <c r="C20" s="12"/>
      <c r="D20" s="12"/>
      <c r="E20" s="13"/>
      <c r="F20" s="21"/>
      <c r="G20" s="17"/>
      <c r="H20" s="21"/>
      <c r="I20" s="21"/>
      <c r="J20" s="21"/>
      <c r="K20" s="15"/>
      <c r="L20" s="21"/>
      <c r="M20" s="17"/>
      <c r="N20" s="21"/>
      <c r="O20" s="15"/>
      <c r="P20" s="21"/>
      <c r="Q20" s="17"/>
      <c r="R20" s="21"/>
      <c r="S20" s="17"/>
      <c r="T20" s="21"/>
      <c r="U20" s="17"/>
      <c r="V20" s="21"/>
      <c r="W20" s="17"/>
      <c r="X20" s="19"/>
      <c r="Y20" s="19"/>
      <c r="Z20" s="19"/>
      <c r="AA20" s="19"/>
      <c r="AB20" s="19"/>
      <c r="AC20" s="19"/>
      <c r="AD20" s="19"/>
      <c r="AE20" s="19"/>
      <c r="AF20" s="19"/>
      <c r="AG20" s="19"/>
    </row>
    <row r="21" spans="1:33" ht="15.75" x14ac:dyDescent="0.25">
      <c r="A21" s="7">
        <v>3</v>
      </c>
      <c r="B21" s="7" t="s">
        <v>73</v>
      </c>
      <c r="C21" s="8">
        <f>SUM(C22:C26)</f>
        <v>0.1</v>
      </c>
      <c r="D21" s="56">
        <f>C21*C3</f>
        <v>905625</v>
      </c>
      <c r="E21" s="24"/>
      <c r="F21" s="25"/>
      <c r="G21" s="26"/>
      <c r="H21" s="25"/>
      <c r="I21" s="25"/>
      <c r="J21" s="25"/>
      <c r="K21" s="27"/>
      <c r="L21" s="25"/>
      <c r="M21" s="27"/>
      <c r="N21" s="25"/>
      <c r="O21" s="27"/>
      <c r="P21" s="25"/>
      <c r="Q21" s="27"/>
      <c r="R21" s="25"/>
      <c r="S21" s="27"/>
      <c r="T21" s="25"/>
      <c r="U21" s="27"/>
      <c r="V21" s="25"/>
      <c r="W21" s="27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x14ac:dyDescent="0.25">
      <c r="A22" s="11">
        <v>1</v>
      </c>
      <c r="B22" s="11" t="s">
        <v>53</v>
      </c>
      <c r="C22" s="12">
        <v>0.02</v>
      </c>
      <c r="D22" s="12"/>
      <c r="E22" s="103">
        <f t="shared" ref="E22:E26" si="2">SUM(F22:AG22)</f>
        <v>0</v>
      </c>
      <c r="F22" s="20"/>
      <c r="G22" s="15"/>
      <c r="H22" s="20"/>
      <c r="I22" s="21"/>
      <c r="J22" s="21"/>
      <c r="K22" s="15"/>
      <c r="L22" s="21"/>
      <c r="M22" s="17"/>
      <c r="N22" s="21"/>
      <c r="O22" s="17"/>
      <c r="P22" s="21"/>
      <c r="Q22" s="17"/>
      <c r="R22" s="21"/>
      <c r="S22" s="17"/>
      <c r="T22" s="21"/>
      <c r="U22" s="17"/>
      <c r="V22" s="21"/>
      <c r="W22" s="17"/>
      <c r="X22" s="19"/>
      <c r="Y22" s="19"/>
      <c r="Z22" s="19"/>
      <c r="AA22" s="19"/>
      <c r="AB22" s="19"/>
      <c r="AC22" s="19"/>
      <c r="AD22" s="19"/>
      <c r="AE22" s="19"/>
      <c r="AF22" s="19"/>
      <c r="AG22" s="19"/>
    </row>
    <row r="23" spans="1:33" x14ac:dyDescent="0.25">
      <c r="A23" s="11">
        <v>2</v>
      </c>
      <c r="B23" s="11" t="s">
        <v>55</v>
      </c>
      <c r="C23" s="12">
        <v>0.02</v>
      </c>
      <c r="D23" s="12"/>
      <c r="E23" s="103">
        <f t="shared" si="2"/>
        <v>0</v>
      </c>
      <c r="F23" s="21"/>
      <c r="G23" s="15"/>
      <c r="H23" s="21"/>
      <c r="I23" s="20"/>
      <c r="J23" s="21"/>
      <c r="K23" s="17"/>
      <c r="L23" s="21"/>
      <c r="M23" s="15"/>
      <c r="N23" s="21"/>
      <c r="O23" s="17"/>
      <c r="P23" s="21"/>
      <c r="Q23" s="17"/>
      <c r="R23" s="21"/>
      <c r="S23" s="17"/>
      <c r="T23" s="21"/>
      <c r="U23" s="17"/>
      <c r="V23" s="21"/>
      <c r="W23" s="17"/>
      <c r="X23" s="19"/>
      <c r="Y23" s="19"/>
      <c r="Z23" s="19"/>
      <c r="AA23" s="19"/>
      <c r="AB23" s="19"/>
      <c r="AC23" s="19"/>
      <c r="AD23" s="19"/>
      <c r="AE23" s="19"/>
      <c r="AF23" s="19"/>
      <c r="AG23" s="19"/>
    </row>
    <row r="24" spans="1:33" x14ac:dyDescent="0.25">
      <c r="A24" s="11">
        <v>3</v>
      </c>
      <c r="B24" s="11" t="s">
        <v>57</v>
      </c>
      <c r="C24" s="12">
        <v>0.02</v>
      </c>
      <c r="D24" s="12"/>
      <c r="E24" s="103">
        <f t="shared" si="2"/>
        <v>0</v>
      </c>
      <c r="F24" s="21"/>
      <c r="G24" s="17"/>
      <c r="H24" s="21"/>
      <c r="I24" s="20"/>
      <c r="J24" s="20"/>
      <c r="K24" s="17"/>
      <c r="L24" s="21"/>
      <c r="M24" s="17"/>
      <c r="N24" s="21"/>
      <c r="O24" s="17"/>
      <c r="P24" s="20"/>
      <c r="Q24" s="17"/>
      <c r="R24" s="20"/>
      <c r="S24" s="17"/>
      <c r="T24" s="20"/>
      <c r="U24" s="17"/>
      <c r="V24" s="20"/>
      <c r="W24" s="17"/>
      <c r="X24" s="19"/>
      <c r="Y24" s="19"/>
      <c r="Z24" s="19"/>
      <c r="AA24" s="19"/>
      <c r="AB24" s="19"/>
      <c r="AC24" s="19"/>
      <c r="AD24" s="19"/>
      <c r="AE24" s="19"/>
      <c r="AF24" s="19"/>
      <c r="AG24" s="19"/>
    </row>
    <row r="25" spans="1:33" x14ac:dyDescent="0.25">
      <c r="A25" s="11">
        <v>4</v>
      </c>
      <c r="B25" s="11" t="s">
        <v>69</v>
      </c>
      <c r="C25" s="12">
        <v>0.02</v>
      </c>
      <c r="D25" s="12"/>
      <c r="E25" s="103">
        <f t="shared" si="2"/>
        <v>0</v>
      </c>
      <c r="F25" s="21"/>
      <c r="G25" s="17"/>
      <c r="H25" s="21"/>
      <c r="I25" s="21"/>
      <c r="J25" s="21"/>
      <c r="K25" s="17"/>
      <c r="L25" s="21"/>
      <c r="M25" s="15"/>
      <c r="N25" s="21"/>
      <c r="O25" s="17"/>
      <c r="P25" s="21"/>
      <c r="Q25" s="17"/>
      <c r="R25" s="21"/>
      <c r="S25" s="17"/>
      <c r="T25" s="21"/>
      <c r="U25" s="17"/>
      <c r="V25" s="21"/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</row>
    <row r="26" spans="1:33" x14ac:dyDescent="0.25">
      <c r="A26" s="11">
        <v>5</v>
      </c>
      <c r="B26" s="11" t="s">
        <v>71</v>
      </c>
      <c r="C26" s="12">
        <v>0.02</v>
      </c>
      <c r="D26" s="12"/>
      <c r="E26" s="103">
        <f t="shared" si="2"/>
        <v>0</v>
      </c>
      <c r="F26" s="21"/>
      <c r="G26" s="17"/>
      <c r="H26" s="21"/>
      <c r="I26" s="21"/>
      <c r="J26" s="21"/>
      <c r="K26" s="15"/>
      <c r="L26" s="21"/>
      <c r="M26" s="17"/>
      <c r="N26" s="21"/>
      <c r="O26" s="15"/>
      <c r="P26" s="21"/>
      <c r="Q26" s="17"/>
      <c r="R26" s="21"/>
      <c r="S26" s="17"/>
      <c r="T26" s="21"/>
      <c r="U26" s="17"/>
      <c r="V26" s="21"/>
      <c r="W26" s="17"/>
      <c r="X26" s="19"/>
      <c r="Y26" s="19"/>
      <c r="Z26" s="19"/>
      <c r="AA26" s="19"/>
      <c r="AB26" s="19"/>
      <c r="AC26" s="19"/>
      <c r="AD26" s="19"/>
      <c r="AE26" s="19"/>
      <c r="AF26" s="19"/>
      <c r="AG26" s="19"/>
    </row>
    <row r="27" spans="1:33" ht="15.75" customHeight="1" x14ac:dyDescent="0.25">
      <c r="A27" s="11"/>
      <c r="B27" s="11"/>
      <c r="C27" s="12"/>
      <c r="D27" s="12"/>
      <c r="E27" s="13"/>
      <c r="F27" s="21"/>
      <c r="G27" s="17"/>
      <c r="H27" s="21"/>
      <c r="I27" s="21"/>
      <c r="J27" s="21"/>
      <c r="K27" s="15"/>
      <c r="L27" s="21"/>
      <c r="M27" s="17"/>
      <c r="N27" s="21"/>
      <c r="O27" s="15"/>
      <c r="P27" s="21"/>
      <c r="Q27" s="17"/>
      <c r="R27" s="21"/>
      <c r="S27" s="17"/>
      <c r="T27" s="21"/>
      <c r="U27" s="17"/>
      <c r="V27" s="21"/>
      <c r="W27" s="17"/>
      <c r="X27" s="19"/>
      <c r="Y27" s="19"/>
      <c r="Z27" s="19"/>
      <c r="AA27" s="19"/>
      <c r="AB27" s="19"/>
      <c r="AC27" s="19"/>
      <c r="AD27" s="19"/>
      <c r="AE27" s="19"/>
      <c r="AF27" s="19"/>
      <c r="AG27" s="19"/>
    </row>
    <row r="28" spans="1:33" ht="15.75" customHeight="1" x14ac:dyDescent="0.25">
      <c r="A28" s="7">
        <v>4</v>
      </c>
      <c r="B28" s="7" t="s">
        <v>51</v>
      </c>
      <c r="C28" s="8">
        <f>SUM(C29:C33)</f>
        <v>0.1</v>
      </c>
      <c r="D28" s="56">
        <f>C28*C3</f>
        <v>905625</v>
      </c>
      <c r="E28" s="24"/>
      <c r="F28" s="25"/>
      <c r="G28" s="27"/>
      <c r="H28" s="25"/>
      <c r="I28" s="25"/>
      <c r="J28" s="25"/>
      <c r="K28" s="27"/>
      <c r="L28" s="25"/>
      <c r="M28" s="27"/>
      <c r="N28" s="25"/>
      <c r="O28" s="27"/>
      <c r="P28" s="25"/>
      <c r="Q28" s="27"/>
      <c r="R28" s="25"/>
      <c r="S28" s="27"/>
      <c r="T28" s="25"/>
      <c r="U28" s="27"/>
      <c r="V28" s="25"/>
      <c r="W28" s="27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5.75" customHeight="1" x14ac:dyDescent="0.25">
      <c r="A29" s="11">
        <v>1</v>
      </c>
      <c r="B29" s="11" t="s">
        <v>53</v>
      </c>
      <c r="C29" s="12">
        <v>0.02</v>
      </c>
      <c r="D29" s="12"/>
      <c r="E29" s="103">
        <f t="shared" ref="E29:E33" si="3">SUM(F29:AG29)</f>
        <v>0</v>
      </c>
      <c r="F29" s="21"/>
      <c r="G29" s="17"/>
      <c r="H29" s="21"/>
      <c r="I29" s="21"/>
      <c r="J29" s="21"/>
      <c r="K29" s="17"/>
      <c r="L29" s="21"/>
      <c r="M29" s="15"/>
      <c r="N29" s="21"/>
      <c r="O29" s="17"/>
      <c r="P29" s="21"/>
      <c r="Q29" s="17"/>
      <c r="R29" s="21"/>
      <c r="S29" s="17"/>
      <c r="T29" s="21"/>
      <c r="U29" s="15"/>
      <c r="V29" s="21"/>
      <c r="W29" s="17"/>
      <c r="X29" s="19"/>
      <c r="Y29" s="19"/>
      <c r="Z29" s="19"/>
      <c r="AA29" s="19"/>
      <c r="AB29" s="19"/>
      <c r="AC29" s="19"/>
      <c r="AD29" s="19"/>
      <c r="AE29" s="19"/>
      <c r="AF29" s="19"/>
      <c r="AG29" s="19"/>
    </row>
    <row r="30" spans="1:33" ht="15.75" customHeight="1" x14ac:dyDescent="0.25">
      <c r="A30" s="11">
        <v>2</v>
      </c>
      <c r="B30" s="11" t="s">
        <v>55</v>
      </c>
      <c r="C30" s="12">
        <v>0.02</v>
      </c>
      <c r="D30" s="12"/>
      <c r="E30" s="103">
        <f t="shared" si="3"/>
        <v>0</v>
      </c>
      <c r="F30" s="21"/>
      <c r="G30" s="17"/>
      <c r="H30" s="21"/>
      <c r="I30" s="21"/>
      <c r="J30" s="21"/>
      <c r="K30" s="17"/>
      <c r="L30" s="21"/>
      <c r="M30" s="17"/>
      <c r="N30" s="21"/>
      <c r="O30" s="15"/>
      <c r="P30" s="20"/>
      <c r="Q30" s="17"/>
      <c r="R30" s="20"/>
      <c r="S30" s="15"/>
      <c r="T30" s="20"/>
      <c r="U30" s="15"/>
      <c r="V30" s="20"/>
      <c r="W30" s="17"/>
      <c r="X30" s="19"/>
      <c r="Y30" s="19"/>
      <c r="Z30" s="19"/>
      <c r="AA30" s="19"/>
      <c r="AB30" s="19"/>
      <c r="AC30" s="19"/>
      <c r="AD30" s="19"/>
      <c r="AE30" s="19"/>
      <c r="AF30" s="19"/>
      <c r="AG30" s="19"/>
    </row>
    <row r="31" spans="1:33" ht="15.75" customHeight="1" x14ac:dyDescent="0.25">
      <c r="A31" s="11">
        <v>3</v>
      </c>
      <c r="B31" s="11" t="s">
        <v>57</v>
      </c>
      <c r="C31" s="12">
        <v>0.02</v>
      </c>
      <c r="D31" s="12"/>
      <c r="E31" s="103">
        <f t="shared" si="3"/>
        <v>0</v>
      </c>
      <c r="F31" s="21"/>
      <c r="G31" s="17"/>
      <c r="H31" s="21"/>
      <c r="I31" s="21"/>
      <c r="J31" s="21"/>
      <c r="K31" s="17"/>
      <c r="L31" s="21"/>
      <c r="M31" s="17"/>
      <c r="N31" s="21"/>
      <c r="O31" s="15"/>
      <c r="P31" s="20"/>
      <c r="Q31" s="17"/>
      <c r="R31" s="20"/>
      <c r="S31" s="17"/>
      <c r="T31" s="20"/>
      <c r="U31" s="15"/>
      <c r="V31" s="20"/>
      <c r="W31" s="17"/>
      <c r="X31" s="19"/>
      <c r="Y31" s="19"/>
      <c r="Z31" s="19"/>
      <c r="AA31" s="19"/>
      <c r="AB31" s="19"/>
      <c r="AC31" s="19"/>
      <c r="AD31" s="19"/>
      <c r="AE31" s="19"/>
      <c r="AF31" s="19"/>
      <c r="AG31" s="19"/>
    </row>
    <row r="32" spans="1:33" ht="15.75" customHeight="1" x14ac:dyDescent="0.25">
      <c r="A32" s="11">
        <v>4</v>
      </c>
      <c r="B32" s="11" t="s">
        <v>69</v>
      </c>
      <c r="C32" s="12">
        <v>0.02</v>
      </c>
      <c r="D32" s="12"/>
      <c r="E32" s="103">
        <f t="shared" si="3"/>
        <v>0</v>
      </c>
      <c r="F32" s="21"/>
      <c r="G32" s="17"/>
      <c r="H32" s="21"/>
      <c r="I32" s="21"/>
      <c r="J32" s="21"/>
      <c r="K32" s="17"/>
      <c r="L32" s="21"/>
      <c r="M32" s="17"/>
      <c r="N32" s="21"/>
      <c r="O32" s="17"/>
      <c r="P32" s="20"/>
      <c r="Q32" s="17"/>
      <c r="R32" s="20"/>
      <c r="S32" s="17"/>
      <c r="T32" s="20"/>
      <c r="U32" s="17"/>
      <c r="V32" s="20"/>
      <c r="W32" s="15"/>
      <c r="X32" s="19"/>
      <c r="Y32" s="19"/>
      <c r="Z32" s="19"/>
      <c r="AA32" s="19"/>
      <c r="AB32" s="19"/>
      <c r="AC32" s="19"/>
      <c r="AD32" s="19"/>
      <c r="AE32" s="19"/>
      <c r="AF32" s="19"/>
      <c r="AG32" s="19"/>
    </row>
    <row r="33" spans="1:33" ht="15.75" customHeight="1" x14ac:dyDescent="0.25">
      <c r="A33" s="11">
        <v>5</v>
      </c>
      <c r="B33" s="11" t="s">
        <v>71</v>
      </c>
      <c r="C33" s="12">
        <v>0.02</v>
      </c>
      <c r="D33" s="12"/>
      <c r="E33" s="103">
        <f t="shared" si="3"/>
        <v>0</v>
      </c>
      <c r="F33" s="21"/>
      <c r="G33" s="17"/>
      <c r="H33" s="21"/>
      <c r="I33" s="21"/>
      <c r="J33" s="21"/>
      <c r="K33" s="17"/>
      <c r="L33" s="21"/>
      <c r="M33" s="17"/>
      <c r="N33" s="21"/>
      <c r="O33" s="17"/>
      <c r="P33" s="21"/>
      <c r="Q33" s="17"/>
      <c r="R33" s="21"/>
      <c r="S33" s="17"/>
      <c r="T33" s="21"/>
      <c r="U33" s="17"/>
      <c r="V33" s="20"/>
      <c r="W33" s="15"/>
      <c r="X33" s="29"/>
      <c r="Y33" s="29"/>
      <c r="Z33" s="29"/>
      <c r="AA33" s="29"/>
      <c r="AB33" s="29"/>
      <c r="AC33" s="29"/>
      <c r="AD33" s="29"/>
      <c r="AE33" s="29"/>
      <c r="AF33" s="29"/>
      <c r="AG33" s="29"/>
    </row>
    <row r="34" spans="1:33" ht="15.75" customHeight="1" x14ac:dyDescent="0.25">
      <c r="A34" s="31"/>
      <c r="C34" s="12"/>
      <c r="D34" s="12"/>
      <c r="E34" s="13"/>
      <c r="F34" s="21"/>
      <c r="G34" s="17"/>
      <c r="H34" s="21"/>
      <c r="I34" s="21"/>
      <c r="J34" s="21"/>
      <c r="K34" s="17"/>
      <c r="L34" s="21"/>
      <c r="M34" s="17"/>
      <c r="N34" s="21"/>
      <c r="O34" s="17"/>
      <c r="P34" s="21"/>
      <c r="Q34" s="17"/>
      <c r="R34" s="21"/>
      <c r="S34" s="17"/>
      <c r="T34" s="21"/>
      <c r="U34" s="17"/>
      <c r="V34" s="21"/>
      <c r="W34" s="30"/>
      <c r="X34" s="29"/>
      <c r="Y34" s="29"/>
      <c r="Z34" s="29"/>
      <c r="AA34" s="29"/>
      <c r="AB34" s="29"/>
      <c r="AC34" s="29"/>
      <c r="AD34" s="29"/>
      <c r="AE34" s="29"/>
      <c r="AF34" s="29"/>
      <c r="AG34" s="29"/>
    </row>
    <row r="35" spans="1:33" ht="15.75" customHeight="1" x14ac:dyDescent="0.25">
      <c r="A35" s="7">
        <v>5</v>
      </c>
      <c r="B35" s="7" t="s">
        <v>74</v>
      </c>
      <c r="C35" s="8">
        <f>SUM(C36)</f>
        <v>0.08</v>
      </c>
      <c r="D35" s="56">
        <f>C35*C3</f>
        <v>724500</v>
      </c>
      <c r="E35" s="24"/>
      <c r="F35" s="25"/>
      <c r="G35" s="27"/>
      <c r="H35" s="25"/>
      <c r="I35" s="25"/>
      <c r="J35" s="25"/>
      <c r="K35" s="27"/>
      <c r="L35" s="25"/>
      <c r="M35" s="27"/>
      <c r="N35" s="25"/>
      <c r="O35" s="27"/>
      <c r="P35" s="25"/>
      <c r="Q35" s="27"/>
      <c r="R35" s="25"/>
      <c r="S35" s="27"/>
      <c r="T35" s="25"/>
      <c r="U35" s="27"/>
      <c r="V35" s="25"/>
      <c r="W35" s="27"/>
      <c r="X35" s="28"/>
      <c r="Y35" s="28"/>
      <c r="Z35" s="28"/>
      <c r="AA35" s="28"/>
      <c r="AB35" s="28"/>
      <c r="AC35" s="28"/>
      <c r="AD35" s="28"/>
      <c r="AE35" s="28"/>
      <c r="AF35" s="28"/>
      <c r="AG35" s="28"/>
    </row>
    <row r="36" spans="1:33" ht="15.75" customHeight="1" x14ac:dyDescent="0.25">
      <c r="A36" s="11">
        <v>1</v>
      </c>
      <c r="B36" s="11" t="s">
        <v>75</v>
      </c>
      <c r="C36" s="12">
        <v>0.08</v>
      </c>
      <c r="D36" s="12"/>
      <c r="E36" s="103">
        <f>SUM(F36:AG36)</f>
        <v>0</v>
      </c>
      <c r="F36" s="21"/>
      <c r="G36" s="17"/>
      <c r="H36" s="21"/>
      <c r="I36" s="21"/>
      <c r="J36" s="21"/>
      <c r="K36" s="17"/>
      <c r="L36" s="21"/>
      <c r="M36" s="17"/>
      <c r="N36" s="21"/>
      <c r="O36" s="17"/>
      <c r="P36" s="21"/>
      <c r="Q36" s="15"/>
      <c r="R36" s="21"/>
      <c r="S36" s="17"/>
      <c r="T36" s="21"/>
      <c r="U36" s="17"/>
      <c r="V36" s="21"/>
      <c r="W36" s="30"/>
      <c r="X36" s="29"/>
      <c r="Y36" s="29"/>
      <c r="Z36" s="29"/>
      <c r="AA36" s="29"/>
      <c r="AB36" s="29"/>
      <c r="AC36" s="29"/>
      <c r="AD36" s="29"/>
      <c r="AE36" s="29"/>
      <c r="AF36" s="29"/>
      <c r="AG36" s="29"/>
    </row>
    <row r="37" spans="1:33" ht="15.75" customHeight="1" x14ac:dyDescent="0.25">
      <c r="A37" s="11"/>
      <c r="B37" s="11"/>
      <c r="C37" s="12"/>
      <c r="D37" s="12"/>
      <c r="E37" s="13"/>
      <c r="F37" s="21"/>
      <c r="G37" s="17"/>
      <c r="H37" s="21"/>
      <c r="I37" s="21"/>
      <c r="J37" s="21"/>
      <c r="K37" s="17"/>
      <c r="L37" s="21"/>
      <c r="M37" s="17"/>
      <c r="N37" s="21"/>
      <c r="O37" s="17"/>
      <c r="P37" s="21"/>
      <c r="Q37" s="17"/>
      <c r="R37" s="21"/>
      <c r="S37" s="15"/>
      <c r="T37" s="21"/>
      <c r="U37" s="17"/>
      <c r="V37" s="21"/>
      <c r="W37" s="30"/>
      <c r="X37" s="29"/>
      <c r="Y37" s="29"/>
      <c r="Z37" s="29"/>
      <c r="AA37" s="29"/>
      <c r="AB37" s="29"/>
      <c r="AC37" s="29"/>
      <c r="AD37" s="29"/>
      <c r="AE37" s="29"/>
      <c r="AF37" s="29"/>
      <c r="AG37" s="29"/>
    </row>
    <row r="38" spans="1:33" ht="15.75" customHeight="1" x14ac:dyDescent="0.25">
      <c r="A38" s="7">
        <v>6</v>
      </c>
      <c r="B38" s="7" t="s">
        <v>31</v>
      </c>
      <c r="C38" s="8">
        <f>SUM(C39:C43)</f>
        <v>0.1</v>
      </c>
      <c r="D38" s="56">
        <f>C38*C3</f>
        <v>905625</v>
      </c>
      <c r="E38" s="24"/>
      <c r="F38" s="25"/>
      <c r="G38" s="27"/>
      <c r="H38" s="25"/>
      <c r="I38" s="25"/>
      <c r="J38" s="25"/>
      <c r="K38" s="27"/>
      <c r="L38" s="25"/>
      <c r="M38" s="27"/>
      <c r="N38" s="25"/>
      <c r="O38" s="27"/>
      <c r="P38" s="25"/>
      <c r="Q38" s="27"/>
      <c r="R38" s="25"/>
      <c r="S38" s="27"/>
      <c r="T38" s="25"/>
      <c r="U38" s="27"/>
      <c r="V38" s="25"/>
      <c r="W38" s="27"/>
      <c r="X38" s="28"/>
      <c r="Y38" s="28"/>
      <c r="Z38" s="28"/>
      <c r="AA38" s="28"/>
      <c r="AB38" s="28"/>
      <c r="AC38" s="28"/>
      <c r="AD38" s="28"/>
      <c r="AE38" s="28"/>
      <c r="AF38" s="28"/>
      <c r="AG38" s="28"/>
    </row>
    <row r="39" spans="1:33" ht="15.75" customHeight="1" x14ac:dyDescent="0.25">
      <c r="A39" s="11">
        <v>1</v>
      </c>
      <c r="B39" s="11" t="s">
        <v>53</v>
      </c>
      <c r="C39" s="12">
        <v>0.02</v>
      </c>
      <c r="D39" s="12"/>
      <c r="E39" s="103">
        <f t="shared" ref="E39:E43" si="4">SUM(F39:AG39)</f>
        <v>0</v>
      </c>
      <c r="F39" s="21"/>
      <c r="G39" s="17"/>
      <c r="H39" s="21"/>
      <c r="I39" s="21"/>
      <c r="J39" s="21"/>
      <c r="K39" s="17"/>
      <c r="L39" s="21"/>
      <c r="M39" s="17"/>
      <c r="N39" s="21"/>
      <c r="O39" s="17"/>
      <c r="P39" s="21"/>
      <c r="Q39" s="17"/>
      <c r="R39" s="21"/>
      <c r="S39" s="17"/>
      <c r="T39" s="21"/>
      <c r="U39" s="17"/>
      <c r="V39" s="21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</row>
    <row r="40" spans="1:33" ht="15.75" customHeight="1" x14ac:dyDescent="0.25">
      <c r="A40" s="11">
        <v>2</v>
      </c>
      <c r="B40" s="11" t="s">
        <v>55</v>
      </c>
      <c r="C40" s="12">
        <v>0.02</v>
      </c>
      <c r="D40" s="12"/>
      <c r="E40" s="103">
        <f t="shared" si="4"/>
        <v>0</v>
      </c>
      <c r="F40" s="21"/>
      <c r="G40" s="17"/>
      <c r="H40" s="21"/>
      <c r="I40" s="21"/>
      <c r="J40" s="21"/>
      <c r="K40" s="17"/>
      <c r="L40" s="21"/>
      <c r="M40" s="17"/>
      <c r="N40" s="21"/>
      <c r="O40" s="17"/>
      <c r="P40" s="21"/>
      <c r="Q40" s="17"/>
      <c r="R40" s="21"/>
      <c r="S40" s="17"/>
      <c r="T40" s="21"/>
      <c r="U40" s="17"/>
      <c r="V40" s="21"/>
      <c r="W40" s="30"/>
      <c r="X40" s="29"/>
      <c r="Y40" s="29"/>
      <c r="Z40" s="29"/>
      <c r="AA40" s="29"/>
      <c r="AB40" s="29"/>
      <c r="AC40" s="29"/>
      <c r="AD40" s="29"/>
      <c r="AE40" s="29"/>
      <c r="AF40" s="29"/>
      <c r="AG40" s="29"/>
    </row>
    <row r="41" spans="1:33" ht="15.75" customHeight="1" x14ac:dyDescent="0.25">
      <c r="A41" s="11">
        <v>3</v>
      </c>
      <c r="B41" s="11" t="s">
        <v>57</v>
      </c>
      <c r="C41" s="12">
        <v>0.02</v>
      </c>
      <c r="D41" s="12"/>
      <c r="E41" s="103">
        <f t="shared" si="4"/>
        <v>0</v>
      </c>
      <c r="F41" s="21"/>
      <c r="G41" s="17"/>
      <c r="H41" s="21"/>
      <c r="I41" s="21"/>
      <c r="J41" s="21"/>
      <c r="K41" s="17"/>
      <c r="L41" s="21"/>
      <c r="M41" s="17"/>
      <c r="N41" s="21"/>
      <c r="O41" s="17"/>
      <c r="P41" s="21"/>
      <c r="Q41" s="17"/>
      <c r="R41" s="21"/>
      <c r="S41" s="17"/>
      <c r="T41" s="21"/>
      <c r="U41" s="17"/>
      <c r="V41" s="21"/>
      <c r="W41" s="30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1:33" ht="15.75" customHeight="1" x14ac:dyDescent="0.25">
      <c r="A42" s="11">
        <v>4</v>
      </c>
      <c r="B42" s="11" t="s">
        <v>69</v>
      </c>
      <c r="C42" s="12">
        <v>0.02</v>
      </c>
      <c r="D42" s="12"/>
      <c r="E42" s="103">
        <f t="shared" si="4"/>
        <v>0</v>
      </c>
      <c r="F42" s="21"/>
      <c r="G42" s="17"/>
      <c r="H42" s="21"/>
      <c r="I42" s="21"/>
      <c r="J42" s="21"/>
      <c r="K42" s="17"/>
      <c r="L42" s="21"/>
      <c r="M42" s="17"/>
      <c r="N42" s="21"/>
      <c r="O42" s="17"/>
      <c r="P42" s="21"/>
      <c r="Q42" s="17"/>
      <c r="R42" s="21"/>
      <c r="S42" s="17"/>
      <c r="T42" s="21"/>
      <c r="U42" s="17"/>
      <c r="V42" s="21"/>
      <c r="W42" s="30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1:33" ht="15.75" customHeight="1" x14ac:dyDescent="0.25">
      <c r="A43" s="11">
        <v>5</v>
      </c>
      <c r="B43" s="11" t="s">
        <v>71</v>
      </c>
      <c r="C43" s="12">
        <v>0.02</v>
      </c>
      <c r="D43" s="12"/>
      <c r="E43" s="103">
        <f t="shared" si="4"/>
        <v>0</v>
      </c>
      <c r="F43" s="21"/>
      <c r="G43" s="17"/>
      <c r="H43" s="21"/>
      <c r="I43" s="21"/>
      <c r="J43" s="21"/>
      <c r="K43" s="17"/>
      <c r="L43" s="21"/>
      <c r="M43" s="17"/>
      <c r="N43" s="21"/>
      <c r="O43" s="17"/>
      <c r="P43" s="21"/>
      <c r="Q43" s="17"/>
      <c r="R43" s="21"/>
      <c r="S43" s="17"/>
      <c r="T43" s="21"/>
      <c r="U43" s="17"/>
      <c r="V43" s="21"/>
      <c r="W43" s="30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1:33" ht="15.75" customHeight="1" x14ac:dyDescent="0.25">
      <c r="C44" s="22"/>
      <c r="D44" s="22"/>
      <c r="E44" s="13"/>
      <c r="F44" s="21"/>
      <c r="G44" s="17"/>
      <c r="H44" s="21"/>
      <c r="I44" s="21"/>
      <c r="J44" s="21"/>
      <c r="K44" s="17"/>
      <c r="L44" s="21"/>
      <c r="M44" s="17"/>
      <c r="N44" s="21"/>
      <c r="O44" s="17"/>
      <c r="P44" s="21"/>
      <c r="Q44" s="17"/>
      <c r="R44" s="21"/>
      <c r="S44" s="17"/>
      <c r="T44" s="21"/>
      <c r="U44" s="17"/>
      <c r="V44" s="21"/>
      <c r="W44" s="17"/>
      <c r="X44" s="19"/>
      <c r="Y44" s="19"/>
      <c r="Z44" s="19"/>
      <c r="AA44" s="19"/>
      <c r="AB44" s="19"/>
      <c r="AC44" s="19"/>
      <c r="AD44" s="19"/>
      <c r="AE44" s="19"/>
      <c r="AF44" s="19"/>
      <c r="AG44" s="19"/>
    </row>
    <row r="45" spans="1:33" ht="15.75" customHeight="1" x14ac:dyDescent="0.25">
      <c r="A45" s="7">
        <v>7</v>
      </c>
      <c r="B45" s="7" t="s">
        <v>76</v>
      </c>
      <c r="C45" s="8">
        <f>SUM(C46:C49)</f>
        <v>7.0000000000000007E-2</v>
      </c>
      <c r="D45" s="56">
        <f>C45*C3</f>
        <v>633937.50000000012</v>
      </c>
      <c r="E45" s="24"/>
      <c r="F45" s="25"/>
      <c r="G45" s="27"/>
      <c r="H45" s="25"/>
      <c r="I45" s="25"/>
      <c r="J45" s="25"/>
      <c r="K45" s="27"/>
      <c r="L45" s="25"/>
      <c r="M45" s="27"/>
      <c r="N45" s="25"/>
      <c r="O45" s="27"/>
      <c r="P45" s="25"/>
      <c r="Q45" s="27"/>
      <c r="R45" s="25"/>
      <c r="S45" s="27"/>
      <c r="T45" s="25"/>
      <c r="U45" s="27"/>
      <c r="V45" s="25"/>
      <c r="W45" s="27"/>
      <c r="X45" s="28"/>
      <c r="Y45" s="28"/>
      <c r="Z45" s="28"/>
      <c r="AA45" s="28"/>
      <c r="AB45" s="28"/>
      <c r="AC45" s="28"/>
      <c r="AD45" s="28"/>
      <c r="AE45" s="28"/>
      <c r="AF45" s="28"/>
      <c r="AG45" s="28"/>
    </row>
    <row r="46" spans="1:33" ht="15.75" customHeight="1" x14ac:dyDescent="0.25">
      <c r="A46" s="11">
        <v>1</v>
      </c>
      <c r="B46" s="11" t="s">
        <v>77</v>
      </c>
      <c r="C46" s="12">
        <v>0.02</v>
      </c>
      <c r="D46" s="12"/>
      <c r="E46" s="103">
        <f t="shared" ref="E46:E48" si="5">SUM(F46:AG46)</f>
        <v>0</v>
      </c>
      <c r="F46" s="21"/>
      <c r="G46" s="17"/>
      <c r="H46" s="21"/>
      <c r="I46" s="21"/>
      <c r="J46" s="21"/>
      <c r="K46" s="17"/>
      <c r="L46" s="21"/>
      <c r="M46" s="17"/>
      <c r="N46" s="21"/>
      <c r="O46" s="17"/>
      <c r="P46" s="21"/>
      <c r="Q46" s="15"/>
      <c r="R46" s="21"/>
      <c r="S46" s="17"/>
      <c r="T46" s="21"/>
      <c r="U46" s="17"/>
      <c r="V46" s="21"/>
      <c r="W46" s="30"/>
      <c r="X46" s="29"/>
      <c r="Y46" s="29"/>
      <c r="Z46" s="29"/>
      <c r="AA46" s="29"/>
      <c r="AB46" s="29"/>
      <c r="AC46" s="29"/>
      <c r="AD46" s="29"/>
      <c r="AE46" s="29"/>
      <c r="AF46" s="29"/>
      <c r="AG46" s="29"/>
    </row>
    <row r="47" spans="1:33" ht="15.75" customHeight="1" x14ac:dyDescent="0.25">
      <c r="A47" s="11">
        <v>2</v>
      </c>
      <c r="B47" s="11" t="s">
        <v>78</v>
      </c>
      <c r="C47" s="12">
        <v>0.02</v>
      </c>
      <c r="D47" s="12"/>
      <c r="E47" s="103">
        <f t="shared" si="5"/>
        <v>0</v>
      </c>
      <c r="F47" s="21"/>
      <c r="G47" s="17"/>
      <c r="H47" s="21"/>
      <c r="I47" s="21"/>
      <c r="J47" s="21"/>
      <c r="K47" s="17"/>
      <c r="L47" s="21"/>
      <c r="M47" s="17"/>
      <c r="N47" s="21"/>
      <c r="O47" s="17"/>
      <c r="P47" s="21"/>
      <c r="Q47" s="17"/>
      <c r="R47" s="21"/>
      <c r="S47" s="15"/>
      <c r="T47" s="21"/>
      <c r="U47" s="17"/>
      <c r="V47" s="21"/>
      <c r="W47" s="30"/>
      <c r="X47" s="29"/>
      <c r="Y47" s="29"/>
      <c r="Z47" s="29"/>
      <c r="AA47" s="29"/>
      <c r="AB47" s="29"/>
      <c r="AC47" s="29"/>
      <c r="AD47" s="29"/>
      <c r="AE47" s="29"/>
      <c r="AF47" s="29"/>
      <c r="AG47" s="29"/>
    </row>
    <row r="48" spans="1:33" ht="15.75" customHeight="1" x14ac:dyDescent="0.25">
      <c r="A48" s="11">
        <v>3</v>
      </c>
      <c r="B48" s="11" t="s">
        <v>79</v>
      </c>
      <c r="C48" s="12">
        <v>0.03</v>
      </c>
      <c r="D48" s="12"/>
      <c r="E48" s="103">
        <f t="shared" si="5"/>
        <v>0</v>
      </c>
      <c r="F48" s="21"/>
      <c r="G48" s="17"/>
      <c r="H48" s="21"/>
      <c r="I48" s="21"/>
      <c r="J48" s="21"/>
      <c r="K48" s="17"/>
      <c r="L48" s="21"/>
      <c r="M48" s="17"/>
      <c r="N48" s="21"/>
      <c r="O48" s="17"/>
      <c r="P48" s="21"/>
      <c r="Q48" s="17"/>
      <c r="R48" s="21"/>
      <c r="S48" s="17"/>
      <c r="T48" s="21"/>
      <c r="U48" s="17"/>
      <c r="V48" s="21"/>
      <c r="W48" s="30"/>
      <c r="X48" s="29"/>
      <c r="Y48" s="29"/>
      <c r="Z48" s="29"/>
      <c r="AA48" s="29"/>
      <c r="AB48" s="29"/>
      <c r="AC48" s="29"/>
      <c r="AD48" s="29"/>
      <c r="AE48" s="29"/>
      <c r="AF48" s="29"/>
      <c r="AG48" s="29"/>
    </row>
    <row r="49" spans="1:33" ht="15.75" customHeight="1" thickBot="1" x14ac:dyDescent="0.3">
      <c r="A49" s="11"/>
      <c r="B49" s="11"/>
      <c r="C49" s="12"/>
      <c r="D49" s="12"/>
      <c r="E49" s="13"/>
      <c r="F49" s="21"/>
      <c r="G49" s="17"/>
      <c r="H49" s="21"/>
      <c r="I49" s="21"/>
      <c r="J49" s="21"/>
      <c r="K49" s="17"/>
      <c r="L49" s="21"/>
      <c r="M49" s="17"/>
      <c r="N49" s="21"/>
      <c r="O49" s="17"/>
      <c r="P49" s="21"/>
      <c r="Q49" s="17"/>
      <c r="R49" s="21"/>
      <c r="S49" s="17"/>
      <c r="T49" s="21"/>
      <c r="U49" s="17"/>
      <c r="V49" s="21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</row>
    <row r="50" spans="1:33" ht="15.75" customHeight="1" thickBot="1" x14ac:dyDescent="0.35">
      <c r="A50" s="32"/>
      <c r="B50" s="33" t="s">
        <v>32</v>
      </c>
      <c r="C50" s="34">
        <f>SUM(C7+C14+C21+C28+C35+C38+C45)</f>
        <v>1</v>
      </c>
      <c r="D50" s="34"/>
      <c r="E50" s="35">
        <f>SUM(F50:AG50)</f>
        <v>0</v>
      </c>
      <c r="F50" s="62">
        <f t="shared" ref="F50:AG50" si="6">SUM(F8:F49)</f>
        <v>0</v>
      </c>
      <c r="G50" s="62">
        <f t="shared" si="6"/>
        <v>0</v>
      </c>
      <c r="H50" s="62">
        <f t="shared" si="6"/>
        <v>0</v>
      </c>
      <c r="I50" s="62">
        <f t="shared" si="6"/>
        <v>0</v>
      </c>
      <c r="J50" s="62">
        <f t="shared" si="6"/>
        <v>0</v>
      </c>
      <c r="K50" s="62">
        <f t="shared" si="6"/>
        <v>0</v>
      </c>
      <c r="L50" s="62">
        <f t="shared" si="6"/>
        <v>0</v>
      </c>
      <c r="M50" s="62">
        <f t="shared" si="6"/>
        <v>0</v>
      </c>
      <c r="N50" s="62">
        <f t="shared" si="6"/>
        <v>0</v>
      </c>
      <c r="O50" s="62">
        <f t="shared" si="6"/>
        <v>0</v>
      </c>
      <c r="P50" s="62">
        <f t="shared" si="6"/>
        <v>0</v>
      </c>
      <c r="Q50" s="62">
        <f t="shared" si="6"/>
        <v>0</v>
      </c>
      <c r="R50" s="62">
        <f t="shared" si="6"/>
        <v>0</v>
      </c>
      <c r="S50" s="62">
        <f t="shared" si="6"/>
        <v>0</v>
      </c>
      <c r="T50" s="62">
        <f t="shared" si="6"/>
        <v>0</v>
      </c>
      <c r="U50" s="62">
        <f t="shared" si="6"/>
        <v>0</v>
      </c>
      <c r="V50" s="62">
        <f t="shared" si="6"/>
        <v>0</v>
      </c>
      <c r="W50" s="62">
        <f t="shared" si="6"/>
        <v>0</v>
      </c>
      <c r="X50" s="62">
        <f t="shared" si="6"/>
        <v>0</v>
      </c>
      <c r="Y50" s="62">
        <f t="shared" si="6"/>
        <v>0</v>
      </c>
      <c r="Z50" s="62">
        <f t="shared" si="6"/>
        <v>0</v>
      </c>
      <c r="AA50" s="62">
        <f t="shared" si="6"/>
        <v>0</v>
      </c>
      <c r="AB50" s="62">
        <f t="shared" si="6"/>
        <v>0</v>
      </c>
      <c r="AC50" s="62">
        <f t="shared" si="6"/>
        <v>0</v>
      </c>
      <c r="AD50" s="62">
        <f t="shared" si="6"/>
        <v>0</v>
      </c>
      <c r="AE50" s="62">
        <f t="shared" si="6"/>
        <v>0</v>
      </c>
      <c r="AF50" s="62">
        <f t="shared" si="6"/>
        <v>0</v>
      </c>
      <c r="AG50" s="62">
        <f t="shared" si="6"/>
        <v>0</v>
      </c>
    </row>
    <row r="51" spans="1:33" ht="15.75" customHeight="1" thickBot="1" x14ac:dyDescent="0.3">
      <c r="F51" s="36"/>
      <c r="G51" s="36"/>
      <c r="H51" s="36"/>
      <c r="I51" s="36"/>
      <c r="J51" s="37"/>
      <c r="K51" s="37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8"/>
      <c r="Y51" s="38"/>
      <c r="Z51" s="38"/>
      <c r="AA51" s="38"/>
      <c r="AB51" s="38"/>
      <c r="AC51" s="38"/>
      <c r="AD51" s="38"/>
      <c r="AE51" s="38"/>
      <c r="AF51" s="38"/>
      <c r="AG51" s="38"/>
    </row>
    <row r="52" spans="1:33" ht="15.75" customHeight="1" thickBot="1" x14ac:dyDescent="0.3">
      <c r="A52" s="130" t="s">
        <v>33</v>
      </c>
      <c r="B52" s="128"/>
      <c r="C52" s="128"/>
      <c r="D52" s="128"/>
      <c r="E52" s="129"/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</row>
    <row r="53" spans="1:33" ht="15.75" customHeight="1" thickBot="1" x14ac:dyDescent="0.3"/>
    <row r="54" spans="1:33" ht="15.75" hidden="1" customHeight="1" outlineLevel="1" thickBot="1" x14ac:dyDescent="0.3">
      <c r="A54" s="131" t="s">
        <v>34</v>
      </c>
      <c r="B54" s="128"/>
      <c r="C54" s="128"/>
      <c r="D54" s="128"/>
      <c r="E54" s="129"/>
      <c r="F54" s="40">
        <f>C3+(C3*F52)</f>
        <v>9056250</v>
      </c>
      <c r="G54" s="40">
        <f t="shared" ref="G54:AG54" si="7">F54+(F54*G52)</f>
        <v>9056250</v>
      </c>
      <c r="H54" s="40">
        <f t="shared" si="7"/>
        <v>9056250</v>
      </c>
      <c r="I54" s="40">
        <f t="shared" si="7"/>
        <v>9056250</v>
      </c>
      <c r="J54" s="40">
        <f t="shared" si="7"/>
        <v>9056250</v>
      </c>
      <c r="K54" s="40">
        <f t="shared" si="7"/>
        <v>9056250</v>
      </c>
      <c r="L54" s="40">
        <f t="shared" si="7"/>
        <v>9056250</v>
      </c>
      <c r="M54" s="40">
        <f t="shared" si="7"/>
        <v>9056250</v>
      </c>
      <c r="N54" s="40">
        <f t="shared" si="7"/>
        <v>9056250</v>
      </c>
      <c r="O54" s="40">
        <f t="shared" si="7"/>
        <v>9056250</v>
      </c>
      <c r="P54" s="40">
        <f t="shared" si="7"/>
        <v>9056250</v>
      </c>
      <c r="Q54" s="40">
        <f t="shared" si="7"/>
        <v>9056250</v>
      </c>
      <c r="R54" s="40">
        <f t="shared" si="7"/>
        <v>9056250</v>
      </c>
      <c r="S54" s="40">
        <f t="shared" si="7"/>
        <v>9056250</v>
      </c>
      <c r="T54" s="40">
        <f t="shared" si="7"/>
        <v>9056250</v>
      </c>
      <c r="U54" s="40">
        <f t="shared" si="7"/>
        <v>9056250</v>
      </c>
      <c r="V54" s="40">
        <f t="shared" si="7"/>
        <v>9056250</v>
      </c>
      <c r="W54" s="40">
        <f t="shared" si="7"/>
        <v>9056250</v>
      </c>
      <c r="X54" s="40">
        <f t="shared" si="7"/>
        <v>9056250</v>
      </c>
      <c r="Y54" s="40">
        <f t="shared" si="7"/>
        <v>9056250</v>
      </c>
      <c r="Z54" s="40">
        <f t="shared" si="7"/>
        <v>9056250</v>
      </c>
      <c r="AA54" s="40">
        <f t="shared" si="7"/>
        <v>9056250</v>
      </c>
      <c r="AB54" s="40">
        <f t="shared" si="7"/>
        <v>9056250</v>
      </c>
      <c r="AC54" s="40">
        <f t="shared" si="7"/>
        <v>9056250</v>
      </c>
      <c r="AD54" s="40">
        <f t="shared" si="7"/>
        <v>9056250</v>
      </c>
      <c r="AE54" s="40">
        <f t="shared" si="7"/>
        <v>9056250</v>
      </c>
      <c r="AF54" s="40">
        <f t="shared" si="7"/>
        <v>9056250</v>
      </c>
      <c r="AG54" s="40">
        <f t="shared" si="7"/>
        <v>9056250</v>
      </c>
    </row>
    <row r="55" spans="1:33" ht="15.75" hidden="1" customHeight="1" outlineLevel="1" thickBot="1" x14ac:dyDescent="0.3"/>
    <row r="56" spans="1:33" ht="15.75" hidden="1" customHeight="1" outlineLevel="1" thickBot="1" x14ac:dyDescent="0.3">
      <c r="A56" s="132" t="s">
        <v>35</v>
      </c>
      <c r="B56" s="128"/>
      <c r="C56" s="128"/>
      <c r="D56" s="128"/>
      <c r="E56" s="129"/>
      <c r="F56" s="41">
        <f t="shared" ref="F56:AG56" si="8">F50*F54</f>
        <v>0</v>
      </c>
      <c r="G56" s="41">
        <f t="shared" si="8"/>
        <v>0</v>
      </c>
      <c r="H56" s="41">
        <f t="shared" si="8"/>
        <v>0</v>
      </c>
      <c r="I56" s="41">
        <f t="shared" si="8"/>
        <v>0</v>
      </c>
      <c r="J56" s="41">
        <f t="shared" si="8"/>
        <v>0</v>
      </c>
      <c r="K56" s="41">
        <f t="shared" si="8"/>
        <v>0</v>
      </c>
      <c r="L56" s="41">
        <f t="shared" si="8"/>
        <v>0</v>
      </c>
      <c r="M56" s="41">
        <f t="shared" si="8"/>
        <v>0</v>
      </c>
      <c r="N56" s="41">
        <f t="shared" si="8"/>
        <v>0</v>
      </c>
      <c r="O56" s="41">
        <f t="shared" si="8"/>
        <v>0</v>
      </c>
      <c r="P56" s="41">
        <f t="shared" si="8"/>
        <v>0</v>
      </c>
      <c r="Q56" s="41">
        <f t="shared" si="8"/>
        <v>0</v>
      </c>
      <c r="R56" s="41">
        <f t="shared" si="8"/>
        <v>0</v>
      </c>
      <c r="S56" s="41">
        <f t="shared" si="8"/>
        <v>0</v>
      </c>
      <c r="T56" s="41">
        <f t="shared" si="8"/>
        <v>0</v>
      </c>
      <c r="U56" s="41">
        <f t="shared" si="8"/>
        <v>0</v>
      </c>
      <c r="V56" s="41">
        <f t="shared" si="8"/>
        <v>0</v>
      </c>
      <c r="W56" s="41">
        <f t="shared" si="8"/>
        <v>0</v>
      </c>
      <c r="X56" s="41">
        <f t="shared" si="8"/>
        <v>0</v>
      </c>
      <c r="Y56" s="41">
        <f t="shared" si="8"/>
        <v>0</v>
      </c>
      <c r="Z56" s="41">
        <f t="shared" si="8"/>
        <v>0</v>
      </c>
      <c r="AA56" s="41">
        <f t="shared" si="8"/>
        <v>0</v>
      </c>
      <c r="AB56" s="41">
        <f t="shared" si="8"/>
        <v>0</v>
      </c>
      <c r="AC56" s="41">
        <f t="shared" si="8"/>
        <v>0</v>
      </c>
      <c r="AD56" s="41">
        <f t="shared" si="8"/>
        <v>0</v>
      </c>
      <c r="AE56" s="41">
        <f t="shared" si="8"/>
        <v>0</v>
      </c>
      <c r="AF56" s="41">
        <f t="shared" si="8"/>
        <v>0</v>
      </c>
      <c r="AG56" s="41">
        <f t="shared" si="8"/>
        <v>0</v>
      </c>
    </row>
    <row r="57" spans="1:33" ht="15.75" hidden="1" customHeight="1" outlineLevel="1" thickBot="1" x14ac:dyDescent="0.3"/>
    <row r="58" spans="1:33" ht="15.75" customHeight="1" collapsed="1" thickBot="1" x14ac:dyDescent="0.35">
      <c r="A58" s="127" t="s">
        <v>36</v>
      </c>
      <c r="B58" s="128"/>
      <c r="C58" s="128"/>
      <c r="D58" s="128"/>
      <c r="E58" s="129"/>
      <c r="F58" s="42">
        <f>F56-(F56*D4)</f>
        <v>0</v>
      </c>
      <c r="G58" s="43">
        <f>G56-(G56*D4)</f>
        <v>0</v>
      </c>
      <c r="H58" s="43">
        <f>H56-(H56*D4)</f>
        <v>0</v>
      </c>
      <c r="I58" s="43">
        <f>I56-(I56*D4)</f>
        <v>0</v>
      </c>
      <c r="J58" s="43">
        <f>J56-(J56*D4)</f>
        <v>0</v>
      </c>
      <c r="K58" s="43">
        <f>K56-(K56*D4)</f>
        <v>0</v>
      </c>
      <c r="L58" s="43">
        <f>L56-(L56*D4)</f>
        <v>0</v>
      </c>
      <c r="M58" s="43">
        <f>M56-(M56*D4)</f>
        <v>0</v>
      </c>
      <c r="N58" s="43">
        <f>N56-(N56*D4)</f>
        <v>0</v>
      </c>
      <c r="O58" s="43">
        <f>O56-(O56*D4)</f>
        <v>0</v>
      </c>
      <c r="P58" s="43">
        <f>P56-(P56*D4)</f>
        <v>0</v>
      </c>
      <c r="Q58" s="43">
        <f>Q56-(Q56*D4)</f>
        <v>0</v>
      </c>
      <c r="R58" s="43">
        <f>R56-(R56*D4)</f>
        <v>0</v>
      </c>
      <c r="S58" s="43">
        <f>S56-(S56*D4)</f>
        <v>0</v>
      </c>
      <c r="T58" s="43">
        <f>T56-(T56*D4)</f>
        <v>0</v>
      </c>
      <c r="U58" s="43">
        <f>U56-(U56*D4)</f>
        <v>0</v>
      </c>
      <c r="V58" s="43">
        <f>V56-(V56*D4)</f>
        <v>0</v>
      </c>
      <c r="W58" s="43">
        <f>W56-(W56*D4)</f>
        <v>0</v>
      </c>
      <c r="X58" s="43">
        <f>X56-(X56*D4)</f>
        <v>0</v>
      </c>
      <c r="Y58" s="43">
        <f>Y56-(Y56*D4)</f>
        <v>0</v>
      </c>
      <c r="Z58" s="43">
        <f>Z56-(Z56*D4)</f>
        <v>0</v>
      </c>
      <c r="AA58" s="43">
        <f>AA56-(AA56*D4)</f>
        <v>0</v>
      </c>
      <c r="AB58" s="43">
        <f>AB56-(AB56*D4)</f>
        <v>0</v>
      </c>
      <c r="AC58" s="43">
        <f>AC56-(AC56*D4)</f>
        <v>0</v>
      </c>
      <c r="AD58" s="43">
        <f>AD56-(AD56*D4)</f>
        <v>0</v>
      </c>
      <c r="AE58" s="43">
        <f>AE56-(AE56*D4)</f>
        <v>0</v>
      </c>
      <c r="AF58" s="43">
        <f>AF56-(AF56*D4)</f>
        <v>0</v>
      </c>
      <c r="AG58" s="43">
        <f>AG56-(AG56*D4)</f>
        <v>0</v>
      </c>
    </row>
    <row r="59" spans="1:33" ht="15.75" customHeight="1" thickBot="1" x14ac:dyDescent="0.3"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</row>
    <row r="60" spans="1:33" ht="15.75" customHeight="1" thickBot="1" x14ac:dyDescent="0.3">
      <c r="A60" s="130" t="s">
        <v>37</v>
      </c>
      <c r="B60" s="128"/>
      <c r="C60" s="128"/>
      <c r="D60" s="128"/>
      <c r="E60" s="129"/>
      <c r="F60" s="45">
        <f>F54-F58-C4</f>
        <v>9056250</v>
      </c>
      <c r="G60" s="45">
        <f t="shared" ref="G60:AG60" si="9">(F60+(F60*G52))-G58</f>
        <v>9056250</v>
      </c>
      <c r="H60" s="46">
        <f t="shared" si="9"/>
        <v>9056250</v>
      </c>
      <c r="I60" s="46">
        <f t="shared" si="9"/>
        <v>9056250</v>
      </c>
      <c r="J60" s="45">
        <f t="shared" si="9"/>
        <v>9056250</v>
      </c>
      <c r="K60" s="45">
        <f t="shared" si="9"/>
        <v>9056250</v>
      </c>
      <c r="L60" s="45">
        <f t="shared" si="9"/>
        <v>9056250</v>
      </c>
      <c r="M60" s="45">
        <f t="shared" si="9"/>
        <v>9056250</v>
      </c>
      <c r="N60" s="45">
        <f t="shared" si="9"/>
        <v>9056250</v>
      </c>
      <c r="O60" s="45">
        <f t="shared" si="9"/>
        <v>9056250</v>
      </c>
      <c r="P60" s="45">
        <f t="shared" si="9"/>
        <v>9056250</v>
      </c>
      <c r="Q60" s="45">
        <f t="shared" si="9"/>
        <v>9056250</v>
      </c>
      <c r="R60" s="45">
        <f t="shared" si="9"/>
        <v>9056250</v>
      </c>
      <c r="S60" s="45">
        <f t="shared" si="9"/>
        <v>9056250</v>
      </c>
      <c r="T60" s="45">
        <f t="shared" si="9"/>
        <v>9056250</v>
      </c>
      <c r="U60" s="45">
        <f t="shared" si="9"/>
        <v>9056250</v>
      </c>
      <c r="V60" s="45">
        <f t="shared" si="9"/>
        <v>9056250</v>
      </c>
      <c r="W60" s="45">
        <f t="shared" si="9"/>
        <v>9056250</v>
      </c>
      <c r="X60" s="45">
        <f t="shared" si="9"/>
        <v>9056250</v>
      </c>
      <c r="Y60" s="45">
        <f t="shared" si="9"/>
        <v>9056250</v>
      </c>
      <c r="Z60" s="45">
        <f t="shared" si="9"/>
        <v>9056250</v>
      </c>
      <c r="AA60" s="45">
        <f t="shared" si="9"/>
        <v>9056250</v>
      </c>
      <c r="AB60" s="45">
        <f t="shared" si="9"/>
        <v>9056250</v>
      </c>
      <c r="AC60" s="45">
        <f t="shared" si="9"/>
        <v>9056250</v>
      </c>
      <c r="AD60" s="45">
        <f t="shared" si="9"/>
        <v>9056250</v>
      </c>
      <c r="AE60" s="45">
        <f t="shared" si="9"/>
        <v>9056250</v>
      </c>
      <c r="AF60" s="45">
        <f t="shared" si="9"/>
        <v>9056250</v>
      </c>
      <c r="AG60" s="45">
        <f t="shared" si="9"/>
        <v>9056250</v>
      </c>
    </row>
    <row r="61" spans="1:33" ht="15.75" customHeight="1" x14ac:dyDescent="0.25">
      <c r="L61" s="47"/>
      <c r="M61" s="48"/>
      <c r="N61" s="48"/>
      <c r="O61" s="47"/>
      <c r="P61" s="48"/>
      <c r="Q61" s="48"/>
      <c r="U61" s="48"/>
      <c r="W61" s="47"/>
    </row>
    <row r="62" spans="1:33" ht="15.75" customHeight="1" x14ac:dyDescent="0.25">
      <c r="F62" s="49"/>
      <c r="L62" s="47"/>
      <c r="M62" s="50"/>
      <c r="N62" s="50"/>
      <c r="O62" s="51"/>
      <c r="P62" s="52"/>
    </row>
    <row r="63" spans="1:33" ht="15.75" customHeight="1" x14ac:dyDescent="0.25">
      <c r="G63" s="44"/>
      <c r="H63" s="44"/>
      <c r="V63" s="44"/>
      <c r="W63" s="49"/>
    </row>
    <row r="64" spans="1:33" ht="15.75" customHeight="1" x14ac:dyDescent="0.25">
      <c r="F64" s="53"/>
      <c r="Q64" s="44"/>
      <c r="W64" s="53"/>
    </row>
    <row r="65" spans="7:11" ht="15.75" customHeight="1" x14ac:dyDescent="0.25">
      <c r="G65" s="49"/>
      <c r="H65" s="49"/>
      <c r="I65" s="11"/>
      <c r="J65" s="44"/>
      <c r="K65" s="53"/>
    </row>
    <row r="66" spans="7:11" ht="15.75" customHeight="1" x14ac:dyDescent="0.25">
      <c r="G66" s="54"/>
      <c r="H66" s="54"/>
      <c r="I66" s="11"/>
      <c r="J66" s="44"/>
    </row>
    <row r="67" spans="7:11" ht="15.75" customHeight="1" x14ac:dyDescent="0.25">
      <c r="G67" s="54"/>
      <c r="H67" s="54"/>
    </row>
    <row r="68" spans="7:11" ht="15.75" customHeight="1" x14ac:dyDescent="0.25">
      <c r="G68" s="54"/>
      <c r="H68" s="54"/>
    </row>
    <row r="69" spans="7:11" ht="15.75" customHeight="1" x14ac:dyDescent="0.25">
      <c r="G69" s="54"/>
      <c r="H69" s="54"/>
      <c r="J69" s="53"/>
    </row>
    <row r="70" spans="7:11" ht="15.75" customHeight="1" x14ac:dyDescent="0.25">
      <c r="G70" s="54"/>
      <c r="H70" s="54"/>
    </row>
    <row r="71" spans="7:11" ht="15.75" customHeight="1" x14ac:dyDescent="0.25">
      <c r="G71" s="54"/>
      <c r="H71" s="54"/>
    </row>
    <row r="72" spans="7:11" ht="15.75" customHeight="1" x14ac:dyDescent="0.25">
      <c r="G72" s="54"/>
      <c r="H72" s="54"/>
    </row>
    <row r="73" spans="7:11" ht="15.75" customHeight="1" x14ac:dyDescent="0.25">
      <c r="G73" s="54"/>
      <c r="H73" s="54"/>
    </row>
    <row r="74" spans="7:11" ht="15.75" customHeight="1" x14ac:dyDescent="0.25"/>
    <row r="75" spans="7:11" ht="15.75" customHeight="1" x14ac:dyDescent="0.25"/>
    <row r="76" spans="7:11" ht="15.75" customHeight="1" x14ac:dyDescent="0.25"/>
    <row r="77" spans="7:11" ht="15.75" customHeight="1" x14ac:dyDescent="0.25"/>
    <row r="78" spans="7:11" ht="15.75" customHeight="1" x14ac:dyDescent="0.25"/>
    <row r="79" spans="7:11" ht="15.75" customHeight="1" x14ac:dyDescent="0.25"/>
    <row r="80" spans="7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36">
    <mergeCell ref="A58:E58"/>
    <mergeCell ref="A60:E60"/>
    <mergeCell ref="AB6:AC6"/>
    <mergeCell ref="AD6:AE6"/>
    <mergeCell ref="AF6:AG6"/>
    <mergeCell ref="A52:E52"/>
    <mergeCell ref="A54:E54"/>
    <mergeCell ref="A56:E56"/>
    <mergeCell ref="P6:Q6"/>
    <mergeCell ref="R6:S6"/>
    <mergeCell ref="T6:U6"/>
    <mergeCell ref="V6:W6"/>
    <mergeCell ref="X6:Y6"/>
    <mergeCell ref="Z6:AA6"/>
    <mergeCell ref="F6:G6"/>
    <mergeCell ref="H6:I6"/>
    <mergeCell ref="X5:Y5"/>
    <mergeCell ref="Z5:AA5"/>
    <mergeCell ref="AB5:AC5"/>
    <mergeCell ref="AD5:AE5"/>
    <mergeCell ref="AF5:AG5"/>
    <mergeCell ref="J6:K6"/>
    <mergeCell ref="L6:M6"/>
    <mergeCell ref="N6:O6"/>
    <mergeCell ref="L5:M5"/>
    <mergeCell ref="N5:O5"/>
    <mergeCell ref="P5:Q5"/>
    <mergeCell ref="R5:S5"/>
    <mergeCell ref="T5:U5"/>
    <mergeCell ref="V5:W5"/>
    <mergeCell ref="A2:B2"/>
    <mergeCell ref="A3:B3"/>
    <mergeCell ref="A4:B4"/>
    <mergeCell ref="F5:G5"/>
    <mergeCell ref="H5:I5"/>
    <mergeCell ref="J5:K5"/>
  </mergeCells>
  <phoneticPr fontId="29" type="noConversion"/>
  <printOptions horizontalCentered="1" verticalCentered="1" gridLines="1"/>
  <pageMargins left="0.25" right="0.25" top="0.75" bottom="0.75" header="0" footer="0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RESUMEN</vt:lpstr>
      <vt:lpstr>PAGOS QUINCENALES</vt:lpstr>
      <vt:lpstr>CASH FLOW 12,11,10,9,8</vt:lpstr>
      <vt:lpstr>CASH FLOW 13,7,6,5,4,3,2,1</vt:lpstr>
      <vt:lpstr>PRUEBAS</vt:lpstr>
      <vt:lpstr>M12</vt:lpstr>
      <vt:lpstr>M11</vt:lpstr>
      <vt:lpstr>M10</vt:lpstr>
      <vt:lpstr>M09</vt:lpstr>
      <vt:lpstr>M08</vt:lpstr>
      <vt:lpstr>M07</vt:lpstr>
      <vt:lpstr>M06</vt:lpstr>
      <vt:lpstr>M05</vt:lpstr>
      <vt:lpstr>M13</vt:lpstr>
      <vt:lpstr>M04</vt:lpstr>
      <vt:lpstr>M03</vt:lpstr>
      <vt:lpstr>M02</vt:lpstr>
      <vt:lpstr>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ARROBA</cp:lastModifiedBy>
  <cp:lastPrinted>2026-06-30T18:22:15Z</cp:lastPrinted>
  <dcterms:created xsi:type="dcterms:W3CDTF">2015-06-05T18:19:34Z</dcterms:created>
  <dcterms:modified xsi:type="dcterms:W3CDTF">2026-07-02T19:20:36Z</dcterms:modified>
</cp:coreProperties>
</file>