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Unidades compartidas\CERO\5. PRODUCCION\1. MANO DE OBRA\3. PLANILLA DE AVANCES\1. SERENA FOLK\"/>
    </mc:Choice>
  </mc:AlternateContent>
  <bookViews>
    <workbookView xWindow="-120" yWindow="-120" windowWidth="29040" windowHeight="15720" activeTab="10"/>
  </bookViews>
  <sheets>
    <sheet name="PAGOS QUINCENALES" sheetId="20" r:id="rId1"/>
    <sheet name="CASH FLOW con anticipo" sheetId="9" r:id="rId2"/>
    <sheet name="CASH FLOW sin anticipo" sheetId="13" r:id="rId3"/>
    <sheet name="M11" sheetId="5" r:id="rId4"/>
    <sheet name="M10" sheetId="10" r:id="rId5"/>
    <sheet name="M08" sheetId="12" r:id="rId6"/>
    <sheet name="M07" sheetId="19" r:id="rId7"/>
    <sheet name="M05" sheetId="15" r:id="rId8"/>
    <sheet name="M04" sheetId="16" r:id="rId9"/>
    <sheet name="M13" sheetId="17" r:id="rId10"/>
    <sheet name="M02" sheetId="18" r:id="rId11"/>
  </sheets>
  <definedNames>
    <definedName name="A" localSheetId="1">#REF!</definedName>
    <definedName name="A" localSheetId="2">#REF!</definedName>
    <definedName name="A" localSheetId="10">#REF!</definedName>
    <definedName name="A" localSheetId="8">#REF!</definedName>
    <definedName name="A" localSheetId="7">#REF!</definedName>
    <definedName name="A" localSheetId="6">#REF!</definedName>
    <definedName name="A" localSheetId="5">#REF!</definedName>
    <definedName name="A" localSheetId="4">#REF!</definedName>
    <definedName name="A" localSheetId="3">#REF!</definedName>
    <definedName name="A" localSheetId="9">#REF!</definedName>
    <definedName name="A">#REF!</definedName>
    <definedName name="B" localSheetId="1">#REF!</definedName>
    <definedName name="B" localSheetId="2">#REF!</definedName>
    <definedName name="B" localSheetId="10">#REF!</definedName>
    <definedName name="B" localSheetId="8">#REF!</definedName>
    <definedName name="B" localSheetId="7">#REF!</definedName>
    <definedName name="B" localSheetId="6">#REF!</definedName>
    <definedName name="B" localSheetId="5">#REF!</definedName>
    <definedName name="B" localSheetId="4">#REF!</definedName>
    <definedName name="B" localSheetId="3">#REF!</definedName>
    <definedName name="B" localSheetId="9">#REF!</definedName>
    <definedName name="B">#REF!</definedName>
    <definedName name="FECHAINGRESO" localSheetId="1">#REF!</definedName>
    <definedName name="FECHAINGRESO" localSheetId="2">#REF!</definedName>
    <definedName name="FECHAINGRESO" localSheetId="10">#REF!</definedName>
    <definedName name="FECHAINGRESO" localSheetId="8">#REF!</definedName>
    <definedName name="FECHAINGRESO" localSheetId="7">#REF!</definedName>
    <definedName name="FECHAINGRESO" localSheetId="6">#REF!</definedName>
    <definedName name="FECHAINGRESO" localSheetId="5">#REF!</definedName>
    <definedName name="FECHAINGRESO" localSheetId="4">#REF!</definedName>
    <definedName name="FECHAINGRESO" localSheetId="3">#REF!</definedName>
    <definedName name="FECHAINGRESO" localSheetId="9">#REF!</definedName>
    <definedName name="FECHAINGRESO">#REF!</definedName>
    <definedName name="FECHAPAGO_MAT" localSheetId="1">#REF!</definedName>
    <definedName name="FECHAPAGO_MAT" localSheetId="2">#REF!</definedName>
    <definedName name="FECHAPAGO_MAT" localSheetId="10">#REF!</definedName>
    <definedName name="FECHAPAGO_MAT" localSheetId="8">#REF!</definedName>
    <definedName name="FECHAPAGO_MAT" localSheetId="7">#REF!</definedName>
    <definedName name="FECHAPAGO_MAT" localSheetId="6">#REF!</definedName>
    <definedName name="FECHAPAGO_MAT" localSheetId="5">#REF!</definedName>
    <definedName name="FECHAPAGO_MAT" localSheetId="4">#REF!</definedName>
    <definedName name="FECHAPAGO_MAT" localSheetId="3">#REF!</definedName>
    <definedName name="FECHAPAGO_MAT" localSheetId="9">#REF!</definedName>
    <definedName name="FECHAPAGO_MAT">#REF!</definedName>
    <definedName name="FECHAPAGO_MO" localSheetId="1">#REF!</definedName>
    <definedName name="FECHAPAGO_MO" localSheetId="2">#REF!</definedName>
    <definedName name="FECHAPAGO_MO" localSheetId="10">#REF!</definedName>
    <definedName name="FECHAPAGO_MO" localSheetId="8">#REF!</definedName>
    <definedName name="FECHAPAGO_MO" localSheetId="7">#REF!</definedName>
    <definedName name="FECHAPAGO_MO" localSheetId="6">#REF!</definedName>
    <definedName name="FECHAPAGO_MO" localSheetId="5">#REF!</definedName>
    <definedName name="FECHAPAGO_MO" localSheetId="4">#REF!</definedName>
    <definedName name="FECHAPAGO_MO" localSheetId="3">#REF!</definedName>
    <definedName name="FECHAPAGO_MO" localSheetId="9">#REF!</definedName>
    <definedName name="FECHAPAGO_MO">#REF!</definedName>
    <definedName name="GASTOSMAT" localSheetId="1">#REF!</definedName>
    <definedName name="GASTOSMAT" localSheetId="2">#REF!</definedName>
    <definedName name="GASTOSMAT" localSheetId="10">#REF!</definedName>
    <definedName name="GASTOSMAT" localSheetId="8">#REF!</definedName>
    <definedName name="GASTOSMAT" localSheetId="7">#REF!</definedName>
    <definedName name="GASTOSMAT" localSheetId="6">#REF!</definedName>
    <definedName name="GASTOSMAT" localSheetId="5">#REF!</definedName>
    <definedName name="GASTOSMAT" localSheetId="4">#REF!</definedName>
    <definedName name="GASTOSMAT" localSheetId="3">#REF!</definedName>
    <definedName name="GASTOSMAT" localSheetId="9">#REF!</definedName>
    <definedName name="GASTOSMAT">#REF!</definedName>
    <definedName name="GASTOSMO" localSheetId="1">#REF!</definedName>
    <definedName name="GASTOSMO" localSheetId="2">#REF!</definedName>
    <definedName name="GASTOSMO" localSheetId="10">#REF!</definedName>
    <definedName name="GASTOSMO" localSheetId="8">#REF!</definedName>
    <definedName name="GASTOSMO" localSheetId="7">#REF!</definedName>
    <definedName name="GASTOSMO" localSheetId="6">#REF!</definedName>
    <definedName name="GASTOSMO" localSheetId="5">#REF!</definedName>
    <definedName name="GASTOSMO" localSheetId="4">#REF!</definedName>
    <definedName name="GASTOSMO" localSheetId="3">#REF!</definedName>
    <definedName name="GASTOSMO" localSheetId="9">#REF!</definedName>
    <definedName name="GASTOSMO">#REF!</definedName>
    <definedName name="ITEMMAT" localSheetId="1">#REF!</definedName>
    <definedName name="ITEMMAT" localSheetId="2">#REF!</definedName>
    <definedName name="ITEMMAT" localSheetId="10">#REF!</definedName>
    <definedName name="ITEMMAT" localSheetId="8">#REF!</definedName>
    <definedName name="ITEMMAT" localSheetId="7">#REF!</definedName>
    <definedName name="ITEMMAT" localSheetId="6">#REF!</definedName>
    <definedName name="ITEMMAT" localSheetId="5">#REF!</definedName>
    <definedName name="ITEMMAT" localSheetId="4">#REF!</definedName>
    <definedName name="ITEMMAT" localSheetId="3">#REF!</definedName>
    <definedName name="ITEMMAT" localSheetId="9">#REF!</definedName>
    <definedName name="ITEMMAT">#REF!</definedName>
    <definedName name="ITEMMO" localSheetId="1">#REF!</definedName>
    <definedName name="ITEMMO" localSheetId="2">#REF!</definedName>
    <definedName name="ITEMMO" localSheetId="10">#REF!</definedName>
    <definedName name="ITEMMO" localSheetId="8">#REF!</definedName>
    <definedName name="ITEMMO" localSheetId="7">#REF!</definedName>
    <definedName name="ITEMMO" localSheetId="6">#REF!</definedName>
    <definedName name="ITEMMO" localSheetId="5">#REF!</definedName>
    <definedName name="ITEMMO" localSheetId="4">#REF!</definedName>
    <definedName name="ITEMMO" localSheetId="3">#REF!</definedName>
    <definedName name="ITEMMO" localSheetId="9">#REF!</definedName>
    <definedName name="ITEMMO">#REF!</definedName>
    <definedName name="LISTA_DATOS" localSheetId="1">#REF!</definedName>
    <definedName name="LISTA_DATOS" localSheetId="2">#REF!</definedName>
    <definedName name="LISTA_DATOS" localSheetId="10">#REF!</definedName>
    <definedName name="LISTA_DATOS" localSheetId="8">#REF!</definedName>
    <definedName name="LISTA_DATOS" localSheetId="7">#REF!</definedName>
    <definedName name="LISTA_DATOS" localSheetId="6">#REF!</definedName>
    <definedName name="LISTA_DATOS" localSheetId="5">#REF!</definedName>
    <definedName name="LISTA_DATOS" localSheetId="4">#REF!</definedName>
    <definedName name="LISTA_DATOS" localSheetId="3">#REF!</definedName>
    <definedName name="LISTA_DATOS" localSheetId="9">#REF!</definedName>
    <definedName name="LISTA_DATOS">#REF!</definedName>
    <definedName name="MESES" localSheetId="1">#REF!</definedName>
    <definedName name="MESES" localSheetId="2">#REF!</definedName>
    <definedName name="MESES" localSheetId="10">#REF!</definedName>
    <definedName name="MESES" localSheetId="8">#REF!</definedName>
    <definedName name="MESES" localSheetId="7">#REF!</definedName>
    <definedName name="MESES" localSheetId="6">#REF!</definedName>
    <definedName name="MESES" localSheetId="5">#REF!</definedName>
    <definedName name="MESES" localSheetId="4">#REF!</definedName>
    <definedName name="MESES" localSheetId="3">#REF!</definedName>
    <definedName name="MESES" localSheetId="9">#REF!</definedName>
    <definedName name="MESES">#REF!</definedName>
    <definedName name="PAGO" localSheetId="1">#REF!</definedName>
    <definedName name="PAGO" localSheetId="2">#REF!</definedName>
    <definedName name="PAGO" localSheetId="10">#REF!</definedName>
    <definedName name="PAGO" localSheetId="8">#REF!</definedName>
    <definedName name="PAGO" localSheetId="7">#REF!</definedName>
    <definedName name="PAGO" localSheetId="6">#REF!</definedName>
    <definedName name="PAGO" localSheetId="5">#REF!</definedName>
    <definedName name="PAGO" localSheetId="4">#REF!</definedName>
    <definedName name="PAGO" localSheetId="3">#REF!</definedName>
    <definedName name="PAGO" localSheetId="9">#REF!</definedName>
    <definedName name="PAGO">#REF!</definedName>
    <definedName name="pedrero" localSheetId="1">#REF!</definedName>
    <definedName name="pedrero" localSheetId="2">#REF!</definedName>
    <definedName name="pedrero" localSheetId="10">#REF!</definedName>
    <definedName name="pedrero" localSheetId="8">#REF!</definedName>
    <definedName name="pedrero" localSheetId="7">#REF!</definedName>
    <definedName name="pedrero" localSheetId="6">#REF!</definedName>
    <definedName name="pedrero" localSheetId="5">#REF!</definedName>
    <definedName name="pedrero" localSheetId="4">#REF!</definedName>
    <definedName name="pedrero" localSheetId="3">#REF!</definedName>
    <definedName name="pedrero" localSheetId="9">#REF!</definedName>
    <definedName name="pedrero">#REF!</definedName>
    <definedName name="prueba" localSheetId="1">#REF!</definedName>
    <definedName name="prueba" localSheetId="2">#REF!</definedName>
    <definedName name="prueba" localSheetId="10">#REF!</definedName>
    <definedName name="prueba" localSheetId="8">#REF!</definedName>
    <definedName name="prueba" localSheetId="7">#REF!</definedName>
    <definedName name="prueba" localSheetId="6">#REF!</definedName>
    <definedName name="prueba" localSheetId="5">#REF!</definedName>
    <definedName name="prueba" localSheetId="4">#REF!</definedName>
    <definedName name="prueba" localSheetId="3">#REF!</definedName>
    <definedName name="prueba" localSheetId="9">#REF!</definedName>
    <definedName name="prueba">#REF!</definedName>
    <definedName name="RUBROMAT" localSheetId="1">#REF!</definedName>
    <definedName name="RUBROMAT" localSheetId="2">#REF!</definedName>
    <definedName name="RUBROMAT" localSheetId="10">#REF!</definedName>
    <definedName name="RUBROMAT" localSheetId="8">#REF!</definedName>
    <definedName name="RUBROMAT" localSheetId="7">#REF!</definedName>
    <definedName name="RUBROMAT" localSheetId="6">#REF!</definedName>
    <definedName name="RUBROMAT" localSheetId="5">#REF!</definedName>
    <definedName name="RUBROMAT" localSheetId="4">#REF!</definedName>
    <definedName name="RUBROMAT" localSheetId="3">#REF!</definedName>
    <definedName name="RUBROMAT" localSheetId="9">#REF!</definedName>
    <definedName name="RUBROMAT">#REF!</definedName>
    <definedName name="RUBROMO" localSheetId="1">#REF!</definedName>
    <definedName name="RUBROMO" localSheetId="2">#REF!</definedName>
    <definedName name="RUBROMO" localSheetId="10">#REF!</definedName>
    <definedName name="RUBROMO" localSheetId="8">#REF!</definedName>
    <definedName name="RUBROMO" localSheetId="7">#REF!</definedName>
    <definedName name="RUBROMO" localSheetId="6">#REF!</definedName>
    <definedName name="RUBROMO" localSheetId="5">#REF!</definedName>
    <definedName name="RUBROMO" localSheetId="4">#REF!</definedName>
    <definedName name="RUBROMO" localSheetId="3">#REF!</definedName>
    <definedName name="RUBROMO" localSheetId="9">#REF!</definedName>
    <definedName name="RUBROMO">#REF!</definedName>
    <definedName name="RUBROS_OBRA" localSheetId="1">#REF!</definedName>
    <definedName name="RUBROS_OBRA" localSheetId="2">#REF!</definedName>
    <definedName name="RUBROS_OBRA" localSheetId="10">#REF!</definedName>
    <definedName name="RUBROS_OBRA" localSheetId="8">#REF!</definedName>
    <definedName name="RUBROS_OBRA" localSheetId="7">#REF!</definedName>
    <definedName name="RUBROS_OBRA" localSheetId="6">#REF!</definedName>
    <definedName name="RUBROS_OBRA" localSheetId="5">#REF!</definedName>
    <definedName name="RUBROS_OBRA" localSheetId="4">#REF!</definedName>
    <definedName name="RUBROS_OBRA" localSheetId="3">#REF!</definedName>
    <definedName name="RUBROS_OBRA" localSheetId="9">#REF!</definedName>
    <definedName name="RUBROS_OB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yd65Iaia0HgtMSZ0YttLOOy6RWJNWGQhIzjVthwm1EA="/>
    </ext>
  </extLst>
</workbook>
</file>

<file path=xl/calcChain.xml><?xml version="1.0" encoding="utf-8"?>
<calcChain xmlns="http://schemas.openxmlformats.org/spreadsheetml/2006/main">
  <c r="E36" i="18" l="1"/>
  <c r="E35" i="18"/>
  <c r="E34" i="18"/>
  <c r="E33" i="18"/>
  <c r="E30" i="18"/>
  <c r="E29" i="18"/>
  <c r="E28" i="18"/>
  <c r="E27" i="18"/>
  <c r="E26" i="18"/>
  <c r="E23" i="18"/>
  <c r="E20" i="18"/>
  <c r="E19" i="18"/>
  <c r="E16" i="18"/>
  <c r="E15" i="18"/>
  <c r="E12" i="18"/>
  <c r="E9" i="18"/>
  <c r="E8" i="18"/>
  <c r="E36" i="17"/>
  <c r="E35" i="17"/>
  <c r="E34" i="17"/>
  <c r="E33" i="17"/>
  <c r="E30" i="17"/>
  <c r="E29" i="17"/>
  <c r="E28" i="17"/>
  <c r="E27" i="17"/>
  <c r="E26" i="17"/>
  <c r="E23" i="17"/>
  <c r="E20" i="17"/>
  <c r="E19" i="17"/>
  <c r="E16" i="17"/>
  <c r="E15" i="17"/>
  <c r="E12" i="17"/>
  <c r="E9" i="17"/>
  <c r="E8" i="17"/>
  <c r="E36" i="16"/>
  <c r="E35" i="16"/>
  <c r="E34" i="16"/>
  <c r="E33" i="16"/>
  <c r="E30" i="16"/>
  <c r="E29" i="16"/>
  <c r="E28" i="16"/>
  <c r="E27" i="16"/>
  <c r="E26" i="16"/>
  <c r="E23" i="16"/>
  <c r="E20" i="16"/>
  <c r="E19" i="16"/>
  <c r="E16" i="16"/>
  <c r="E15" i="16"/>
  <c r="E12" i="16"/>
  <c r="E9" i="16"/>
  <c r="E8" i="16"/>
  <c r="E36" i="15"/>
  <c r="E35" i="15"/>
  <c r="E34" i="15"/>
  <c r="E33" i="15"/>
  <c r="E30" i="15"/>
  <c r="E29" i="15"/>
  <c r="E28" i="15"/>
  <c r="E27" i="15"/>
  <c r="E26" i="15"/>
  <c r="E23" i="15"/>
  <c r="E20" i="15"/>
  <c r="E19" i="15"/>
  <c r="E16" i="15"/>
  <c r="E15" i="15"/>
  <c r="E12" i="15"/>
  <c r="E9" i="15"/>
  <c r="E8" i="15"/>
  <c r="F42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6" i="19"/>
  <c r="E35" i="19"/>
  <c r="E34" i="19"/>
  <c r="E33" i="19"/>
  <c r="C32" i="19"/>
  <c r="D32" i="19" s="1"/>
  <c r="E30" i="19"/>
  <c r="E29" i="19"/>
  <c r="E28" i="19"/>
  <c r="E27" i="19"/>
  <c r="E26" i="19"/>
  <c r="C25" i="19"/>
  <c r="D25" i="19" s="1"/>
  <c r="E23" i="19"/>
  <c r="C22" i="19"/>
  <c r="D22" i="19" s="1"/>
  <c r="E20" i="19"/>
  <c r="E19" i="19"/>
  <c r="C18" i="19"/>
  <c r="D18" i="19" s="1"/>
  <c r="E16" i="19"/>
  <c r="E15" i="19"/>
  <c r="C14" i="19"/>
  <c r="D14" i="19" s="1"/>
  <c r="E12" i="19"/>
  <c r="C11" i="19"/>
  <c r="D11" i="19" s="1"/>
  <c r="E9" i="19"/>
  <c r="E8" i="19"/>
  <c r="C7" i="19"/>
  <c r="D7" i="19" s="1"/>
  <c r="D4" i="19"/>
  <c r="E36" i="12"/>
  <c r="E35" i="12"/>
  <c r="E34" i="12"/>
  <c r="E33" i="12"/>
  <c r="E30" i="12"/>
  <c r="E29" i="12"/>
  <c r="E28" i="12"/>
  <c r="E27" i="12"/>
  <c r="E26" i="12"/>
  <c r="E23" i="12"/>
  <c r="E20" i="12"/>
  <c r="E19" i="12"/>
  <c r="E16" i="12"/>
  <c r="E15" i="12"/>
  <c r="E12" i="12"/>
  <c r="E9" i="12"/>
  <c r="E8" i="12"/>
  <c r="E36" i="10"/>
  <c r="E35" i="10"/>
  <c r="E34" i="10"/>
  <c r="E33" i="10"/>
  <c r="E30" i="10"/>
  <c r="E29" i="10"/>
  <c r="E28" i="10"/>
  <c r="E27" i="10"/>
  <c r="E26" i="10"/>
  <c r="E23" i="10"/>
  <c r="E20" i="10"/>
  <c r="E19" i="10"/>
  <c r="E16" i="10"/>
  <c r="E15" i="10"/>
  <c r="E12" i="10"/>
  <c r="E9" i="10"/>
  <c r="E8" i="10"/>
  <c r="E16" i="5"/>
  <c r="E20" i="5"/>
  <c r="E19" i="5"/>
  <c r="E23" i="5"/>
  <c r="E30" i="5"/>
  <c r="E29" i="5"/>
  <c r="E28" i="5"/>
  <c r="E27" i="5"/>
  <c r="E26" i="5"/>
  <c r="E36" i="5"/>
  <c r="E35" i="5"/>
  <c r="E34" i="5"/>
  <c r="E33" i="5"/>
  <c r="E15" i="5"/>
  <c r="E12" i="5"/>
  <c r="E9" i="5"/>
  <c r="E8" i="5"/>
  <c r="E30" i="13"/>
  <c r="E29" i="13"/>
  <c r="E28" i="13"/>
  <c r="E27" i="13"/>
  <c r="E26" i="13"/>
  <c r="E23" i="13"/>
  <c r="E20" i="13"/>
  <c r="E19" i="13"/>
  <c r="E36" i="13"/>
  <c r="E35" i="13"/>
  <c r="E34" i="13"/>
  <c r="E33" i="13"/>
  <c r="E16" i="13"/>
  <c r="E15" i="13"/>
  <c r="E12" i="13"/>
  <c r="E9" i="13"/>
  <c r="E8" i="13"/>
  <c r="E36" i="9"/>
  <c r="E35" i="9"/>
  <c r="E34" i="9"/>
  <c r="E33" i="9"/>
  <c r="E30" i="9"/>
  <c r="E29" i="9"/>
  <c r="E28" i="9"/>
  <c r="E27" i="9"/>
  <c r="E26" i="9"/>
  <c r="E23" i="9"/>
  <c r="E20" i="9"/>
  <c r="E19" i="9"/>
  <c r="E16" i="9"/>
  <c r="E15" i="9"/>
  <c r="E12" i="9"/>
  <c r="E9" i="9"/>
  <c r="E8" i="9"/>
  <c r="F44" i="19" l="1"/>
  <c r="F46" i="19" s="1"/>
  <c r="F48" i="19" s="1"/>
  <c r="E38" i="19"/>
  <c r="C38" i="19"/>
  <c r="G42" i="19"/>
  <c r="H42" i="19" s="1"/>
  <c r="I42" i="19" s="1"/>
  <c r="J42" i="19" s="1"/>
  <c r="K42" i="19" s="1"/>
  <c r="L42" i="19" s="1"/>
  <c r="M42" i="19" s="1"/>
  <c r="N42" i="19" s="1"/>
  <c r="O42" i="19" s="1"/>
  <c r="P42" i="19" s="1"/>
  <c r="Q42" i="19" s="1"/>
  <c r="R42" i="19" s="1"/>
  <c r="F42" i="18"/>
  <c r="G42" i="18" s="1"/>
  <c r="H42" i="18" s="1"/>
  <c r="I42" i="18" s="1"/>
  <c r="J42" i="18" s="1"/>
  <c r="K42" i="18" s="1"/>
  <c r="L42" i="18" s="1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C32" i="18"/>
  <c r="D32" i="18" s="1"/>
  <c r="C25" i="18"/>
  <c r="D25" i="18" s="1"/>
  <c r="C22" i="18"/>
  <c r="D22" i="18" s="1"/>
  <c r="C18" i="18"/>
  <c r="D18" i="18" s="1"/>
  <c r="C14" i="18"/>
  <c r="D14" i="18" s="1"/>
  <c r="C11" i="18"/>
  <c r="D11" i="18" s="1"/>
  <c r="C7" i="18"/>
  <c r="D4" i="18"/>
  <c r="F42" i="17"/>
  <c r="G42" i="17" s="1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C32" i="17"/>
  <c r="D32" i="17" s="1"/>
  <c r="C25" i="17"/>
  <c r="D25" i="17" s="1"/>
  <c r="C22" i="17"/>
  <c r="D22" i="17" s="1"/>
  <c r="C18" i="17"/>
  <c r="D18" i="17" s="1"/>
  <c r="C14" i="17"/>
  <c r="D14" i="17" s="1"/>
  <c r="C11" i="17"/>
  <c r="D11" i="17" s="1"/>
  <c r="C7" i="17"/>
  <c r="D7" i="17" s="1"/>
  <c r="D4" i="17"/>
  <c r="F42" i="16"/>
  <c r="G42" i="16" s="1"/>
  <c r="H42" i="16" s="1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G44" i="16" s="1"/>
  <c r="F38" i="16"/>
  <c r="C32" i="16"/>
  <c r="D32" i="16" s="1"/>
  <c r="C25" i="16"/>
  <c r="D25" i="16" s="1"/>
  <c r="C22" i="16"/>
  <c r="D22" i="16" s="1"/>
  <c r="C18" i="16"/>
  <c r="D18" i="16" s="1"/>
  <c r="C14" i="16"/>
  <c r="D14" i="16" s="1"/>
  <c r="C11" i="16"/>
  <c r="D11" i="16" s="1"/>
  <c r="C7" i="16"/>
  <c r="D7" i="16" s="1"/>
  <c r="D4" i="16"/>
  <c r="F42" i="15"/>
  <c r="G42" i="15" s="1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C32" i="15"/>
  <c r="D32" i="15" s="1"/>
  <c r="C25" i="15"/>
  <c r="D25" i="15" s="1"/>
  <c r="C22" i="15"/>
  <c r="D22" i="15" s="1"/>
  <c r="C18" i="15"/>
  <c r="D18" i="15" s="1"/>
  <c r="C14" i="15"/>
  <c r="D14" i="15" s="1"/>
  <c r="C11" i="15"/>
  <c r="D11" i="15" s="1"/>
  <c r="C7" i="15"/>
  <c r="D4" i="15"/>
  <c r="F44" i="15" l="1"/>
  <c r="F46" i="15" s="1"/>
  <c r="E38" i="15"/>
  <c r="C38" i="15"/>
  <c r="G46" i="16"/>
  <c r="E38" i="16"/>
  <c r="F44" i="17"/>
  <c r="F46" i="17" s="1"/>
  <c r="F48" i="17" s="1"/>
  <c r="G48" i="17" s="1"/>
  <c r="C38" i="18"/>
  <c r="E38" i="18"/>
  <c r="S42" i="19"/>
  <c r="R44" i="19"/>
  <c r="R46" i="19" s="1"/>
  <c r="H44" i="19"/>
  <c r="H46" i="19" s="1"/>
  <c r="O44" i="19"/>
  <c r="O46" i="19" s="1"/>
  <c r="P44" i="19"/>
  <c r="P46" i="19" s="1"/>
  <c r="J44" i="19"/>
  <c r="J46" i="19" s="1"/>
  <c r="G44" i="19"/>
  <c r="G46" i="19" s="1"/>
  <c r="G48" i="19" s="1"/>
  <c r="H48" i="19" s="1"/>
  <c r="I48" i="19" s="1"/>
  <c r="J48" i="19" s="1"/>
  <c r="Q44" i="19"/>
  <c r="Q46" i="19" s="1"/>
  <c r="K44" i="19"/>
  <c r="K46" i="19" s="1"/>
  <c r="I44" i="19"/>
  <c r="I46" i="19" s="1"/>
  <c r="M44" i="19"/>
  <c r="M46" i="19" s="1"/>
  <c r="N44" i="19"/>
  <c r="N46" i="19" s="1"/>
  <c r="L44" i="19"/>
  <c r="L46" i="19" s="1"/>
  <c r="K44" i="18"/>
  <c r="K46" i="18" s="1"/>
  <c r="M42" i="18"/>
  <c r="L44" i="18"/>
  <c r="L46" i="18" s="1"/>
  <c r="G44" i="18"/>
  <c r="G46" i="18" s="1"/>
  <c r="J44" i="18"/>
  <c r="J46" i="18" s="1"/>
  <c r="H44" i="18"/>
  <c r="H46" i="18" s="1"/>
  <c r="I44" i="18"/>
  <c r="I46" i="18" s="1"/>
  <c r="D7" i="18"/>
  <c r="F44" i="18"/>
  <c r="F46" i="18" s="1"/>
  <c r="F48" i="18" s="1"/>
  <c r="H42" i="17"/>
  <c r="G44" i="17"/>
  <c r="G46" i="17" s="1"/>
  <c r="E38" i="17"/>
  <c r="C38" i="17"/>
  <c r="I42" i="16"/>
  <c r="H44" i="16"/>
  <c r="H46" i="16" s="1"/>
  <c r="F44" i="16"/>
  <c r="F46" i="16" s="1"/>
  <c r="C38" i="16"/>
  <c r="F48" i="16"/>
  <c r="G48" i="16" s="1"/>
  <c r="H48" i="16" s="1"/>
  <c r="H42" i="15"/>
  <c r="G44" i="15"/>
  <c r="G46" i="15" s="1"/>
  <c r="D7" i="15"/>
  <c r="F48" i="15"/>
  <c r="G48" i="15" s="1"/>
  <c r="K48" i="19" l="1"/>
  <c r="L48" i="19" s="1"/>
  <c r="M48" i="19" s="1"/>
  <c r="N48" i="19" s="1"/>
  <c r="O48" i="19" s="1"/>
  <c r="P48" i="19" s="1"/>
  <c r="Q48" i="19" s="1"/>
  <c r="R48" i="19" s="1"/>
  <c r="G48" i="18"/>
  <c r="H48" i="18" s="1"/>
  <c r="I48" i="18" s="1"/>
  <c r="J48" i="18" s="1"/>
  <c r="K48" i="18" s="1"/>
  <c r="L48" i="18" s="1"/>
  <c r="S44" i="19"/>
  <c r="S46" i="19" s="1"/>
  <c r="T42" i="19"/>
  <c r="N42" i="18"/>
  <c r="M44" i="18"/>
  <c r="M46" i="18" s="1"/>
  <c r="M48" i="18" s="1"/>
  <c r="I42" i="17"/>
  <c r="H44" i="17"/>
  <c r="H46" i="17" s="1"/>
  <c r="H48" i="17" s="1"/>
  <c r="I44" i="16"/>
  <c r="I46" i="16" s="1"/>
  <c r="I48" i="16" s="1"/>
  <c r="J42" i="16"/>
  <c r="I42" i="15"/>
  <c r="H44" i="15"/>
  <c r="H46" i="15" s="1"/>
  <c r="H48" i="15" s="1"/>
  <c r="S48" i="19" l="1"/>
  <c r="U42" i="19"/>
  <c r="T44" i="19"/>
  <c r="T46" i="19" s="1"/>
  <c r="T48" i="19" s="1"/>
  <c r="O42" i="18"/>
  <c r="N44" i="18"/>
  <c r="N46" i="18" s="1"/>
  <c r="N48" i="18" s="1"/>
  <c r="J42" i="17"/>
  <c r="I44" i="17"/>
  <c r="I46" i="17" s="1"/>
  <c r="I48" i="17" s="1"/>
  <c r="K42" i="16"/>
  <c r="J44" i="16"/>
  <c r="J46" i="16" s="1"/>
  <c r="J48" i="16" s="1"/>
  <c r="I44" i="15"/>
  <c r="I46" i="15" s="1"/>
  <c r="I48" i="15" s="1"/>
  <c r="J42" i="15"/>
  <c r="U44" i="19" l="1"/>
  <c r="U46" i="19" s="1"/>
  <c r="U48" i="19" s="1"/>
  <c r="V42" i="19"/>
  <c r="P42" i="18"/>
  <c r="O44" i="18"/>
  <c r="O46" i="18" s="1"/>
  <c r="O48" i="18"/>
  <c r="K42" i="17"/>
  <c r="J44" i="17"/>
  <c r="J46" i="17" s="1"/>
  <c r="J48" i="17" s="1"/>
  <c r="K48" i="16"/>
  <c r="L42" i="16"/>
  <c r="K44" i="16"/>
  <c r="K46" i="16" s="1"/>
  <c r="J44" i="15"/>
  <c r="J46" i="15" s="1"/>
  <c r="J48" i="15" s="1"/>
  <c r="K42" i="15"/>
  <c r="V44" i="19" l="1"/>
  <c r="V46" i="19" s="1"/>
  <c r="V48" i="19" s="1"/>
  <c r="W42" i="19"/>
  <c r="P44" i="18"/>
  <c r="P46" i="18" s="1"/>
  <c r="P48" i="18" s="1"/>
  <c r="Q42" i="18"/>
  <c r="L42" i="17"/>
  <c r="K44" i="17"/>
  <c r="K46" i="17" s="1"/>
  <c r="K48" i="17" s="1"/>
  <c r="M42" i="16"/>
  <c r="L44" i="16"/>
  <c r="L46" i="16" s="1"/>
  <c r="L48" i="16" s="1"/>
  <c r="L42" i="15"/>
  <c r="K44" i="15"/>
  <c r="K46" i="15" s="1"/>
  <c r="K48" i="15" s="1"/>
  <c r="F42" i="13"/>
  <c r="G42" i="13" s="1"/>
  <c r="H42" i="13" s="1"/>
  <c r="I42" i="13" s="1"/>
  <c r="J42" i="13" s="1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C32" i="13"/>
  <c r="D32" i="13" s="1"/>
  <c r="C25" i="13"/>
  <c r="D25" i="13" s="1"/>
  <c r="C22" i="13"/>
  <c r="D22" i="13" s="1"/>
  <c r="C18" i="13"/>
  <c r="D18" i="13" s="1"/>
  <c r="C14" i="13"/>
  <c r="D14" i="13" s="1"/>
  <c r="C11" i="13"/>
  <c r="D11" i="13" s="1"/>
  <c r="C7" i="13"/>
  <c r="D4" i="13"/>
  <c r="C38" i="13" l="1"/>
  <c r="F44" i="13"/>
  <c r="E38" i="13"/>
  <c r="W44" i="19"/>
  <c r="W46" i="19" s="1"/>
  <c r="W48" i="19" s="1"/>
  <c r="X42" i="19"/>
  <c r="R42" i="18"/>
  <c r="Q44" i="18"/>
  <c r="Q46" i="18" s="1"/>
  <c r="Q48" i="18" s="1"/>
  <c r="M42" i="17"/>
  <c r="L44" i="17"/>
  <c r="L46" i="17" s="1"/>
  <c r="L48" i="17" s="1"/>
  <c r="N42" i="16"/>
  <c r="M44" i="16"/>
  <c r="M46" i="16" s="1"/>
  <c r="M48" i="16" s="1"/>
  <c r="M42" i="15"/>
  <c r="L44" i="15"/>
  <c r="L46" i="15" s="1"/>
  <c r="L48" i="15" s="1"/>
  <c r="F46" i="13"/>
  <c r="F50" i="13" s="1"/>
  <c r="O44" i="13"/>
  <c r="O46" i="13" s="1"/>
  <c r="N44" i="13"/>
  <c r="N46" i="13" s="1"/>
  <c r="G44" i="13"/>
  <c r="G46" i="13" s="1"/>
  <c r="J44" i="13"/>
  <c r="J46" i="13" s="1"/>
  <c r="K42" i="13"/>
  <c r="L42" i="13" s="1"/>
  <c r="M42" i="13" s="1"/>
  <c r="N42" i="13" s="1"/>
  <c r="O42" i="13" s="1"/>
  <c r="P42" i="13" s="1"/>
  <c r="H44" i="13"/>
  <c r="H46" i="13" s="1"/>
  <c r="I44" i="13"/>
  <c r="I46" i="13" s="1"/>
  <c r="K44" i="13"/>
  <c r="K46" i="13" s="1"/>
  <c r="D7" i="13"/>
  <c r="F42" i="12"/>
  <c r="G42" i="12" s="1"/>
  <c r="H42" i="12" s="1"/>
  <c r="I42" i="12" s="1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H44" i="12" s="1"/>
  <c r="G38" i="12"/>
  <c r="G44" i="12" s="1"/>
  <c r="F38" i="12"/>
  <c r="C32" i="12"/>
  <c r="D32" i="12" s="1"/>
  <c r="C25" i="12"/>
  <c r="D25" i="12" s="1"/>
  <c r="C22" i="12"/>
  <c r="D22" i="12" s="1"/>
  <c r="C18" i="12"/>
  <c r="D18" i="12" s="1"/>
  <c r="C14" i="12"/>
  <c r="D14" i="12" s="1"/>
  <c r="C11" i="12"/>
  <c r="D11" i="12" s="1"/>
  <c r="C7" i="12"/>
  <c r="D4" i="12"/>
  <c r="F42" i="10"/>
  <c r="G42" i="10" s="1"/>
  <c r="H42" i="10" s="1"/>
  <c r="I42" i="10" s="1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Y42" i="10" s="1"/>
  <c r="Z42" i="10" s="1"/>
  <c r="AA42" i="10" s="1"/>
  <c r="AB42" i="10" s="1"/>
  <c r="AC42" i="10" s="1"/>
  <c r="AD42" i="10" s="1"/>
  <c r="AE42" i="10" s="1"/>
  <c r="AF42" i="10" s="1"/>
  <c r="AG42" i="10" s="1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C32" i="10"/>
  <c r="D32" i="10" s="1"/>
  <c r="C25" i="10"/>
  <c r="D25" i="10" s="1"/>
  <c r="C22" i="10"/>
  <c r="D22" i="10" s="1"/>
  <c r="C18" i="10"/>
  <c r="D18" i="10" s="1"/>
  <c r="C14" i="10"/>
  <c r="D14" i="10" s="1"/>
  <c r="C11" i="10"/>
  <c r="D11" i="10" s="1"/>
  <c r="C7" i="10"/>
  <c r="D7" i="10" s="1"/>
  <c r="D4" i="10"/>
  <c r="H50" i="13" l="1"/>
  <c r="M44" i="13"/>
  <c r="M46" i="13" s="1"/>
  <c r="N50" i="13"/>
  <c r="E38" i="10"/>
  <c r="J50" i="13"/>
  <c r="F48" i="13"/>
  <c r="G48" i="13" s="1"/>
  <c r="H48" i="13" s="1"/>
  <c r="I48" i="13" s="1"/>
  <c r="J48" i="13" s="1"/>
  <c r="K48" i="13" s="1"/>
  <c r="F44" i="12"/>
  <c r="F46" i="12" s="1"/>
  <c r="E38" i="12"/>
  <c r="X44" i="19"/>
  <c r="X46" i="19" s="1"/>
  <c r="X48" i="19" s="1"/>
  <c r="Y42" i="19"/>
  <c r="S42" i="18"/>
  <c r="R44" i="18"/>
  <c r="R46" i="18" s="1"/>
  <c r="R48" i="18" s="1"/>
  <c r="N42" i="17"/>
  <c r="M44" i="17"/>
  <c r="M46" i="17" s="1"/>
  <c r="M48" i="17" s="1"/>
  <c r="O42" i="16"/>
  <c r="N44" i="16"/>
  <c r="N46" i="16" s="1"/>
  <c r="N48" i="16" s="1"/>
  <c r="N42" i="15"/>
  <c r="M44" i="15"/>
  <c r="M46" i="15" s="1"/>
  <c r="M48" i="15" s="1"/>
  <c r="P44" i="13"/>
  <c r="P46" i="13" s="1"/>
  <c r="Q42" i="13"/>
  <c r="L44" i="13"/>
  <c r="L46" i="13" s="1"/>
  <c r="L50" i="13" s="1"/>
  <c r="G46" i="12"/>
  <c r="H46" i="12"/>
  <c r="C38" i="12"/>
  <c r="I44" i="12"/>
  <c r="I46" i="12" s="1"/>
  <c r="J42" i="12"/>
  <c r="K42" i="12" s="1"/>
  <c r="D7" i="12"/>
  <c r="F44" i="10"/>
  <c r="F46" i="10" s="1"/>
  <c r="F48" i="10" s="1"/>
  <c r="K44" i="10"/>
  <c r="K46" i="10" s="1"/>
  <c r="S44" i="10"/>
  <c r="S46" i="10" s="1"/>
  <c r="AA44" i="10"/>
  <c r="AA46" i="10" s="1"/>
  <c r="L44" i="10"/>
  <c r="L46" i="10" s="1"/>
  <c r="T44" i="10"/>
  <c r="T46" i="10" s="1"/>
  <c r="AB44" i="10"/>
  <c r="AB46" i="10" s="1"/>
  <c r="M44" i="10"/>
  <c r="M46" i="10" s="1"/>
  <c r="U44" i="10"/>
  <c r="U46" i="10" s="1"/>
  <c r="AC44" i="10"/>
  <c r="AC46" i="10" s="1"/>
  <c r="J44" i="10"/>
  <c r="J46" i="10" s="1"/>
  <c r="R44" i="10"/>
  <c r="R46" i="10" s="1"/>
  <c r="Z44" i="10"/>
  <c r="Z46" i="10" s="1"/>
  <c r="N44" i="10"/>
  <c r="N46" i="10" s="1"/>
  <c r="V44" i="10"/>
  <c r="V46" i="10" s="1"/>
  <c r="AD44" i="10"/>
  <c r="AD46" i="10" s="1"/>
  <c r="G44" i="10"/>
  <c r="G46" i="10" s="1"/>
  <c r="O44" i="10"/>
  <c r="O46" i="10" s="1"/>
  <c r="W44" i="10"/>
  <c r="W46" i="10" s="1"/>
  <c r="AE44" i="10"/>
  <c r="AE46" i="10" s="1"/>
  <c r="H44" i="10"/>
  <c r="H46" i="10" s="1"/>
  <c r="P44" i="10"/>
  <c r="P46" i="10" s="1"/>
  <c r="X44" i="10"/>
  <c r="X46" i="10" s="1"/>
  <c r="AF44" i="10"/>
  <c r="AF46" i="10" s="1"/>
  <c r="I44" i="10"/>
  <c r="I46" i="10" s="1"/>
  <c r="Q44" i="10"/>
  <c r="Q46" i="10" s="1"/>
  <c r="Y44" i="10"/>
  <c r="Y46" i="10" s="1"/>
  <c r="AG44" i="10"/>
  <c r="AG46" i="10" s="1"/>
  <c r="C38" i="10"/>
  <c r="C18" i="9"/>
  <c r="F48" i="12" l="1"/>
  <c r="G48" i="12" s="1"/>
  <c r="H48" i="12" s="1"/>
  <c r="I48" i="12" s="1"/>
  <c r="Z42" i="19"/>
  <c r="Y44" i="19"/>
  <c r="Y46" i="19" s="1"/>
  <c r="Y48" i="19" s="1"/>
  <c r="T42" i="18"/>
  <c r="S44" i="18"/>
  <c r="S46" i="18" s="1"/>
  <c r="S48" i="18" s="1"/>
  <c r="O42" i="17"/>
  <c r="N44" i="17"/>
  <c r="N46" i="17" s="1"/>
  <c r="N48" i="17" s="1"/>
  <c r="O44" i="16"/>
  <c r="O46" i="16" s="1"/>
  <c r="O48" i="16" s="1"/>
  <c r="P42" i="16"/>
  <c r="O42" i="15"/>
  <c r="N44" i="15"/>
  <c r="N46" i="15" s="1"/>
  <c r="N48" i="15" s="1"/>
  <c r="R42" i="13"/>
  <c r="Q44" i="13"/>
  <c r="Q46" i="13" s="1"/>
  <c r="P50" i="13" s="1"/>
  <c r="L48" i="13"/>
  <c r="M48" i="13" s="1"/>
  <c r="N48" i="13" s="1"/>
  <c r="O48" i="13" s="1"/>
  <c r="P48" i="13" s="1"/>
  <c r="K44" i="12"/>
  <c r="K46" i="12" s="1"/>
  <c r="L42" i="12"/>
  <c r="J44" i="12"/>
  <c r="J46" i="12" s="1"/>
  <c r="G48" i="10"/>
  <c r="H48" i="10" s="1"/>
  <c r="I48" i="10" s="1"/>
  <c r="J48" i="10" s="1"/>
  <c r="K48" i="10" s="1"/>
  <c r="L48" i="10" s="1"/>
  <c r="M48" i="10" s="1"/>
  <c r="N48" i="10" s="1"/>
  <c r="O48" i="10" s="1"/>
  <c r="P48" i="10" s="1"/>
  <c r="Q48" i="10" s="1"/>
  <c r="R48" i="10" s="1"/>
  <c r="S48" i="10" s="1"/>
  <c r="T48" i="10" s="1"/>
  <c r="U48" i="10" s="1"/>
  <c r="V48" i="10" s="1"/>
  <c r="W48" i="10" s="1"/>
  <c r="X48" i="10" s="1"/>
  <c r="Y48" i="10" s="1"/>
  <c r="Z48" i="10" s="1"/>
  <c r="AA48" i="10" s="1"/>
  <c r="AB48" i="10" s="1"/>
  <c r="AC48" i="10" s="1"/>
  <c r="AD48" i="10" s="1"/>
  <c r="AE48" i="10" s="1"/>
  <c r="AF48" i="10" s="1"/>
  <c r="AG48" i="10" s="1"/>
  <c r="F42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F44" i="9" s="1"/>
  <c r="C32" i="9"/>
  <c r="D32" i="9" s="1"/>
  <c r="C25" i="9"/>
  <c r="D25" i="9" s="1"/>
  <c r="C22" i="9"/>
  <c r="D22" i="9" s="1"/>
  <c r="D18" i="9"/>
  <c r="C14" i="9"/>
  <c r="D14" i="9" s="1"/>
  <c r="C11" i="9"/>
  <c r="D11" i="9" s="1"/>
  <c r="C7" i="9"/>
  <c r="D7" i="9" s="1"/>
  <c r="D4" i="9"/>
  <c r="F42" i="5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C32" i="5"/>
  <c r="D32" i="5" s="1"/>
  <c r="C25" i="5"/>
  <c r="D25" i="5" s="1"/>
  <c r="C22" i="5"/>
  <c r="D22" i="5" s="1"/>
  <c r="C18" i="5"/>
  <c r="D18" i="5" s="1"/>
  <c r="C14" i="5"/>
  <c r="D14" i="5" s="1"/>
  <c r="C11" i="5"/>
  <c r="D11" i="5" s="1"/>
  <c r="C7" i="5"/>
  <c r="D7" i="5" s="1"/>
  <c r="D4" i="5"/>
  <c r="J48" i="12" l="1"/>
  <c r="E38" i="5"/>
  <c r="K48" i="12"/>
  <c r="E38" i="9"/>
  <c r="AA42" i="19"/>
  <c r="Z44" i="19"/>
  <c r="Z46" i="19" s="1"/>
  <c r="Z48" i="19" s="1"/>
  <c r="U42" i="18"/>
  <c r="T44" i="18"/>
  <c r="T46" i="18" s="1"/>
  <c r="T48" i="18" s="1"/>
  <c r="P42" i="17"/>
  <c r="O44" i="17"/>
  <c r="O46" i="17" s="1"/>
  <c r="O48" i="17" s="1"/>
  <c r="Q42" i="16"/>
  <c r="P44" i="16"/>
  <c r="P46" i="16" s="1"/>
  <c r="P48" i="16" s="1"/>
  <c r="P42" i="15"/>
  <c r="O44" i="15"/>
  <c r="O46" i="15" s="1"/>
  <c r="O48" i="15" s="1"/>
  <c r="Q48" i="13"/>
  <c r="S42" i="13"/>
  <c r="R44" i="13"/>
  <c r="R46" i="13" s="1"/>
  <c r="M42" i="12"/>
  <c r="L44" i="12"/>
  <c r="L46" i="12" s="1"/>
  <c r="C38" i="9"/>
  <c r="C38" i="5"/>
  <c r="K44" i="5"/>
  <c r="K46" i="5" s="1"/>
  <c r="F7" i="20" s="1"/>
  <c r="M44" i="5"/>
  <c r="M46" i="5" s="1"/>
  <c r="H7" i="20" s="1"/>
  <c r="U44" i="5"/>
  <c r="U46" i="5" s="1"/>
  <c r="F44" i="5"/>
  <c r="F46" i="5" s="1"/>
  <c r="G44" i="5"/>
  <c r="G46" i="5" s="1"/>
  <c r="B7" i="20" s="1"/>
  <c r="I44" i="5"/>
  <c r="I46" i="5" s="1"/>
  <c r="D7" i="20" s="1"/>
  <c r="F46" i="9"/>
  <c r="G42" i="9"/>
  <c r="H42" i="9" s="1"/>
  <c r="I42" i="9" s="1"/>
  <c r="J42" i="9" s="1"/>
  <c r="K42" i="9" s="1"/>
  <c r="L42" i="9" s="1"/>
  <c r="M42" i="9" s="1"/>
  <c r="N42" i="9" s="1"/>
  <c r="O42" i="9" s="1"/>
  <c r="P42" i="9" s="1"/>
  <c r="Q42" i="9" s="1"/>
  <c r="R42" i="9" s="1"/>
  <c r="S42" i="9" s="1"/>
  <c r="T42" i="9" s="1"/>
  <c r="U42" i="9" s="1"/>
  <c r="V42" i="9" s="1"/>
  <c r="W42" i="9" s="1"/>
  <c r="X42" i="9" s="1"/>
  <c r="Y42" i="9" s="1"/>
  <c r="Z42" i="9" s="1"/>
  <c r="AA42" i="9" s="1"/>
  <c r="AB42" i="9" s="1"/>
  <c r="AC42" i="9" s="1"/>
  <c r="AD42" i="9" s="1"/>
  <c r="AE42" i="9" s="1"/>
  <c r="AF42" i="9" s="1"/>
  <c r="AG42" i="9" s="1"/>
  <c r="AG44" i="9" s="1"/>
  <c r="AG46" i="9" s="1"/>
  <c r="AD42" i="5"/>
  <c r="AE42" i="5" s="1"/>
  <c r="AF42" i="5" s="1"/>
  <c r="AG42" i="5" s="1"/>
  <c r="AG44" i="5" s="1"/>
  <c r="AG46" i="5" s="1"/>
  <c r="AC44" i="5"/>
  <c r="AC46" i="5" s="1"/>
  <c r="Q44" i="5"/>
  <c r="Q46" i="5" s="1"/>
  <c r="Y44" i="5"/>
  <c r="Y46" i="5" s="1"/>
  <c r="J44" i="5"/>
  <c r="J46" i="5" s="1"/>
  <c r="E7" i="20" s="1"/>
  <c r="R44" i="5"/>
  <c r="R46" i="5" s="1"/>
  <c r="Z44" i="5"/>
  <c r="Z46" i="5" s="1"/>
  <c r="S44" i="5"/>
  <c r="S46" i="5" s="1"/>
  <c r="AA44" i="5"/>
  <c r="AA46" i="5" s="1"/>
  <c r="L44" i="5"/>
  <c r="L46" i="5" s="1"/>
  <c r="G7" i="20" s="1"/>
  <c r="T44" i="5"/>
  <c r="T46" i="5" s="1"/>
  <c r="AB44" i="5"/>
  <c r="AB46" i="5" s="1"/>
  <c r="N44" i="5"/>
  <c r="N46" i="5" s="1"/>
  <c r="I7" i="20" s="1"/>
  <c r="V44" i="5"/>
  <c r="V46" i="5" s="1"/>
  <c r="O44" i="5"/>
  <c r="O46" i="5" s="1"/>
  <c r="W44" i="5"/>
  <c r="W46" i="5" s="1"/>
  <c r="AE44" i="5"/>
  <c r="AE46" i="5" s="1"/>
  <c r="H44" i="5"/>
  <c r="H46" i="5" s="1"/>
  <c r="C7" i="20" s="1"/>
  <c r="P44" i="5"/>
  <c r="P46" i="5" s="1"/>
  <c r="X44" i="5"/>
  <c r="X46" i="5" s="1"/>
  <c r="F48" i="5" l="1"/>
  <c r="A7" i="20"/>
  <c r="L48" i="12"/>
  <c r="F48" i="9"/>
  <c r="AB42" i="19"/>
  <c r="AA44" i="19"/>
  <c r="AA46" i="19" s="1"/>
  <c r="AA48" i="19" s="1"/>
  <c r="V42" i="18"/>
  <c r="U44" i="18"/>
  <c r="U46" i="18" s="1"/>
  <c r="U48" i="18" s="1"/>
  <c r="Q42" i="17"/>
  <c r="P44" i="17"/>
  <c r="P46" i="17" s="1"/>
  <c r="P48" i="17" s="1"/>
  <c r="R42" i="16"/>
  <c r="Q44" i="16"/>
  <c r="Q46" i="16" s="1"/>
  <c r="Q48" i="16" s="1"/>
  <c r="Q42" i="15"/>
  <c r="P44" i="15"/>
  <c r="P46" i="15" s="1"/>
  <c r="P48" i="15" s="1"/>
  <c r="T42" i="13"/>
  <c r="S44" i="13"/>
  <c r="S46" i="13" s="1"/>
  <c r="R50" i="13" s="1"/>
  <c r="R48" i="13"/>
  <c r="N42" i="12"/>
  <c r="M44" i="12"/>
  <c r="M46" i="12" s="1"/>
  <c r="M48" i="12" s="1"/>
  <c r="AD44" i="5"/>
  <c r="AD46" i="5" s="1"/>
  <c r="AF44" i="5"/>
  <c r="AF46" i="5" s="1"/>
  <c r="Y44" i="9"/>
  <c r="Y46" i="9" s="1"/>
  <c r="W44" i="9"/>
  <c r="W46" i="9" s="1"/>
  <c r="M44" i="9"/>
  <c r="M46" i="9" s="1"/>
  <c r="AC44" i="9"/>
  <c r="AC46" i="9" s="1"/>
  <c r="Q44" i="9"/>
  <c r="Q46" i="9" s="1"/>
  <c r="G44" i="9"/>
  <c r="G46" i="9" s="1"/>
  <c r="T44" i="9"/>
  <c r="T46" i="9" s="1"/>
  <c r="O44" i="9"/>
  <c r="O46" i="9" s="1"/>
  <c r="AF44" i="9"/>
  <c r="AF46" i="9" s="1"/>
  <c r="AF50" i="9" s="1"/>
  <c r="AG51" i="9" s="1"/>
  <c r="U44" i="9"/>
  <c r="U46" i="9" s="1"/>
  <c r="L44" i="9"/>
  <c r="L46" i="9" s="1"/>
  <c r="Z44" i="9"/>
  <c r="Z46" i="9" s="1"/>
  <c r="X44" i="9"/>
  <c r="X46" i="9" s="1"/>
  <c r="AD44" i="9"/>
  <c r="AD46" i="9" s="1"/>
  <c r="AA44" i="9"/>
  <c r="AA46" i="9" s="1"/>
  <c r="AB44" i="9"/>
  <c r="AB46" i="9" s="1"/>
  <c r="AB50" i="9" s="1"/>
  <c r="AC51" i="9" s="1"/>
  <c r="I44" i="9"/>
  <c r="I46" i="9" s="1"/>
  <c r="R44" i="9"/>
  <c r="R46" i="9" s="1"/>
  <c r="P44" i="9"/>
  <c r="P46" i="9" s="1"/>
  <c r="V44" i="9"/>
  <c r="V46" i="9" s="1"/>
  <c r="S44" i="9"/>
  <c r="S46" i="9" s="1"/>
  <c r="AE44" i="9"/>
  <c r="AE46" i="9" s="1"/>
  <c r="J44" i="9"/>
  <c r="J46" i="9" s="1"/>
  <c r="H44" i="9"/>
  <c r="H46" i="9" s="1"/>
  <c r="N44" i="9"/>
  <c r="N46" i="9" s="1"/>
  <c r="K44" i="9"/>
  <c r="K46" i="9" s="1"/>
  <c r="G48" i="5"/>
  <c r="H48" i="5" s="1"/>
  <c r="I48" i="5" s="1"/>
  <c r="J48" i="5" s="1"/>
  <c r="K48" i="5" s="1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F48" i="5" s="1"/>
  <c r="AG48" i="5" s="1"/>
  <c r="N50" i="9" l="1"/>
  <c r="O51" i="9" s="1"/>
  <c r="J7" i="20"/>
  <c r="G48" i="9"/>
  <c r="Z50" i="9"/>
  <c r="AA51" i="9" s="1"/>
  <c r="P50" i="9"/>
  <c r="Q51" i="9" s="1"/>
  <c r="R50" i="9"/>
  <c r="S51" i="9" s="1"/>
  <c r="H50" i="9"/>
  <c r="I51" i="9" s="1"/>
  <c r="T50" i="9"/>
  <c r="U51" i="9" s="1"/>
  <c r="J50" i="9"/>
  <c r="K51" i="9" s="1"/>
  <c r="AD50" i="9"/>
  <c r="AE51" i="9" s="1"/>
  <c r="X50" i="9"/>
  <c r="Y51" i="9" s="1"/>
  <c r="F50" i="9"/>
  <c r="G51" i="9" s="1"/>
  <c r="L50" i="9"/>
  <c r="M51" i="9" s="1"/>
  <c r="V50" i="9"/>
  <c r="W51" i="9" s="1"/>
  <c r="S48" i="13"/>
  <c r="AC42" i="19"/>
  <c r="AB44" i="19"/>
  <c r="AB46" i="19" s="1"/>
  <c r="AB48" i="19" s="1"/>
  <c r="W42" i="18"/>
  <c r="V44" i="18"/>
  <c r="V46" i="18" s="1"/>
  <c r="V48" i="18" s="1"/>
  <c r="Q44" i="17"/>
  <c r="Q46" i="17" s="1"/>
  <c r="Q48" i="17" s="1"/>
  <c r="R42" i="17"/>
  <c r="S42" i="16"/>
  <c r="R44" i="16"/>
  <c r="R46" i="16" s="1"/>
  <c r="R48" i="16" s="1"/>
  <c r="R42" i="15"/>
  <c r="Q44" i="15"/>
  <c r="Q46" i="15" s="1"/>
  <c r="Q48" i="15" s="1"/>
  <c r="U42" i="13"/>
  <c r="T44" i="13"/>
  <c r="T46" i="13" s="1"/>
  <c r="O42" i="12"/>
  <c r="N44" i="12"/>
  <c r="N46" i="12" s="1"/>
  <c r="H48" i="9"/>
  <c r="I48" i="9" s="1"/>
  <c r="J48" i="9" s="1"/>
  <c r="K48" i="9" s="1"/>
  <c r="L48" i="9" s="1"/>
  <c r="M48" i="9" s="1"/>
  <c r="N48" i="9" s="1"/>
  <c r="O48" i="9" s="1"/>
  <c r="P48" i="9" s="1"/>
  <c r="Q48" i="9" s="1"/>
  <c r="R48" i="9" s="1"/>
  <c r="S48" i="9" s="1"/>
  <c r="T48" i="9" s="1"/>
  <c r="U48" i="9" s="1"/>
  <c r="V48" i="9" s="1"/>
  <c r="W48" i="9" s="1"/>
  <c r="X48" i="9" s="1"/>
  <c r="Y48" i="9" s="1"/>
  <c r="Z48" i="9" s="1"/>
  <c r="AA48" i="9" s="1"/>
  <c r="AB48" i="9" s="1"/>
  <c r="AC48" i="9" s="1"/>
  <c r="AD48" i="9" s="1"/>
  <c r="AE48" i="9" s="1"/>
  <c r="AF48" i="9" s="1"/>
  <c r="AG48" i="9" s="1"/>
  <c r="N48" i="12" l="1"/>
  <c r="K7" i="20"/>
  <c r="T48" i="13"/>
  <c r="AD42" i="19"/>
  <c r="AC44" i="19"/>
  <c r="AC46" i="19" s="1"/>
  <c r="AC48" i="19" s="1"/>
  <c r="X42" i="18"/>
  <c r="W44" i="18"/>
  <c r="W46" i="18" s="1"/>
  <c r="W48" i="18" s="1"/>
  <c r="R44" i="17"/>
  <c r="R46" i="17" s="1"/>
  <c r="R48" i="17" s="1"/>
  <c r="S42" i="17"/>
  <c r="T42" i="16"/>
  <c r="S44" i="16"/>
  <c r="S46" i="16" s="1"/>
  <c r="S48" i="16" s="1"/>
  <c r="S42" i="15"/>
  <c r="R44" i="15"/>
  <c r="R46" i="15" s="1"/>
  <c r="R48" i="15" s="1"/>
  <c r="V42" i="13"/>
  <c r="U44" i="13"/>
  <c r="U46" i="13" s="1"/>
  <c r="U48" i="13" s="1"/>
  <c r="P42" i="12"/>
  <c r="O44" i="12"/>
  <c r="O46" i="12" s="1"/>
  <c r="O48" i="12" l="1"/>
  <c r="L7" i="20"/>
  <c r="T50" i="13"/>
  <c r="AE42" i="19"/>
  <c r="AD44" i="19"/>
  <c r="AD46" i="19" s="1"/>
  <c r="AD48" i="19" s="1"/>
  <c r="Y42" i="18"/>
  <c r="X44" i="18"/>
  <c r="X46" i="18" s="1"/>
  <c r="X48" i="18" s="1"/>
  <c r="T42" i="17"/>
  <c r="S44" i="17"/>
  <c r="S46" i="17" s="1"/>
  <c r="S48" i="17" s="1"/>
  <c r="U42" i="16"/>
  <c r="T44" i="16"/>
  <c r="T46" i="16" s="1"/>
  <c r="T48" i="16" s="1"/>
  <c r="T42" i="15"/>
  <c r="S44" i="15"/>
  <c r="S46" i="15" s="1"/>
  <c r="S48" i="15" s="1"/>
  <c r="V44" i="13"/>
  <c r="V46" i="13" s="1"/>
  <c r="W42" i="13"/>
  <c r="Q42" i="12"/>
  <c r="P44" i="12"/>
  <c r="P46" i="12" s="1"/>
  <c r="P48" i="12" l="1"/>
  <c r="M7" i="20"/>
  <c r="V48" i="13"/>
  <c r="AF42" i="19"/>
  <c r="AE44" i="19"/>
  <c r="AE46" i="19" s="1"/>
  <c r="AE48" i="19" s="1"/>
  <c r="Z42" i="18"/>
  <c r="Y44" i="18"/>
  <c r="Y46" i="18" s="1"/>
  <c r="Y48" i="18" s="1"/>
  <c r="T44" i="17"/>
  <c r="T46" i="17" s="1"/>
  <c r="T48" i="17" s="1"/>
  <c r="U42" i="17"/>
  <c r="U44" i="16"/>
  <c r="U46" i="16" s="1"/>
  <c r="U48" i="16" s="1"/>
  <c r="V42" i="16"/>
  <c r="U42" i="15"/>
  <c r="T44" i="15"/>
  <c r="T46" i="15" s="1"/>
  <c r="T48" i="15" s="1"/>
  <c r="X42" i="13"/>
  <c r="W44" i="13"/>
  <c r="W46" i="13" s="1"/>
  <c r="W48" i="13" s="1"/>
  <c r="R42" i="12"/>
  <c r="Q44" i="12"/>
  <c r="Q46" i="12" s="1"/>
  <c r="Q48" i="12" l="1"/>
  <c r="N7" i="20"/>
  <c r="V50" i="13"/>
  <c r="AG42" i="19"/>
  <c r="AG44" i="19" s="1"/>
  <c r="AG46" i="19" s="1"/>
  <c r="AF44" i="19"/>
  <c r="AF46" i="19" s="1"/>
  <c r="AF48" i="19" s="1"/>
  <c r="AG48" i="19" s="1"/>
  <c r="AA42" i="18"/>
  <c r="Z44" i="18"/>
  <c r="Z46" i="18" s="1"/>
  <c r="Z48" i="18" s="1"/>
  <c r="V42" i="17"/>
  <c r="U44" i="17"/>
  <c r="U46" i="17" s="1"/>
  <c r="U48" i="17" s="1"/>
  <c r="W42" i="16"/>
  <c r="V44" i="16"/>
  <c r="V46" i="16" s="1"/>
  <c r="V48" i="16" s="1"/>
  <c r="U44" i="15"/>
  <c r="U46" i="15" s="1"/>
  <c r="U48" i="15" s="1"/>
  <c r="V42" i="15"/>
  <c r="Y42" i="13"/>
  <c r="X44" i="13"/>
  <c r="X46" i="13" s="1"/>
  <c r="S42" i="12"/>
  <c r="R44" i="12"/>
  <c r="R46" i="12" s="1"/>
  <c r="R48" i="12" l="1"/>
  <c r="A12" i="20"/>
  <c r="X48" i="13"/>
  <c r="AA44" i="18"/>
  <c r="AA46" i="18" s="1"/>
  <c r="AA48" i="18" s="1"/>
  <c r="AB42" i="18"/>
  <c r="W42" i="17"/>
  <c r="V44" i="17"/>
  <c r="V46" i="17" s="1"/>
  <c r="V48" i="17" s="1"/>
  <c r="X42" i="16"/>
  <c r="W44" i="16"/>
  <c r="W46" i="16" s="1"/>
  <c r="W48" i="16" s="1"/>
  <c r="V44" i="15"/>
  <c r="V46" i="15" s="1"/>
  <c r="V48" i="15" s="1"/>
  <c r="W42" i="15"/>
  <c r="Z42" i="13"/>
  <c r="Y44" i="13"/>
  <c r="Y46" i="13" s="1"/>
  <c r="Y48" i="13" s="1"/>
  <c r="T42" i="12"/>
  <c r="S44" i="12"/>
  <c r="S46" i="12" s="1"/>
  <c r="S48" i="12" l="1"/>
  <c r="B12" i="20"/>
  <c r="X50" i="13"/>
  <c r="AB44" i="18"/>
  <c r="AB46" i="18" s="1"/>
  <c r="AB48" i="18" s="1"/>
  <c r="AC42" i="18"/>
  <c r="X42" i="17"/>
  <c r="W44" i="17"/>
  <c r="W46" i="17" s="1"/>
  <c r="W48" i="17" s="1"/>
  <c r="Y42" i="16"/>
  <c r="X44" i="16"/>
  <c r="X46" i="16" s="1"/>
  <c r="X48" i="16" s="1"/>
  <c r="X42" i="15"/>
  <c r="W44" i="15"/>
  <c r="W46" i="15" s="1"/>
  <c r="W48" i="15" s="1"/>
  <c r="AA42" i="13"/>
  <c r="Z44" i="13"/>
  <c r="Z46" i="13" s="1"/>
  <c r="U42" i="12"/>
  <c r="T44" i="12"/>
  <c r="T46" i="12" s="1"/>
  <c r="T48" i="12" l="1"/>
  <c r="C12" i="20"/>
  <c r="Z48" i="13"/>
  <c r="AD42" i="18"/>
  <c r="AC44" i="18"/>
  <c r="AC46" i="18" s="1"/>
  <c r="AC48" i="18" s="1"/>
  <c r="Y42" i="17"/>
  <c r="X44" i="17"/>
  <c r="X46" i="17" s="1"/>
  <c r="X48" i="17" s="1"/>
  <c r="Z42" i="16"/>
  <c r="Y44" i="16"/>
  <c r="Y46" i="16" s="1"/>
  <c r="Y48" i="16" s="1"/>
  <c r="Y42" i="15"/>
  <c r="X44" i="15"/>
  <c r="X46" i="15" s="1"/>
  <c r="X48" i="15" s="1"/>
  <c r="AB42" i="13"/>
  <c r="AA44" i="13"/>
  <c r="AA46" i="13" s="1"/>
  <c r="AA48" i="13" s="1"/>
  <c r="U44" i="12"/>
  <c r="U46" i="12" s="1"/>
  <c r="V42" i="12"/>
  <c r="U48" i="12" l="1"/>
  <c r="D12" i="20"/>
  <c r="Z50" i="13"/>
  <c r="AE42" i="18"/>
  <c r="AD44" i="18"/>
  <c r="AD46" i="18" s="1"/>
  <c r="AD48" i="18" s="1"/>
  <c r="Z42" i="17"/>
  <c r="Y44" i="17"/>
  <c r="Y46" i="17" s="1"/>
  <c r="Y48" i="17" s="1"/>
  <c r="AA42" i="16"/>
  <c r="Z44" i="16"/>
  <c r="Z46" i="16" s="1"/>
  <c r="Z48" i="16" s="1"/>
  <c r="Z42" i="15"/>
  <c r="Y44" i="15"/>
  <c r="Y46" i="15" s="1"/>
  <c r="Y48" i="15" s="1"/>
  <c r="AB44" i="13"/>
  <c r="AB46" i="13" s="1"/>
  <c r="AC42" i="13"/>
  <c r="W42" i="12"/>
  <c r="V44" i="12"/>
  <c r="V46" i="12" s="1"/>
  <c r="V48" i="12" l="1"/>
  <c r="E12" i="20"/>
  <c r="AB48" i="13"/>
  <c r="AF42" i="18"/>
  <c r="AE44" i="18"/>
  <c r="AE46" i="18" s="1"/>
  <c r="AE48" i="18" s="1"/>
  <c r="AA42" i="17"/>
  <c r="Z44" i="17"/>
  <c r="Z46" i="17" s="1"/>
  <c r="Z48" i="17" s="1"/>
  <c r="AA44" i="16"/>
  <c r="AA46" i="16" s="1"/>
  <c r="AA48" i="16" s="1"/>
  <c r="AB42" i="16"/>
  <c r="AA42" i="15"/>
  <c r="Z44" i="15"/>
  <c r="Z46" i="15" s="1"/>
  <c r="Z48" i="15" s="1"/>
  <c r="AD42" i="13"/>
  <c r="AC44" i="13"/>
  <c r="AC46" i="13" s="1"/>
  <c r="AC48" i="13" s="1"/>
  <c r="W44" i="12"/>
  <c r="W46" i="12" s="1"/>
  <c r="X42" i="12"/>
  <c r="W48" i="12" l="1"/>
  <c r="F12" i="20"/>
  <c r="AB50" i="13"/>
  <c r="AG42" i="18"/>
  <c r="AG44" i="18" s="1"/>
  <c r="AG46" i="18" s="1"/>
  <c r="AF44" i="18"/>
  <c r="AF46" i="18" s="1"/>
  <c r="AF48" i="18" s="1"/>
  <c r="AB42" i="17"/>
  <c r="AA44" i="17"/>
  <c r="AA46" i="17" s="1"/>
  <c r="AA48" i="17" s="1"/>
  <c r="AC42" i="16"/>
  <c r="AB44" i="16"/>
  <c r="AB46" i="16" s="1"/>
  <c r="AB48" i="16" s="1"/>
  <c r="AB42" i="15"/>
  <c r="AA44" i="15"/>
  <c r="AA46" i="15" s="1"/>
  <c r="AA48" i="15" s="1"/>
  <c r="AE42" i="13"/>
  <c r="AD44" i="13"/>
  <c r="AD46" i="13" s="1"/>
  <c r="Y42" i="12"/>
  <c r="X44" i="12"/>
  <c r="X46" i="12" s="1"/>
  <c r="X48" i="12" l="1"/>
  <c r="G12" i="20"/>
  <c r="AG48" i="18"/>
  <c r="AD48" i="13"/>
  <c r="AC42" i="17"/>
  <c r="AB44" i="17"/>
  <c r="AB46" i="17" s="1"/>
  <c r="AB48" i="17" s="1"/>
  <c r="AD42" i="16"/>
  <c r="AC44" i="16"/>
  <c r="AC46" i="16" s="1"/>
  <c r="AC48" i="16" s="1"/>
  <c r="AC42" i="15"/>
  <c r="AB44" i="15"/>
  <c r="AB46" i="15" s="1"/>
  <c r="AB48" i="15" s="1"/>
  <c r="AF42" i="13"/>
  <c r="AE44" i="13"/>
  <c r="AE46" i="13" s="1"/>
  <c r="AE48" i="13" s="1"/>
  <c r="Z42" i="12"/>
  <c r="Y44" i="12"/>
  <c r="Y46" i="12" s="1"/>
  <c r="Y48" i="12" l="1"/>
  <c r="H12" i="20"/>
  <c r="AD50" i="13"/>
  <c r="AD42" i="17"/>
  <c r="AC44" i="17"/>
  <c r="AC46" i="17" s="1"/>
  <c r="AC48" i="17" s="1"/>
  <c r="AE42" i="16"/>
  <c r="AD44" i="16"/>
  <c r="AD46" i="16" s="1"/>
  <c r="AD48" i="16" s="1"/>
  <c r="AD42" i="15"/>
  <c r="AC44" i="15"/>
  <c r="AC46" i="15" s="1"/>
  <c r="AC48" i="15" s="1"/>
  <c r="AG42" i="13"/>
  <c r="AG44" i="13" s="1"/>
  <c r="AG46" i="13" s="1"/>
  <c r="AF44" i="13"/>
  <c r="AF46" i="13" s="1"/>
  <c r="AA42" i="12"/>
  <c r="Z44" i="12"/>
  <c r="Z46" i="12" s="1"/>
  <c r="Z48" i="12" l="1"/>
  <c r="I12" i="20"/>
  <c r="AF48" i="13"/>
  <c r="AG48" i="13" s="1"/>
  <c r="AF50" i="13"/>
  <c r="AE42" i="17"/>
  <c r="AD44" i="17"/>
  <c r="AD46" i="17" s="1"/>
  <c r="AD48" i="17"/>
  <c r="AF42" i="16"/>
  <c r="AE44" i="16"/>
  <c r="AE46" i="16" s="1"/>
  <c r="AE48" i="16" s="1"/>
  <c r="AE42" i="15"/>
  <c r="AD44" i="15"/>
  <c r="AD46" i="15" s="1"/>
  <c r="AD48" i="15" s="1"/>
  <c r="AB42" i="12"/>
  <c r="AA44" i="12"/>
  <c r="AA46" i="12" s="1"/>
  <c r="AA48" i="12" l="1"/>
  <c r="J12" i="20"/>
  <c r="AF42" i="17"/>
  <c r="AE44" i="17"/>
  <c r="AE46" i="17" s="1"/>
  <c r="AE48" i="17" s="1"/>
  <c r="AG42" i="16"/>
  <c r="AG44" i="16" s="1"/>
  <c r="AG46" i="16" s="1"/>
  <c r="AF44" i="16"/>
  <c r="AF46" i="16" s="1"/>
  <c r="AF48" i="16" s="1"/>
  <c r="AG48" i="16" s="1"/>
  <c r="AF42" i="15"/>
  <c r="AE44" i="15"/>
  <c r="AE46" i="15" s="1"/>
  <c r="AE48" i="15" s="1"/>
  <c r="AC42" i="12"/>
  <c r="AB44" i="12"/>
  <c r="AB46" i="12" s="1"/>
  <c r="AB48" i="12" l="1"/>
  <c r="K12" i="20"/>
  <c r="AF44" i="17"/>
  <c r="AF46" i="17" s="1"/>
  <c r="AF48" i="17" s="1"/>
  <c r="AG42" i="17"/>
  <c r="AG44" i="17" s="1"/>
  <c r="AG46" i="17" s="1"/>
  <c r="AG42" i="15"/>
  <c r="AG44" i="15" s="1"/>
  <c r="AG46" i="15" s="1"/>
  <c r="AF44" i="15"/>
  <c r="AF46" i="15" s="1"/>
  <c r="AF48" i="15" s="1"/>
  <c r="AD42" i="12"/>
  <c r="AC44" i="12"/>
  <c r="AC46" i="12" s="1"/>
  <c r="AG48" i="15" l="1"/>
  <c r="AC48" i="12"/>
  <c r="L12" i="20"/>
  <c r="AG48" i="17"/>
  <c r="AE42" i="12"/>
  <c r="AD44" i="12"/>
  <c r="AD46" i="12" s="1"/>
  <c r="AD48" i="12" l="1"/>
  <c r="M12" i="20"/>
  <c r="AF42" i="12"/>
  <c r="AE44" i="12"/>
  <c r="AE46" i="12" s="1"/>
  <c r="AE48" i="12" l="1"/>
  <c r="N12" i="20"/>
  <c r="C14" i="20" s="1"/>
  <c r="AG42" i="12"/>
  <c r="AG44" i="12" s="1"/>
  <c r="AG46" i="12" s="1"/>
  <c r="AF44" i="12"/>
  <c r="AF46" i="12" s="1"/>
  <c r="AF48" i="12" s="1"/>
  <c r="AG48" i="12" s="1"/>
</calcChain>
</file>

<file path=xl/sharedStrings.xml><?xml version="1.0" encoding="utf-8"?>
<sst xmlns="http://schemas.openxmlformats.org/spreadsheetml/2006/main" count="1010" uniqueCount="77">
  <si>
    <t>MES BASE ACTUALIZACIÓN</t>
  </si>
  <si>
    <t>MONTO DE OBRA INICIAL</t>
  </si>
  <si>
    <t>ANTICIPO</t>
  </si>
  <si>
    <t>ITEM</t>
  </si>
  <si>
    <t>DESCRIPCIÓN</t>
  </si>
  <si>
    <t>% ITEM</t>
  </si>
  <si>
    <t>FINALIZADO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</si>
  <si>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</si>
  <si>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</si>
  <si>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</si>
  <si>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</si>
  <si>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</si>
  <si>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</si>
  <si>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</si>
  <si>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</si>
  <si>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</si>
  <si>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</si>
  <si>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</si>
  <si>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</si>
  <si>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</si>
  <si>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</si>
  <si>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</si>
  <si>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</si>
  <si>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</si>
  <si>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</si>
  <si>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</si>
  <si>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</si>
  <si>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</si>
  <si>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</si>
  <si>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</si>
  <si>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</si>
  <si>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 OBRA</t>
  </si>
  <si>
    <t>AJUSTE</t>
  </si>
  <si>
    <t>MONTO DE OBRA ACTUALIZADO</t>
  </si>
  <si>
    <t>MONTO CERTIFICADO</t>
  </si>
  <si>
    <t>MONTO A PAGAR (con descuento por adelanto)</t>
  </si>
  <si>
    <t>SALDO DE OBRA ACTUALIZADO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</si>
  <si>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</si>
  <si>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</si>
  <si>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</si>
  <si>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</si>
  <si>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</si>
  <si>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</si>
  <si>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</si>
  <si>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</si>
  <si>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</si>
  <si>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</si>
  <si>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</si>
  <si>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</si>
  <si>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MONTO TOTAL</t>
  </si>
  <si>
    <t>MAMPOSTERIA</t>
  </si>
  <si>
    <t>Módulo completo Brimax</t>
  </si>
  <si>
    <t>Contenciones de acceso a P.B. (Promedio 5m x 0,7h con viga de fundacion)</t>
  </si>
  <si>
    <t>REVOQUES</t>
  </si>
  <si>
    <t>Módulo completo</t>
  </si>
  <si>
    <t>AISLACIONES</t>
  </si>
  <si>
    <t>CONTRAPISOS</t>
  </si>
  <si>
    <t>Interior duplex</t>
  </si>
  <si>
    <t>Exterior</t>
  </si>
  <si>
    <t>CARPETAS</t>
  </si>
  <si>
    <t>HORMIGÓN</t>
  </si>
  <si>
    <t>Banco Tromen</t>
  </si>
  <si>
    <t>Parrilla</t>
  </si>
  <si>
    <t>Banquinas (Parrilla + bauleras)</t>
  </si>
  <si>
    <t>Losetones acceso vehicular</t>
  </si>
  <si>
    <t>Losetones acceso peatonal</t>
  </si>
  <si>
    <t>COLOCACIÓN</t>
  </si>
  <si>
    <t>Pisos</t>
  </si>
  <si>
    <t>Baños</t>
  </si>
  <si>
    <t>Cocina</t>
  </si>
  <si>
    <t>Refractarios parrilla</t>
  </si>
  <si>
    <t>Exterior (Memb. líquida - incluye cantero dormi)</t>
  </si>
  <si>
    <t>Webertec (Exterior + duchas)</t>
  </si>
  <si>
    <t>SF - ALBAÑILERÍA BELTRÁN</t>
  </si>
  <si>
    <t>SF - PAGOS TOTALES ALBAÑILERÍA BELTRÁN X QUINCENA</t>
  </si>
  <si>
    <t>PAGO POR MES</t>
  </si>
  <si>
    <t>TOTAL 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</si>
</sst>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0.0%"/>
    <numFmt numFmtId="166" formatCode="_-&quot;$&quot;\ * #,##0_-;\-&quot;$&quot;\ * #,##0_-;_-&quot;$&quot;\ * &quot;-&quot;??_-;_-@"/>
    <numFmt numFmtId="167" formatCode="_-[$$-2C0A]\ * #,##0_-;\-[$$-2C0A]\ * #,##0_-;_-[$$-2C0A]\ * &quot;-&quot;??_-;_-@"/>
    <numFmt numFmtId="168" formatCode="_-[$$-2C0A]\ * #,##0.00_-;\-[$$-2C0A]\ * #,##0.00_-;_-[$$-2C0A]\ * &quot;-&quot;??_-;_-@"/>
    <numFmt numFmtId="169" formatCode="_-[$$-2C0A]\ * #,##0.000_-;\-[$$-2C0A]\ * #,##0.000_-;_-[$$-2C0A]\ * &quot;-&quot;??_-;_-@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BFBFBF"/>
      <name val="Calibri"/>
      <family val="2"/>
    </font>
    <font>
      <b/>
      <sz val="11"/>
      <color rgb="FFBFBFBF"/>
      <name val="Calibri"/>
      <family val="2"/>
    </font>
    <font>
      <sz val="11"/>
      <color rgb="FF7F7F7F"/>
      <name val="Calibri"/>
      <family val="2"/>
    </font>
    <font>
      <b/>
      <sz val="14"/>
      <color rgb="FFBFBFBF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5"/>
      <name val="Calibri"/>
      <family val="2"/>
    </font>
    <font>
      <b/>
      <sz val="11"/>
      <color theme="5"/>
      <name val="Calibri"/>
      <family val="2"/>
    </font>
    <font>
      <sz val="11"/>
      <color rgb="FFBFBFBF"/>
      <name val="Calibri"/>
      <family val="2"/>
    </font>
    <font>
      <b/>
      <sz val="14"/>
      <color theme="9"/>
      <name val="Calibri"/>
      <family val="2"/>
    </font>
    <font>
      <b/>
      <sz val="14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C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4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3333"/>
        <bgColor rgb="FF353333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9" fillId="0" borderId="0" applyFont="0" applyFill="0" applyBorder="0" applyAlignment="0" applyProtection="0"/>
    <xf numFmtId="44" fontId="26" fillId="0" borderId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0" xfId="0" applyFont="1"/>
    <xf numFmtId="165" fontId="2" fillId="0" borderId="0" xfId="0" applyNumberFormat="1" applyFont="1" applyAlignment="1">
      <alignment horizontal="right"/>
    </xf>
    <xf numFmtId="0" fontId="2" fillId="0" borderId="7" xfId="0" applyFont="1" applyBorder="1" applyAlignment="1">
      <alignment horizontal="center"/>
    </xf>
    <xf numFmtId="10" fontId="2" fillId="0" borderId="8" xfId="0" applyNumberFormat="1" applyFont="1" applyBorder="1"/>
    <xf numFmtId="10" fontId="2" fillId="0" borderId="0" xfId="0" applyNumberFormat="1" applyFont="1"/>
    <xf numFmtId="10" fontId="1" fillId="0" borderId="8" xfId="0" applyNumberFormat="1" applyFont="1" applyBorder="1"/>
    <xf numFmtId="10" fontId="1" fillId="0" borderId="0" xfId="0" applyNumberFormat="1" applyFont="1"/>
    <xf numFmtId="9" fontId="1" fillId="0" borderId="8" xfId="0" applyNumberFormat="1" applyFont="1" applyBorder="1"/>
    <xf numFmtId="9" fontId="1" fillId="0" borderId="7" xfId="0" applyNumberFormat="1" applyFont="1" applyBorder="1"/>
    <xf numFmtId="10" fontId="2" fillId="0" borderId="7" xfId="0" applyNumberFormat="1" applyFont="1" applyBorder="1"/>
    <xf numFmtId="10" fontId="1" fillId="0" borderId="7" xfId="0" applyNumberFormat="1" applyFont="1" applyBorder="1"/>
    <xf numFmtId="165" fontId="1" fillId="0" borderId="0" xfId="0" applyNumberFormat="1" applyFont="1" applyAlignment="1">
      <alignment horizontal="right"/>
    </xf>
    <xf numFmtId="10" fontId="8" fillId="0" borderId="0" xfId="0" applyNumberFormat="1" applyFont="1"/>
    <xf numFmtId="165" fontId="7" fillId="2" borderId="9" xfId="0" applyNumberFormat="1" applyFont="1" applyFill="1" applyBorder="1" applyAlignment="1">
      <alignment horizontal="center"/>
    </xf>
    <xf numFmtId="10" fontId="1" fillId="2" borderId="9" xfId="0" applyNumberFormat="1" applyFont="1" applyFill="1" applyBorder="1"/>
    <xf numFmtId="10" fontId="8" fillId="2" borderId="1" xfId="0" applyNumberFormat="1" applyFont="1" applyFill="1" applyBorder="1"/>
    <xf numFmtId="10" fontId="1" fillId="2" borderId="1" xfId="0" applyNumberFormat="1" applyFont="1" applyFill="1" applyBorder="1"/>
    <xf numFmtId="9" fontId="1" fillId="2" borderId="9" xfId="0" applyNumberFormat="1" applyFont="1" applyFill="1" applyBorder="1"/>
    <xf numFmtId="9" fontId="2" fillId="0" borderId="7" xfId="0" applyNumberFormat="1" applyFont="1" applyBorder="1"/>
    <xf numFmtId="165" fontId="1" fillId="0" borderId="0" xfId="0" applyNumberFormat="1" applyFont="1"/>
    <xf numFmtId="2" fontId="1" fillId="0" borderId="0" xfId="0" applyNumberFormat="1" applyFont="1"/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165" fontId="9" fillId="2" borderId="11" xfId="0" applyNumberFormat="1" applyFont="1" applyFill="1" applyBorder="1" applyAlignment="1">
      <alignment horizontal="center" vertical="center"/>
    </xf>
    <xf numFmtId="10" fontId="6" fillId="2" borderId="6" xfId="0" applyNumberFormat="1" applyFont="1" applyFill="1" applyBorder="1" applyAlignment="1">
      <alignment horizontal="center" vertical="center"/>
    </xf>
    <xf numFmtId="0" fontId="3" fillId="0" borderId="0" xfId="0" applyFont="1"/>
    <xf numFmtId="0" fontId="8" fillId="0" borderId="0" xfId="0" applyFont="1"/>
    <xf numFmtId="9" fontId="3" fillId="0" borderId="0" xfId="0" applyNumberFormat="1" applyFont="1"/>
    <xf numFmtId="10" fontId="11" fillId="2" borderId="1" xfId="0" applyNumberFormat="1" applyFont="1" applyFill="1" applyBorder="1"/>
    <xf numFmtId="166" fontId="13" fillId="2" borderId="1" xfId="0" applyNumberFormat="1" applyFont="1" applyFill="1" applyBorder="1"/>
    <xf numFmtId="166" fontId="3" fillId="2" borderId="1" xfId="0" applyNumberFormat="1" applyFont="1" applyFill="1" applyBorder="1"/>
    <xf numFmtId="167" fontId="16" fillId="2" borderId="11" xfId="0" applyNumberFormat="1" applyFont="1" applyFill="1" applyBorder="1"/>
    <xf numFmtId="167" fontId="16" fillId="2" borderId="6" xfId="0" applyNumberFormat="1" applyFont="1" applyFill="1" applyBorder="1"/>
    <xf numFmtId="167" fontId="1" fillId="0" borderId="0" xfId="0" applyNumberFormat="1" applyFont="1"/>
    <xf numFmtId="167" fontId="11" fillId="2" borderId="1" xfId="0" applyNumberFormat="1" applyFont="1" applyFill="1" applyBorder="1"/>
    <xf numFmtId="168" fontId="11" fillId="2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167" fontId="17" fillId="0" borderId="0" xfId="0" applyNumberFormat="1" applyFont="1"/>
    <xf numFmtId="167" fontId="2" fillId="0" borderId="0" xfId="0" applyNumberFormat="1" applyFont="1"/>
    <xf numFmtId="167" fontId="18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0" fontId="10" fillId="2" borderId="6" xfId="0" applyNumberFormat="1" applyFont="1" applyFill="1" applyBorder="1"/>
    <xf numFmtId="10" fontId="10" fillId="2" borderId="10" xfId="0" applyNumberFormat="1" applyFont="1" applyFill="1" applyBorder="1"/>
    <xf numFmtId="165" fontId="2" fillId="0" borderId="0" xfId="0" applyNumberFormat="1" applyFont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0" fontId="1" fillId="0" borderId="7" xfId="0" applyNumberFormat="1" applyFont="1" applyBorder="1" applyAlignment="1">
      <alignment horizontal="left"/>
    </xf>
    <xf numFmtId="10" fontId="1" fillId="0" borderId="0" xfId="0" applyNumberFormat="1" applyFont="1" applyAlignment="1">
      <alignment horizontal="left"/>
    </xf>
    <xf numFmtId="9" fontId="1" fillId="0" borderId="7" xfId="0" applyNumberFormat="1" applyFont="1" applyBorder="1" applyAlignment="1">
      <alignment horizontal="left"/>
    </xf>
    <xf numFmtId="10" fontId="22" fillId="0" borderId="7" xfId="0" applyNumberFormat="1" applyFont="1" applyBorder="1"/>
    <xf numFmtId="10" fontId="20" fillId="0" borderId="8" xfId="0" applyNumberFormat="1" applyFont="1" applyBorder="1"/>
    <xf numFmtId="9" fontId="2" fillId="0" borderId="0" xfId="1" applyFont="1"/>
    <xf numFmtId="10" fontId="23" fillId="0" borderId="0" xfId="0" applyNumberFormat="1" applyFont="1"/>
    <xf numFmtId="10" fontId="23" fillId="0" borderId="7" xfId="0" applyNumberFormat="1" applyFont="1" applyBorder="1"/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20" fillId="3" borderId="8" xfId="0" applyNumberFormat="1" applyFont="1" applyFill="1" applyBorder="1"/>
    <xf numFmtId="10" fontId="2" fillId="3" borderId="0" xfId="1" applyNumberFormat="1" applyFont="1" applyFill="1"/>
    <xf numFmtId="10" fontId="23" fillId="3" borderId="7" xfId="0" applyNumberFormat="1" applyFont="1" applyFill="1" applyBorder="1"/>
    <xf numFmtId="10" fontId="1" fillId="3" borderId="7" xfId="0" applyNumberFormat="1" applyFont="1" applyFill="1" applyBorder="1"/>
    <xf numFmtId="10" fontId="23" fillId="3" borderId="0" xfId="0" applyNumberFormat="1" applyFont="1" applyFill="1"/>
    <xf numFmtId="10" fontId="1" fillId="3" borderId="0" xfId="0" applyNumberFormat="1" applyFont="1" applyFill="1"/>
    <xf numFmtId="10" fontId="23" fillId="3" borderId="7" xfId="0" applyNumberFormat="1" applyFont="1" applyFill="1" applyBorder="1" applyAlignment="1">
      <alignment horizontal="right"/>
    </xf>
    <xf numFmtId="10" fontId="23" fillId="3" borderId="0" xfId="0" applyNumberFormat="1" applyFont="1" applyFill="1" applyAlignment="1">
      <alignment horizontal="right"/>
    </xf>
    <xf numFmtId="10" fontId="2" fillId="0" borderId="7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0" fontId="20" fillId="0" borderId="15" xfId="0" applyNumberFormat="1" applyFont="1" applyBorder="1"/>
    <xf numFmtId="10" fontId="2" fillId="0" borderId="16" xfId="0" applyNumberFormat="1" applyFont="1" applyBorder="1"/>
    <xf numFmtId="10" fontId="1" fillId="0" borderId="16" xfId="0" applyNumberFormat="1" applyFont="1" applyBorder="1"/>
    <xf numFmtId="165" fontId="7" fillId="2" borderId="17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0" fontId="1" fillId="2" borderId="16" xfId="0" applyNumberFormat="1" applyFont="1" applyFill="1" applyBorder="1"/>
    <xf numFmtId="10" fontId="1" fillId="0" borderId="16" xfId="0" applyNumberFormat="1" applyFont="1" applyBorder="1" applyAlignment="1">
      <alignment horizontal="left"/>
    </xf>
    <xf numFmtId="10" fontId="6" fillId="2" borderId="20" xfId="0" applyNumberFormat="1" applyFont="1" applyFill="1" applyBorder="1" applyAlignment="1">
      <alignment horizontal="center" vertical="center"/>
    </xf>
    <xf numFmtId="165" fontId="7" fillId="2" borderId="18" xfId="0" applyNumberFormat="1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/>
    </xf>
    <xf numFmtId="10" fontId="2" fillId="3" borderId="0" xfId="0" applyNumberFormat="1" applyFont="1" applyFill="1"/>
    <xf numFmtId="167" fontId="0" fillId="0" borderId="0" xfId="0" applyNumberFormat="1"/>
    <xf numFmtId="44" fontId="0" fillId="0" borderId="0" xfId="2" applyFont="1"/>
    <xf numFmtId="44" fontId="0" fillId="0" borderId="0" xfId="0" applyNumberFormat="1"/>
    <xf numFmtId="0" fontId="27" fillId="0" borderId="0" xfId="0" applyFont="1" applyAlignment="1">
      <alignment vertical="center" wrapText="1"/>
    </xf>
    <xf numFmtId="0" fontId="27" fillId="0" borderId="3" xfId="0" applyFont="1" applyBorder="1" applyAlignment="1">
      <alignment horizontal="center" vertical="center" wrapText="1"/>
    </xf>
    <xf numFmtId="0" fontId="0" fillId="0" borderId="29" xfId="0" applyBorder="1"/>
    <xf numFmtId="0" fontId="0" fillId="0" borderId="22" xfId="0" applyBorder="1"/>
    <xf numFmtId="0" fontId="27" fillId="0" borderId="24" xfId="0" applyFont="1" applyBorder="1"/>
    <xf numFmtId="44" fontId="28" fillId="0" borderId="29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4" fillId="0" borderId="4" xfId="0" applyFont="1" applyBorder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7" fillId="2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12" fillId="2" borderId="1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15"/>
  <sheetViews>
    <sheetView zoomScaleNormal="100" workbookViewId="0">
      <selection activeCell="D7" sqref="D7"/>
    </sheetView>
  </sheetViews>
  <sheetFormatPr baseColWidth="10" defaultRowHeight="15" x14ac:dyDescent="0.25"/>
  <cols>
    <col min="1" max="2" width="15.42578125" bestFit="1" customWidth="1"/>
    <col min="3" max="3" width="17.140625" bestFit="1" customWidth="1"/>
    <col min="4" max="4" width="17.140625" customWidth="1"/>
    <col min="5" max="5" width="14.5703125" bestFit="1" customWidth="1"/>
  </cols>
  <sheetData>
    <row r="1" spans="1:28" ht="15" customHeight="1" x14ac:dyDescent="0.25">
      <c r="A1" s="107" t="s">
        <v>74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9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</row>
    <row r="2" spans="1:28" ht="15" customHeight="1" thickBot="1" x14ac:dyDescent="0.3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2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</row>
    <row r="3" spans="1:28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</row>
    <row r="4" spans="1:28" x14ac:dyDescent="0.25">
      <c r="A4" s="105" t="s">
        <v>38</v>
      </c>
      <c r="B4" s="106"/>
      <c r="C4" s="105" t="s">
        <v>39</v>
      </c>
      <c r="D4" s="106"/>
      <c r="E4" s="105" t="s">
        <v>40</v>
      </c>
      <c r="F4" s="106"/>
      <c r="G4" s="105" t="s">
        <v>41</v>
      </c>
      <c r="H4" s="106"/>
      <c r="I4" s="105" t="s">
        <v>42</v>
      </c>
      <c r="J4" s="106"/>
      <c r="K4" s="105" t="s">
        <v>43</v>
      </c>
      <c r="L4" s="106"/>
      <c r="M4" s="105" t="s">
        <v>44</v>
      </c>
      <c r="N4" s="106"/>
    </row>
    <row r="5" spans="1:28" ht="16.5" thickBot="1" x14ac:dyDescent="0.3">
      <c r="A5" s="103" t="s">
        <v>7</v>
      </c>
      <c r="B5" s="104"/>
      <c r="C5" s="103" t="s">
        <v>8</v>
      </c>
      <c r="D5" s="104"/>
      <c r="E5" s="103" t="s">
        <v>9</v>
      </c>
      <c r="F5" s="104"/>
      <c r="G5" s="103" t="s">
        <v>10</v>
      </c>
      <c r="H5" s="104"/>
      <c r="I5" s="103" t="s">
        <v>11</v>
      </c>
      <c r="J5" s="104"/>
      <c r="K5" s="103" t="s">
        <v>12</v>
      </c>
      <c r="L5" s="104"/>
      <c r="M5" s="103" t="s">
        <v>13</v>
      </c>
      <c r="N5" s="104"/>
    </row>
    <row r="6" spans="1:28" ht="16.5" thickBot="1" x14ac:dyDescent="0.3">
      <c r="A6" s="10" t="s">
        <v>21</v>
      </c>
      <c r="B6" s="10" t="s">
        <v>22</v>
      </c>
      <c r="C6" s="10" t="s">
        <v>21</v>
      </c>
      <c r="D6" s="10" t="s">
        <v>22</v>
      </c>
      <c r="E6" s="10" t="s">
        <v>21</v>
      </c>
      <c r="F6" s="10" t="s">
        <v>22</v>
      </c>
      <c r="G6" s="10" t="s">
        <v>21</v>
      </c>
      <c r="H6" s="10" t="s">
        <v>22</v>
      </c>
      <c r="I6" s="10" t="s">
        <v>21</v>
      </c>
      <c r="J6" s="10" t="s">
        <v>22</v>
      </c>
      <c r="K6" s="10" t="s">
        <v>21</v>
      </c>
      <c r="L6" s="10" t="s">
        <v>22</v>
      </c>
      <c r="M6" s="10" t="s">
        <v>21</v>
      </c>
      <c r="N6" s="10" t="s">
        <v>22</v>
      </c>
    </row>
    <row r="7" spans="1:28" x14ac:dyDescent="0.25">
      <c r="A7" s="95">
        <f>SUM('M11'!F46+'M10'!F46)</f>
        <v>8101600</v>
      </c>
      <c r="B7" s="95">
        <f>SUM('M11'!G46+'M10'!G46)</f>
        <v>9348000.0000000019</v>
      </c>
      <c r="C7" s="95">
        <f>SUM('M11'!H46+'M10'!H46+'M08'!F46)</f>
        <v>7435600</v>
      </c>
      <c r="D7" s="95">
        <f>SUM('M11'!I46+'M10'!I46+'M08'!G46)</f>
        <v>9348000.0000000019</v>
      </c>
      <c r="E7" s="95">
        <f>SUM('M11'!J46+'M10'!J46+'M08'!H46)</f>
        <v>0</v>
      </c>
      <c r="F7" s="95">
        <f>SUM('M11'!K46+'M10'!K46+'M08'!I46)</f>
        <v>0</v>
      </c>
      <c r="G7" s="95">
        <f>SUM('M11'!L46+'M10'!L46+'M08'!J46+'M07'!F46+'M05'!F46)</f>
        <v>0</v>
      </c>
      <c r="H7" s="95">
        <f>SUM('M11'!M46+'M10'!M46+'M08'!K46)</f>
        <v>0</v>
      </c>
      <c r="I7" s="95">
        <f>SUM('M11'!N46+'M10'!N46+'M08'!L46)</f>
        <v>0</v>
      </c>
      <c r="J7" s="95">
        <f>SUM('M11'!O46+'M10'!O46+'M08'!M46)</f>
        <v>0</v>
      </c>
      <c r="K7" s="95">
        <f>SUM('M11'!P46+'M10'!P46+'M08'!N46)</f>
        <v>0</v>
      </c>
      <c r="L7" s="95">
        <f>SUM('M11'!Q46+'M10'!Q46+'M08'!O46)</f>
        <v>0</v>
      </c>
      <c r="M7" s="95">
        <f>SUM('M11'!R46+'M10'!R46+'M08'!P46)</f>
        <v>0</v>
      </c>
      <c r="N7" s="95">
        <f>SUM('M11'!S46+'M10'!S46+'M08'!Q46)</f>
        <v>0</v>
      </c>
    </row>
    <row r="9" spans="1:28" x14ac:dyDescent="0.25">
      <c r="A9" s="105" t="s">
        <v>45</v>
      </c>
      <c r="B9" s="106"/>
      <c r="C9" s="105" t="s">
        <v>46</v>
      </c>
      <c r="D9" s="106"/>
      <c r="E9" s="105" t="s">
        <v>47</v>
      </c>
      <c r="F9" s="106"/>
      <c r="G9" s="105" t="s">
        <v>48</v>
      </c>
      <c r="H9" s="106"/>
      <c r="I9" s="105" t="s">
        <v>37</v>
      </c>
      <c r="J9" s="106"/>
      <c r="K9" s="105" t="s">
        <v>38</v>
      </c>
      <c r="L9" s="106"/>
      <c r="M9" s="105" t="s">
        <v>39</v>
      </c>
      <c r="N9" s="106"/>
    </row>
    <row r="10" spans="1:28" ht="16.5" thickBot="1" x14ac:dyDescent="0.3">
      <c r="A10" s="103" t="s">
        <v>14</v>
      </c>
      <c r="B10" s="104"/>
      <c r="C10" s="103" t="s">
        <v>15</v>
      </c>
      <c r="D10" s="104"/>
      <c r="E10" s="103" t="s">
        <v>16</v>
      </c>
      <c r="F10" s="104"/>
      <c r="G10" s="103" t="s">
        <v>17</v>
      </c>
      <c r="H10" s="104"/>
      <c r="I10" s="103" t="s">
        <v>18</v>
      </c>
      <c r="J10" s="104"/>
      <c r="K10" s="103" t="s">
        <v>19</v>
      </c>
      <c r="L10" s="104"/>
      <c r="M10" s="103" t="s">
        <v>20</v>
      </c>
      <c r="N10" s="104"/>
    </row>
    <row r="11" spans="1:28" ht="16.5" thickBot="1" x14ac:dyDescent="0.3">
      <c r="A11" s="10" t="s">
        <v>21</v>
      </c>
      <c r="B11" s="10" t="s">
        <v>22</v>
      </c>
      <c r="C11" s="10" t="s">
        <v>21</v>
      </c>
      <c r="D11" s="10" t="s">
        <v>22</v>
      </c>
      <c r="E11" s="10" t="s">
        <v>21</v>
      </c>
      <c r="F11" s="10" t="s">
        <v>22</v>
      </c>
      <c r="G11" s="10" t="s">
        <v>23</v>
      </c>
      <c r="H11" s="10" t="s">
        <v>24</v>
      </c>
      <c r="I11" s="10" t="s">
        <v>25</v>
      </c>
      <c r="J11" s="10" t="s">
        <v>26</v>
      </c>
      <c r="K11" s="10" t="s">
        <v>27</v>
      </c>
      <c r="L11" s="10" t="s">
        <v>28</v>
      </c>
      <c r="M11" s="10" t="s">
        <v>29</v>
      </c>
      <c r="N11" s="10" t="s">
        <v>30</v>
      </c>
    </row>
    <row r="12" spans="1:28" x14ac:dyDescent="0.25">
      <c r="A12" s="95">
        <f>SUM('M11'!T46+'M10'!T46+'M08'!R46)</f>
        <v>0</v>
      </c>
      <c r="B12" s="95">
        <f>SUM('M11'!U46+'M10'!U46+'M08'!S46)</f>
        <v>0</v>
      </c>
      <c r="C12" s="95">
        <f>SUM('M11'!V46+'M10'!V46+'M08'!T46)</f>
        <v>0</v>
      </c>
      <c r="D12" s="95">
        <f>SUM('M11'!W46+'M10'!W46+'M08'!U46)</f>
        <v>0</v>
      </c>
      <c r="E12" s="95">
        <f>SUM('M11'!X46+'M10'!X46+'M08'!V46)</f>
        <v>0</v>
      </c>
      <c r="F12" s="95">
        <f>SUM('M11'!Y46+'M10'!Y46+'M08'!W46)</f>
        <v>0</v>
      </c>
      <c r="G12" s="95">
        <f>SUM('M11'!Z46+'M10'!Z46+'M08'!X46)</f>
        <v>0</v>
      </c>
      <c r="H12" s="95">
        <f>SUM('M11'!AA46+'M10'!AA46+'M08'!Y46)</f>
        <v>0</v>
      </c>
      <c r="I12" s="95">
        <f>SUM('M11'!AB46+'M10'!AB46+'M08'!Z46)</f>
        <v>0</v>
      </c>
      <c r="J12" s="95">
        <f>SUM('M11'!AC46+'M10'!AC46+'M08'!AA46)</f>
        <v>0</v>
      </c>
      <c r="K12" s="95">
        <f>SUM('M11'!AD46+'M10'!AD46+'M08'!AB46)</f>
        <v>0</v>
      </c>
      <c r="L12" s="95">
        <f>SUM('M11'!AE46+'M10'!AE46+'M08'!AC46)</f>
        <v>0</v>
      </c>
      <c r="M12" s="95">
        <f>SUM('M11'!AF46+'M10'!AF46+'M08'!AD46)</f>
        <v>0</v>
      </c>
      <c r="N12" s="95">
        <f>SUM('M11'!AG46+'M10'!AG46+'M08'!AE46)</f>
        <v>0</v>
      </c>
    </row>
    <row r="13" spans="1:28" ht="15.75" thickBot="1" x14ac:dyDescent="0.3">
      <c r="C13" s="96"/>
    </row>
    <row r="14" spans="1:28" ht="19.5" thickBot="1" x14ac:dyDescent="0.3">
      <c r="A14" s="113" t="s">
        <v>76</v>
      </c>
      <c r="B14" s="114"/>
      <c r="C14" s="102">
        <f>SUM(A7:N7,A12:N12)</f>
        <v>34233200</v>
      </c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100"/>
    </row>
    <row r="15" spans="1:28" ht="18.75" x14ac:dyDescent="0.3">
      <c r="A15" s="101"/>
      <c r="B15" s="101"/>
    </row>
  </sheetData>
  <mergeCells count="30">
    <mergeCell ref="A1:N2"/>
    <mergeCell ref="A14:B14"/>
    <mergeCell ref="C10:D10"/>
    <mergeCell ref="E10:F10"/>
    <mergeCell ref="G10:H10"/>
    <mergeCell ref="I10:J10"/>
    <mergeCell ref="K10:L10"/>
    <mergeCell ref="M10:N10"/>
    <mergeCell ref="K9:L9"/>
    <mergeCell ref="M9:N9"/>
    <mergeCell ref="A5:B5"/>
    <mergeCell ref="C5:D5"/>
    <mergeCell ref="E5:F5"/>
    <mergeCell ref="G5:H5"/>
    <mergeCell ref="I5:J5"/>
    <mergeCell ref="K5:L5"/>
    <mergeCell ref="M5:N5"/>
    <mergeCell ref="A10:B10"/>
    <mergeCell ref="M4:N4"/>
    <mergeCell ref="A9:B9"/>
    <mergeCell ref="C9:D9"/>
    <mergeCell ref="E9:F9"/>
    <mergeCell ref="G9:H9"/>
    <mergeCell ref="I9:J9"/>
    <mergeCell ref="A4:B4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8" sqref="A8"/>
      <selection pane="bottomRight" activeCell="F5" sqref="F5:G5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>
        <v>3840000</v>
      </c>
      <c r="D4" s="57">
        <f>C4/C3</f>
        <v>0.10971428571428571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05" t="s">
        <v>38</v>
      </c>
      <c r="G5" s="106"/>
      <c r="H5" s="117" t="s">
        <v>39</v>
      </c>
      <c r="I5" s="106"/>
      <c r="J5" s="117" t="s">
        <v>40</v>
      </c>
      <c r="K5" s="106"/>
      <c r="L5" s="117" t="s">
        <v>41</v>
      </c>
      <c r="M5" s="106"/>
      <c r="N5" s="117" t="s">
        <v>42</v>
      </c>
      <c r="O5" s="106"/>
      <c r="P5" s="117" t="s">
        <v>43</v>
      </c>
      <c r="Q5" s="106"/>
      <c r="R5" s="117" t="s">
        <v>44</v>
      </c>
      <c r="S5" s="106"/>
      <c r="T5" s="117" t="s">
        <v>45</v>
      </c>
      <c r="U5" s="106"/>
      <c r="V5" s="117" t="s">
        <v>46</v>
      </c>
      <c r="W5" s="106"/>
      <c r="X5" s="117" t="s">
        <v>47</v>
      </c>
      <c r="Y5" s="106"/>
      <c r="Z5" s="117" t="s">
        <v>48</v>
      </c>
      <c r="AA5" s="106"/>
      <c r="AB5" s="117" t="s">
        <v>37</v>
      </c>
      <c r="AC5" s="106"/>
      <c r="AD5" s="117" t="s">
        <v>38</v>
      </c>
      <c r="AE5" s="106"/>
      <c r="AF5" s="117" t="s">
        <v>39</v>
      </c>
      <c r="AG5" s="10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thickBot="1" x14ac:dyDescent="0.3">
      <c r="A7" s="7">
        <v>1</v>
      </c>
      <c r="B7" s="7" t="s">
        <v>50</v>
      </c>
      <c r="C7" s="8">
        <f>SUM(C8:C9)</f>
        <v>0.16999999999999998</v>
      </c>
      <c r="D7" s="58">
        <f>C7*C3</f>
        <v>5949999.9999999991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79">
        <f>SUM(F8:AG8)</f>
        <v>0.12000000000000001</v>
      </c>
      <c r="F8" s="71">
        <v>0.1</v>
      </c>
      <c r="G8" s="72">
        <v>0.02</v>
      </c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79">
        <f>SUM(F9:AG9)</f>
        <v>0.05</v>
      </c>
      <c r="F9" s="20"/>
      <c r="G9" s="15"/>
      <c r="H9" s="20"/>
      <c r="I9" s="68"/>
      <c r="J9" s="73">
        <v>0.05</v>
      </c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13"/>
      <c r="F10" s="21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24"/>
      <c r="F11" s="25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79">
        <f>SUM(F12:AG12)</f>
        <v>0.15</v>
      </c>
      <c r="F12" s="20"/>
      <c r="G12" s="47"/>
      <c r="H12" s="20"/>
      <c r="I12" s="74">
        <v>7.4999999999999997E-2</v>
      </c>
      <c r="J12" s="73">
        <v>7.4999999999999997E-2</v>
      </c>
      <c r="K12" s="67"/>
      <c r="L12" s="68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24"/>
      <c r="F14" s="25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79">
        <f t="shared" ref="E15:E16" si="0">SUM(F15:AG15)</f>
        <v>0.06</v>
      </c>
      <c r="F15" s="74">
        <v>0.03</v>
      </c>
      <c r="G15" s="75">
        <v>0.03</v>
      </c>
      <c r="H15" s="21"/>
      <c r="I15" s="21"/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79">
        <f t="shared" si="0"/>
        <v>0.06</v>
      </c>
      <c r="F16" s="21"/>
      <c r="G16" s="17"/>
      <c r="H16" s="21"/>
      <c r="I16" s="74">
        <v>0.03</v>
      </c>
      <c r="J16" s="64"/>
      <c r="K16" s="93">
        <v>0.03</v>
      </c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13"/>
      <c r="F17" s="21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24"/>
      <c r="F18" s="25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79">
        <f t="shared" ref="E19:E20" si="1">SUM(F19:AG19)</f>
        <v>0.12</v>
      </c>
      <c r="F19" s="21"/>
      <c r="G19" s="76">
        <v>0.03</v>
      </c>
      <c r="H19" s="73">
        <v>0.09</v>
      </c>
      <c r="I19" s="21"/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79">
        <f t="shared" si="1"/>
        <v>0.06</v>
      </c>
      <c r="F20" s="21"/>
      <c r="G20" s="76">
        <v>0.03</v>
      </c>
      <c r="H20" s="73">
        <v>0.03</v>
      </c>
      <c r="I20" s="21"/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13"/>
      <c r="F21" s="21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24"/>
      <c r="F22" s="25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79">
        <f>SUM(F23:AG23)</f>
        <v>0.06</v>
      </c>
      <c r="F23" s="21"/>
      <c r="G23" s="17"/>
      <c r="H23" s="21"/>
      <c r="I23" s="73">
        <v>0.06</v>
      </c>
      <c r="J23" s="68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13"/>
      <c r="F24" s="21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24"/>
      <c r="F25" s="25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79">
        <f t="shared" ref="E26:E30" si="2">SUM(F26:AG26)</f>
        <v>0.05</v>
      </c>
      <c r="F26" s="21"/>
      <c r="G26" s="17"/>
      <c r="H26" s="68"/>
      <c r="I26" s="21"/>
      <c r="J26" s="73">
        <v>0.05</v>
      </c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79">
        <f t="shared" si="2"/>
        <v>0.05</v>
      </c>
      <c r="F27" s="21"/>
      <c r="G27" s="75">
        <v>0.05</v>
      </c>
      <c r="H27" s="21"/>
      <c r="I27" s="68"/>
      <c r="J27" s="68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79">
        <f t="shared" si="2"/>
        <v>0.02</v>
      </c>
      <c r="F28" s="21"/>
      <c r="G28" s="17"/>
      <c r="H28" s="21"/>
      <c r="I28" s="73">
        <v>0.02</v>
      </c>
      <c r="J28" s="21"/>
      <c r="K28" s="6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79">
        <f t="shared" si="2"/>
        <v>0.02</v>
      </c>
      <c r="F29" s="21"/>
      <c r="G29" s="17"/>
      <c r="H29" s="21"/>
      <c r="I29" s="21"/>
      <c r="J29" s="21"/>
      <c r="K29" s="75">
        <v>0.02</v>
      </c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79">
        <f t="shared" si="2"/>
        <v>0.02</v>
      </c>
      <c r="F30" s="21"/>
      <c r="G30" s="17"/>
      <c r="H30" s="21"/>
      <c r="I30" s="21"/>
      <c r="J30" s="21"/>
      <c r="K30" s="75">
        <v>0.02</v>
      </c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13"/>
      <c r="F31" s="21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24"/>
      <c r="F32" s="25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79">
        <f t="shared" ref="E33:E36" si="3">SUM(F33:AG33)</f>
        <v>0.06</v>
      </c>
      <c r="F33" s="61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77">
        <v>0.06</v>
      </c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79">
        <f t="shared" si="3"/>
        <v>0.06</v>
      </c>
      <c r="F34" s="61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78">
        <v>0.06</v>
      </c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79">
        <f t="shared" si="3"/>
        <v>0.03</v>
      </c>
      <c r="F35" s="61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77">
        <v>0.03</v>
      </c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79">
        <f t="shared" si="3"/>
        <v>0.01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73">
        <v>0.01</v>
      </c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35">
        <f>SUM(F38:AG38)</f>
        <v>1.0000000000000002</v>
      </c>
      <c r="F38" s="55">
        <f t="shared" ref="F38:AG38" si="4">SUM(F8:F37)</f>
        <v>0.13</v>
      </c>
      <c r="G38" s="55">
        <f t="shared" si="4"/>
        <v>0.16</v>
      </c>
      <c r="H38" s="55">
        <f t="shared" si="4"/>
        <v>0.12</v>
      </c>
      <c r="I38" s="55">
        <f t="shared" si="4"/>
        <v>0.18499999999999997</v>
      </c>
      <c r="J38" s="55">
        <f t="shared" si="4"/>
        <v>0.17499999999999999</v>
      </c>
      <c r="K38" s="55">
        <f t="shared" si="4"/>
        <v>7.0000000000000007E-2</v>
      </c>
      <c r="L38" s="55">
        <f t="shared" si="4"/>
        <v>0</v>
      </c>
      <c r="M38" s="55">
        <f t="shared" si="4"/>
        <v>0</v>
      </c>
      <c r="N38" s="55">
        <f t="shared" si="4"/>
        <v>0</v>
      </c>
      <c r="O38" s="55">
        <f t="shared" si="4"/>
        <v>0</v>
      </c>
      <c r="P38" s="55">
        <f t="shared" si="4"/>
        <v>0</v>
      </c>
      <c r="Q38" s="55">
        <f t="shared" si="4"/>
        <v>0</v>
      </c>
      <c r="R38" s="55">
        <f t="shared" si="4"/>
        <v>0.06</v>
      </c>
      <c r="S38" s="55">
        <f t="shared" si="4"/>
        <v>0.06</v>
      </c>
      <c r="T38" s="55">
        <f t="shared" si="4"/>
        <v>0.04</v>
      </c>
      <c r="U38" s="55">
        <f t="shared" si="4"/>
        <v>0</v>
      </c>
      <c r="V38" s="55">
        <f t="shared" si="4"/>
        <v>0</v>
      </c>
      <c r="W38" s="56">
        <f t="shared" si="4"/>
        <v>0</v>
      </c>
      <c r="X38" s="56">
        <f t="shared" si="4"/>
        <v>0</v>
      </c>
      <c r="Y38" s="55">
        <f t="shared" si="4"/>
        <v>0</v>
      </c>
      <c r="Z38" s="56">
        <f t="shared" si="4"/>
        <v>0</v>
      </c>
      <c r="AA38" s="55">
        <f t="shared" si="4"/>
        <v>0</v>
      </c>
      <c r="AB38" s="56">
        <f t="shared" si="4"/>
        <v>0</v>
      </c>
      <c r="AC38" s="55">
        <f t="shared" si="4"/>
        <v>0</v>
      </c>
      <c r="AD38" s="56">
        <f t="shared" si="4"/>
        <v>0</v>
      </c>
      <c r="AE38" s="55">
        <f t="shared" si="4"/>
        <v>0</v>
      </c>
      <c r="AF38" s="56">
        <f t="shared" si="4"/>
        <v>0</v>
      </c>
      <c r="AG38" s="55">
        <f t="shared" si="4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thickBot="1" x14ac:dyDescent="0.3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thickBot="1" x14ac:dyDescent="0.3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5">F42+(F42*G40)</f>
        <v>35000000</v>
      </c>
      <c r="H42" s="40">
        <f t="shared" si="5"/>
        <v>35000000</v>
      </c>
      <c r="I42" s="40">
        <f t="shared" si="5"/>
        <v>35000000</v>
      </c>
      <c r="J42" s="40">
        <f t="shared" si="5"/>
        <v>35000000</v>
      </c>
      <c r="K42" s="40">
        <f t="shared" si="5"/>
        <v>35000000</v>
      </c>
      <c r="L42" s="40">
        <f t="shared" si="5"/>
        <v>35000000</v>
      </c>
      <c r="M42" s="40">
        <f t="shared" si="5"/>
        <v>35000000</v>
      </c>
      <c r="N42" s="40">
        <f t="shared" si="5"/>
        <v>35000000</v>
      </c>
      <c r="O42" s="40">
        <f t="shared" si="5"/>
        <v>35000000</v>
      </c>
      <c r="P42" s="40">
        <f t="shared" si="5"/>
        <v>35000000</v>
      </c>
      <c r="Q42" s="40">
        <f t="shared" si="5"/>
        <v>35000000</v>
      </c>
      <c r="R42" s="40">
        <f t="shared" si="5"/>
        <v>35000000</v>
      </c>
      <c r="S42" s="40">
        <f t="shared" si="5"/>
        <v>35000000</v>
      </c>
      <c r="T42" s="40">
        <f t="shared" si="5"/>
        <v>35000000</v>
      </c>
      <c r="U42" s="40">
        <f t="shared" si="5"/>
        <v>35000000</v>
      </c>
      <c r="V42" s="40">
        <f t="shared" si="5"/>
        <v>35000000</v>
      </c>
      <c r="W42" s="40">
        <f t="shared" si="5"/>
        <v>35000000</v>
      </c>
      <c r="X42" s="40">
        <f t="shared" si="5"/>
        <v>35000000</v>
      </c>
      <c r="Y42" s="40">
        <f t="shared" si="5"/>
        <v>35000000</v>
      </c>
      <c r="Z42" s="40">
        <f t="shared" si="5"/>
        <v>35000000</v>
      </c>
      <c r="AA42" s="40">
        <f t="shared" si="5"/>
        <v>35000000</v>
      </c>
      <c r="AB42" s="40">
        <f t="shared" si="5"/>
        <v>35000000</v>
      </c>
      <c r="AC42" s="40">
        <f t="shared" si="5"/>
        <v>35000000</v>
      </c>
      <c r="AD42" s="40">
        <f t="shared" si="5"/>
        <v>35000000</v>
      </c>
      <c r="AE42" s="40">
        <f t="shared" si="5"/>
        <v>35000000</v>
      </c>
      <c r="AF42" s="40">
        <f t="shared" si="5"/>
        <v>35000000</v>
      </c>
      <c r="AG42" s="40">
        <f t="shared" si="5"/>
        <v>35000000</v>
      </c>
    </row>
    <row r="43" spans="1:33" ht="15.75" hidden="1" customHeight="1" outlineLevel="1" thickBot="1" x14ac:dyDescent="0.3"/>
    <row r="44" spans="1:33" ht="15.75" hidden="1" customHeight="1" outlineLevel="1" thickBot="1" x14ac:dyDescent="0.3">
      <c r="A44" s="124" t="s">
        <v>34</v>
      </c>
      <c r="B44" s="121"/>
      <c r="C44" s="121"/>
      <c r="D44" s="121"/>
      <c r="E44" s="122"/>
      <c r="F44" s="41">
        <f t="shared" ref="F44:AG44" si="6">F38*F42</f>
        <v>4550000</v>
      </c>
      <c r="G44" s="41">
        <f t="shared" si="6"/>
        <v>5600000</v>
      </c>
      <c r="H44" s="41">
        <f t="shared" si="6"/>
        <v>4200000</v>
      </c>
      <c r="I44" s="41">
        <f t="shared" si="6"/>
        <v>6474999.9999999991</v>
      </c>
      <c r="J44" s="41">
        <f t="shared" si="6"/>
        <v>6125000</v>
      </c>
      <c r="K44" s="41">
        <f t="shared" si="6"/>
        <v>2450000.0000000005</v>
      </c>
      <c r="L44" s="41">
        <f t="shared" si="6"/>
        <v>0</v>
      </c>
      <c r="M44" s="41">
        <f t="shared" si="6"/>
        <v>0</v>
      </c>
      <c r="N44" s="41">
        <f t="shared" si="6"/>
        <v>0</v>
      </c>
      <c r="O44" s="41">
        <f t="shared" si="6"/>
        <v>0</v>
      </c>
      <c r="P44" s="41">
        <f t="shared" si="6"/>
        <v>0</v>
      </c>
      <c r="Q44" s="41">
        <f t="shared" si="6"/>
        <v>0</v>
      </c>
      <c r="R44" s="41">
        <f t="shared" si="6"/>
        <v>2100000</v>
      </c>
      <c r="S44" s="41">
        <f t="shared" si="6"/>
        <v>2100000</v>
      </c>
      <c r="T44" s="41">
        <f t="shared" si="6"/>
        <v>1400000</v>
      </c>
      <c r="U44" s="41">
        <f t="shared" si="6"/>
        <v>0</v>
      </c>
      <c r="V44" s="41">
        <f t="shared" si="6"/>
        <v>0</v>
      </c>
      <c r="W44" s="41">
        <f t="shared" si="6"/>
        <v>0</v>
      </c>
      <c r="X44" s="41">
        <f t="shared" si="6"/>
        <v>0</v>
      </c>
      <c r="Y44" s="41">
        <f t="shared" si="6"/>
        <v>0</v>
      </c>
      <c r="Z44" s="41">
        <f t="shared" si="6"/>
        <v>0</v>
      </c>
      <c r="AA44" s="41">
        <f t="shared" si="6"/>
        <v>0</v>
      </c>
      <c r="AB44" s="41">
        <f t="shared" si="6"/>
        <v>0</v>
      </c>
      <c r="AC44" s="41">
        <f t="shared" si="6"/>
        <v>0</v>
      </c>
      <c r="AD44" s="41">
        <f t="shared" si="6"/>
        <v>0</v>
      </c>
      <c r="AE44" s="41">
        <f t="shared" si="6"/>
        <v>0</v>
      </c>
      <c r="AF44" s="41">
        <f t="shared" si="6"/>
        <v>0</v>
      </c>
      <c r="AG44" s="41">
        <f t="shared" si="6"/>
        <v>0</v>
      </c>
    </row>
    <row r="45" spans="1:33" ht="15.75" hidden="1" customHeight="1" outlineLevel="1" thickBot="1" x14ac:dyDescent="0.3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4050800</v>
      </c>
      <c r="G46" s="43">
        <f>G44-(G44*D4)</f>
        <v>4985600</v>
      </c>
      <c r="H46" s="43">
        <f>H44-(H44*D4)</f>
        <v>3739200</v>
      </c>
      <c r="I46" s="43">
        <f>I44-(I44*D4)</f>
        <v>5764599.9999999991</v>
      </c>
      <c r="J46" s="43">
        <f>J44-(J44*D4)</f>
        <v>5453000</v>
      </c>
      <c r="K46" s="43">
        <f>K44-(K44*D4)</f>
        <v>2181200.0000000005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1869600</v>
      </c>
      <c r="S46" s="43">
        <f>S44-(S44*D4)</f>
        <v>1869600</v>
      </c>
      <c r="T46" s="43">
        <f>T44-(T44*D4)</f>
        <v>1246400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thickBot="1" x14ac:dyDescent="0.3">
      <c r="A48" s="120" t="s">
        <v>36</v>
      </c>
      <c r="B48" s="121"/>
      <c r="C48" s="121"/>
      <c r="D48" s="121"/>
      <c r="E48" s="122"/>
      <c r="F48" s="45">
        <f>F42-F46-C4</f>
        <v>27109200</v>
      </c>
      <c r="G48" s="45">
        <f t="shared" ref="G48:AG48" si="7">(F48+(F48*G40))-G46</f>
        <v>22123600</v>
      </c>
      <c r="H48" s="46">
        <f t="shared" si="7"/>
        <v>18384400</v>
      </c>
      <c r="I48" s="46">
        <f t="shared" si="7"/>
        <v>12619800</v>
      </c>
      <c r="J48" s="45">
        <f t="shared" si="7"/>
        <v>7166800</v>
      </c>
      <c r="K48" s="45">
        <f t="shared" si="7"/>
        <v>4985600</v>
      </c>
      <c r="L48" s="45">
        <f t="shared" si="7"/>
        <v>4985600</v>
      </c>
      <c r="M48" s="45">
        <f t="shared" si="7"/>
        <v>4985600</v>
      </c>
      <c r="N48" s="45">
        <f t="shared" si="7"/>
        <v>4985600</v>
      </c>
      <c r="O48" s="45">
        <f t="shared" si="7"/>
        <v>4985600</v>
      </c>
      <c r="P48" s="45">
        <f t="shared" si="7"/>
        <v>4985600</v>
      </c>
      <c r="Q48" s="45">
        <f t="shared" si="7"/>
        <v>4985600</v>
      </c>
      <c r="R48" s="45">
        <f t="shared" si="7"/>
        <v>3116000</v>
      </c>
      <c r="S48" s="45">
        <f t="shared" si="7"/>
        <v>1246400</v>
      </c>
      <c r="T48" s="45">
        <f t="shared" si="7"/>
        <v>0</v>
      </c>
      <c r="U48" s="45">
        <f t="shared" si="7"/>
        <v>0</v>
      </c>
      <c r="V48" s="45">
        <f t="shared" si="7"/>
        <v>0</v>
      </c>
      <c r="W48" s="45">
        <f t="shared" si="7"/>
        <v>0</v>
      </c>
      <c r="X48" s="45">
        <f t="shared" si="7"/>
        <v>0</v>
      </c>
      <c r="Y48" s="45">
        <f t="shared" si="7"/>
        <v>0</v>
      </c>
      <c r="Z48" s="45">
        <f t="shared" si="7"/>
        <v>0</v>
      </c>
      <c r="AA48" s="45">
        <f t="shared" si="7"/>
        <v>0</v>
      </c>
      <c r="AB48" s="45">
        <f t="shared" si="7"/>
        <v>0</v>
      </c>
      <c r="AC48" s="45">
        <f t="shared" si="7"/>
        <v>0</v>
      </c>
      <c r="AD48" s="45">
        <f t="shared" si="7"/>
        <v>0</v>
      </c>
      <c r="AE48" s="45">
        <f t="shared" si="7"/>
        <v>0</v>
      </c>
      <c r="AF48" s="45">
        <f t="shared" si="7"/>
        <v>0</v>
      </c>
      <c r="AG48" s="45">
        <f t="shared" si="7"/>
        <v>0</v>
      </c>
    </row>
    <row r="49" spans="1:33" ht="15.75" thickBot="1" x14ac:dyDescent="0.3">
      <c r="L49" s="47"/>
      <c r="M49" s="48"/>
      <c r="N49" s="48"/>
      <c r="O49" s="47"/>
      <c r="P49" s="48"/>
      <c r="Q49" s="48"/>
      <c r="U49" s="48"/>
      <c r="W49" s="47"/>
    </row>
    <row r="50" spans="1:33" ht="15.75" customHeight="1" thickBot="1" x14ac:dyDescent="0.3">
      <c r="A50" s="120" t="s">
        <v>75</v>
      </c>
      <c r="B50" s="121"/>
      <c r="C50" s="121"/>
      <c r="D50" s="121"/>
      <c r="E50" s="122"/>
      <c r="F50" s="115">
        <f>SUM(F46:G46)</f>
        <v>9036400</v>
      </c>
      <c r="G50" s="116"/>
      <c r="H50" s="115">
        <f>SUM(H46:I46)</f>
        <v>9503800</v>
      </c>
      <c r="I50" s="116"/>
      <c r="J50" s="115">
        <f>SUM(J46:K46)</f>
        <v>7634200</v>
      </c>
      <c r="K50" s="116"/>
      <c r="L50" s="115">
        <f>SUM(L46:M46)</f>
        <v>0</v>
      </c>
      <c r="M50" s="116"/>
      <c r="N50" s="115">
        <f>SUM(N46:O46)</f>
        <v>0</v>
      </c>
      <c r="O50" s="116"/>
      <c r="P50" s="115">
        <f>SUM(P46:Q46)</f>
        <v>0</v>
      </c>
      <c r="Q50" s="116"/>
      <c r="R50" s="115">
        <f>SUM(R46:S46)</f>
        <v>3739200</v>
      </c>
      <c r="S50" s="116"/>
      <c r="T50" s="115">
        <f>SUM(T46:U46)</f>
        <v>1246400</v>
      </c>
      <c r="U50" s="116"/>
      <c r="V50" s="115">
        <f>SUM(V46:W46)</f>
        <v>0</v>
      </c>
      <c r="W50" s="116"/>
      <c r="X50" s="115">
        <f>SUM(X46:Y46)</f>
        <v>0</v>
      </c>
      <c r="Y50" s="116"/>
      <c r="Z50" s="115">
        <f>SUM(Z46:AA46)</f>
        <v>0</v>
      </c>
      <c r="AA50" s="116"/>
      <c r="AB50" s="115">
        <f>SUM(AB46:AC46)</f>
        <v>0</v>
      </c>
      <c r="AC50" s="116"/>
      <c r="AD50" s="115">
        <f>SUM(AD46:AE46)</f>
        <v>0</v>
      </c>
      <c r="AE50" s="116"/>
      <c r="AF50" s="115">
        <f>SUM(AF46:AG46)</f>
        <v>0</v>
      </c>
      <c r="AG50" s="116"/>
    </row>
    <row r="51" spans="1:33" ht="15.75" customHeight="1" x14ac:dyDescent="0.25">
      <c r="G51" s="44">
        <f>F50*2</f>
        <v>18072800</v>
      </c>
      <c r="H51" s="44"/>
      <c r="I51" s="44">
        <f t="shared" ref="I51:AG51" si="8">H50*2</f>
        <v>19007600</v>
      </c>
      <c r="J51" s="44"/>
      <c r="K51" s="44">
        <f t="shared" si="8"/>
        <v>15268400</v>
      </c>
      <c r="L51" s="44"/>
      <c r="M51" s="44">
        <f t="shared" si="8"/>
        <v>0</v>
      </c>
      <c r="N51" s="44"/>
      <c r="O51" s="44">
        <f t="shared" si="8"/>
        <v>0</v>
      </c>
      <c r="P51" s="44"/>
      <c r="Q51" s="44">
        <f t="shared" si="8"/>
        <v>0</v>
      </c>
      <c r="R51" s="44"/>
      <c r="S51" s="44">
        <f t="shared" si="8"/>
        <v>7478400</v>
      </c>
      <c r="T51" s="44"/>
      <c r="U51" s="44">
        <f t="shared" si="8"/>
        <v>2492800</v>
      </c>
      <c r="V51" s="44"/>
      <c r="W51" s="44">
        <f t="shared" si="8"/>
        <v>0</v>
      </c>
      <c r="X51" s="44"/>
      <c r="Y51" s="44">
        <f t="shared" si="8"/>
        <v>0</v>
      </c>
      <c r="Z51" s="44"/>
      <c r="AA51" s="44">
        <f t="shared" si="8"/>
        <v>0</v>
      </c>
      <c r="AB51" s="44"/>
      <c r="AC51" s="44">
        <f t="shared" si="8"/>
        <v>0</v>
      </c>
      <c r="AD51" s="44"/>
      <c r="AE51" s="44">
        <f t="shared" si="8"/>
        <v>0</v>
      </c>
      <c r="AF51" s="44"/>
      <c r="AG51" s="44">
        <f t="shared" si="8"/>
        <v>0</v>
      </c>
    </row>
    <row r="52" spans="1:33" ht="15.75" customHeight="1" x14ac:dyDescent="0.25">
      <c r="F52" s="53"/>
      <c r="Q52" s="44"/>
      <c r="W52" s="53"/>
    </row>
    <row r="53" spans="1:33" ht="15.75" customHeight="1" x14ac:dyDescent="0.25">
      <c r="G53" s="49"/>
      <c r="H53" s="49"/>
      <c r="I53" s="11"/>
      <c r="J53" s="44"/>
      <c r="K53" s="53"/>
    </row>
    <row r="54" spans="1:33" ht="15.75" customHeight="1" x14ac:dyDescent="0.25">
      <c r="G54" s="54"/>
      <c r="H54" s="54"/>
      <c r="I54" s="11"/>
      <c r="J54" s="44"/>
      <c r="K54" s="94"/>
    </row>
    <row r="55" spans="1:33" ht="15.75" customHeight="1" x14ac:dyDescent="0.25">
      <c r="G55" s="54"/>
      <c r="H55" s="54"/>
    </row>
    <row r="56" spans="1:33" ht="15.75" customHeight="1" x14ac:dyDescent="0.25">
      <c r="G56" s="54"/>
      <c r="H56" s="54"/>
    </row>
    <row r="57" spans="1:33" ht="15.75" customHeight="1" x14ac:dyDescent="0.25">
      <c r="G57" s="54"/>
      <c r="H57" s="54"/>
      <c r="J57" s="53"/>
    </row>
    <row r="58" spans="1:33" ht="15.75" customHeight="1" x14ac:dyDescent="0.25">
      <c r="G58" s="54"/>
      <c r="H58" s="54"/>
    </row>
    <row r="59" spans="1:33" ht="15.75" customHeight="1" x14ac:dyDescent="0.25">
      <c r="G59" s="54"/>
      <c r="H59" s="54"/>
    </row>
    <row r="60" spans="1:33" ht="15.75" customHeight="1" x14ac:dyDescent="0.25">
      <c r="G60" s="54"/>
      <c r="H60" s="54"/>
    </row>
    <row r="61" spans="1:33" ht="15.75" customHeight="1" x14ac:dyDescent="0.25">
      <c r="G61" s="54"/>
      <c r="H61" s="54"/>
    </row>
    <row r="62" spans="1:33" ht="15.75" customHeight="1" x14ac:dyDescent="0.25"/>
    <row r="63" spans="1:33" ht="15.75" customHeight="1" x14ac:dyDescent="0.25"/>
    <row r="64" spans="1:3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A50:E50"/>
    <mergeCell ref="A46:E46"/>
    <mergeCell ref="A48:E48"/>
    <mergeCell ref="AB6:AC6"/>
    <mergeCell ref="AD6:AE6"/>
    <mergeCell ref="F50:G50"/>
    <mergeCell ref="H50:I50"/>
    <mergeCell ref="J50:K50"/>
    <mergeCell ref="L50:M50"/>
    <mergeCell ref="N50:O50"/>
    <mergeCell ref="Z50:AA50"/>
    <mergeCell ref="AB50:AC50"/>
    <mergeCell ref="AD50:AE50"/>
    <mergeCell ref="AF6:AG6"/>
    <mergeCell ref="A40:E40"/>
    <mergeCell ref="A42:E42"/>
    <mergeCell ref="A44:E44"/>
    <mergeCell ref="P6:Q6"/>
    <mergeCell ref="R6:S6"/>
    <mergeCell ref="T6:U6"/>
    <mergeCell ref="V6:W6"/>
    <mergeCell ref="X6:Y6"/>
    <mergeCell ref="Z6:AA6"/>
    <mergeCell ref="F6:G6"/>
    <mergeCell ref="H6:I6"/>
    <mergeCell ref="J6:K6"/>
    <mergeCell ref="L6:M6"/>
    <mergeCell ref="N6:O6"/>
    <mergeCell ref="X5:Y5"/>
    <mergeCell ref="Z5:AA5"/>
    <mergeCell ref="AB5:AC5"/>
    <mergeCell ref="AD5:AE5"/>
    <mergeCell ref="AF5:AG5"/>
    <mergeCell ref="V5:W5"/>
    <mergeCell ref="A2:B2"/>
    <mergeCell ref="A3:B3"/>
    <mergeCell ref="A4:B4"/>
    <mergeCell ref="F5:G5"/>
    <mergeCell ref="H5:I5"/>
    <mergeCell ref="J5:K5"/>
    <mergeCell ref="L5:M5"/>
    <mergeCell ref="N5:O5"/>
    <mergeCell ref="P5:Q5"/>
    <mergeCell ref="R5:S5"/>
    <mergeCell ref="T5:U5"/>
    <mergeCell ref="AF50:AG50"/>
    <mergeCell ref="P50:Q50"/>
    <mergeCell ref="R50:S50"/>
    <mergeCell ref="T50:U50"/>
    <mergeCell ref="V50:W50"/>
    <mergeCell ref="X50:Y50"/>
  </mergeCells>
  <phoneticPr fontId="24" type="noConversion"/>
  <printOptions horizontalCentered="1" verticalCentered="1" gridLines="1"/>
  <pageMargins left="0.25" right="0.25" top="0.75" bottom="0.75" header="0.3" footer="0.3"/>
  <pageSetup paperSize="9" scale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8" sqref="A8"/>
      <selection pane="bottomRight" activeCell="A51" sqref="A5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/>
      <c r="D4" s="57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17" t="s">
        <v>41</v>
      </c>
      <c r="G5" s="106"/>
      <c r="H5" s="117" t="s">
        <v>42</v>
      </c>
      <c r="I5" s="106"/>
      <c r="J5" s="117" t="s">
        <v>43</v>
      </c>
      <c r="K5" s="106"/>
      <c r="L5" s="117" t="s">
        <v>44</v>
      </c>
      <c r="M5" s="106"/>
      <c r="N5" s="117" t="s">
        <v>45</v>
      </c>
      <c r="O5" s="106"/>
      <c r="P5" s="117" t="s">
        <v>46</v>
      </c>
      <c r="Q5" s="106"/>
      <c r="R5" s="117" t="s">
        <v>47</v>
      </c>
      <c r="S5" s="106"/>
      <c r="T5" s="117" t="s">
        <v>48</v>
      </c>
      <c r="U5" s="106"/>
      <c r="V5" s="117" t="s">
        <v>37</v>
      </c>
      <c r="W5" s="106"/>
      <c r="X5" s="117" t="s">
        <v>38</v>
      </c>
      <c r="Y5" s="106"/>
      <c r="Z5" s="117" t="s">
        <v>39</v>
      </c>
      <c r="AA5" s="106"/>
      <c r="AB5" s="117" t="s">
        <v>40</v>
      </c>
      <c r="AC5" s="106"/>
      <c r="AD5" s="117" t="s">
        <v>41</v>
      </c>
      <c r="AE5" s="106"/>
      <c r="AF5" s="117" t="s">
        <v>42</v>
      </c>
      <c r="AG5" s="10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thickBot="1" x14ac:dyDescent="0.3">
      <c r="A7" s="7">
        <v>1</v>
      </c>
      <c r="B7" s="7" t="s">
        <v>50</v>
      </c>
      <c r="C7" s="8">
        <f>SUM(C8:C9)</f>
        <v>0.16999999999999998</v>
      </c>
      <c r="D7" s="58">
        <f>C7*C3</f>
        <v>5949999.9999999991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79">
        <f>SUM(F8:AG8)</f>
        <v>0.12000000000000001</v>
      </c>
      <c r="F8" s="71">
        <v>0.1</v>
      </c>
      <c r="G8" s="72">
        <v>0.02</v>
      </c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79">
        <f>SUM(F9:AG9)</f>
        <v>0.05</v>
      </c>
      <c r="F9" s="20"/>
      <c r="G9" s="15"/>
      <c r="H9" s="20"/>
      <c r="I9" s="68"/>
      <c r="J9" s="73">
        <v>0.05</v>
      </c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13"/>
      <c r="F10" s="21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24"/>
      <c r="F11" s="25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79">
        <f>SUM(F12:AG12)</f>
        <v>0.15</v>
      </c>
      <c r="F12" s="20"/>
      <c r="G12" s="47"/>
      <c r="H12" s="20"/>
      <c r="I12" s="74">
        <v>7.4999999999999997E-2</v>
      </c>
      <c r="J12" s="73">
        <v>7.4999999999999997E-2</v>
      </c>
      <c r="K12" s="67"/>
      <c r="L12" s="68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24"/>
      <c r="F14" s="25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79">
        <f>SUM(F15:AG15)</f>
        <v>0.06</v>
      </c>
      <c r="F15" s="74">
        <v>0.03</v>
      </c>
      <c r="G15" s="75">
        <v>0.03</v>
      </c>
      <c r="H15" s="21"/>
      <c r="I15" s="21"/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79">
        <f>SUM(F16:AG16)</f>
        <v>0.06</v>
      </c>
      <c r="F16" s="21"/>
      <c r="G16" s="17"/>
      <c r="H16" s="21"/>
      <c r="I16" s="74">
        <v>0.03</v>
      </c>
      <c r="J16" s="64"/>
      <c r="K16" s="93">
        <v>0.03</v>
      </c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13"/>
      <c r="F17" s="21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24"/>
      <c r="F18" s="25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79">
        <f t="shared" ref="E19:E20" si="0">SUM(F19:AG19)</f>
        <v>0.12</v>
      </c>
      <c r="F19" s="21"/>
      <c r="G19" s="76">
        <v>0.03</v>
      </c>
      <c r="H19" s="73">
        <v>0.09</v>
      </c>
      <c r="I19" s="21"/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79">
        <f t="shared" si="0"/>
        <v>0.06</v>
      </c>
      <c r="F20" s="21"/>
      <c r="G20" s="76">
        <v>0.03</v>
      </c>
      <c r="H20" s="73">
        <v>0.03</v>
      </c>
      <c r="I20" s="21"/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13"/>
      <c r="F21" s="21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24"/>
      <c r="F22" s="25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79">
        <f>SUM(F23:AG23)</f>
        <v>0.06</v>
      </c>
      <c r="F23" s="21"/>
      <c r="G23" s="17"/>
      <c r="H23" s="21"/>
      <c r="I23" s="73">
        <v>0.06</v>
      </c>
      <c r="J23" s="68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13"/>
      <c r="F24" s="21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24"/>
      <c r="F25" s="25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79">
        <f t="shared" ref="E26:E30" si="1">SUM(F26:AG26)</f>
        <v>0.05</v>
      </c>
      <c r="F26" s="21"/>
      <c r="G26" s="17"/>
      <c r="H26" s="68"/>
      <c r="I26" s="21"/>
      <c r="J26" s="73">
        <v>0.05</v>
      </c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79">
        <f t="shared" si="1"/>
        <v>0.05</v>
      </c>
      <c r="F27" s="21"/>
      <c r="G27" s="75">
        <v>0.05</v>
      </c>
      <c r="H27" s="21"/>
      <c r="I27" s="68"/>
      <c r="J27" s="68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79">
        <f t="shared" si="1"/>
        <v>0.02</v>
      </c>
      <c r="F28" s="21"/>
      <c r="G28" s="17"/>
      <c r="H28" s="21"/>
      <c r="I28" s="73">
        <v>0.02</v>
      </c>
      <c r="J28" s="21"/>
      <c r="K28" s="6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79">
        <f t="shared" si="1"/>
        <v>0.02</v>
      </c>
      <c r="F29" s="21"/>
      <c r="G29" s="17"/>
      <c r="H29" s="21"/>
      <c r="I29" s="21"/>
      <c r="J29" s="21"/>
      <c r="K29" s="75">
        <v>0.02</v>
      </c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79">
        <f t="shared" si="1"/>
        <v>0.02</v>
      </c>
      <c r="F30" s="21"/>
      <c r="G30" s="17"/>
      <c r="H30" s="21"/>
      <c r="I30" s="21"/>
      <c r="J30" s="21"/>
      <c r="K30" s="75">
        <v>0.02</v>
      </c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13"/>
      <c r="F31" s="21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24"/>
      <c r="F32" s="25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79">
        <f t="shared" ref="E33:E36" si="2">SUM(F33:AG33)</f>
        <v>0.06</v>
      </c>
      <c r="F33" s="61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77">
        <v>0.06</v>
      </c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79">
        <f t="shared" si="2"/>
        <v>0.06</v>
      </c>
      <c r="F34" s="61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78">
        <v>0.06</v>
      </c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79">
        <f t="shared" si="2"/>
        <v>0.03</v>
      </c>
      <c r="F35" s="61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77">
        <v>0.03</v>
      </c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79">
        <f t="shared" si="2"/>
        <v>0.01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73">
        <v>0.01</v>
      </c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35">
        <f>SUM(F38:AG38)</f>
        <v>1.0000000000000002</v>
      </c>
      <c r="F38" s="55">
        <f t="shared" ref="F38:AG38" si="3">SUM(F8:F37)</f>
        <v>0.13</v>
      </c>
      <c r="G38" s="55">
        <f t="shared" si="3"/>
        <v>0.16</v>
      </c>
      <c r="H38" s="55">
        <f t="shared" si="3"/>
        <v>0.12</v>
      </c>
      <c r="I38" s="55">
        <f t="shared" si="3"/>
        <v>0.18499999999999997</v>
      </c>
      <c r="J38" s="55">
        <f t="shared" si="3"/>
        <v>0.17499999999999999</v>
      </c>
      <c r="K38" s="55">
        <f t="shared" si="3"/>
        <v>7.0000000000000007E-2</v>
      </c>
      <c r="L38" s="55">
        <f t="shared" si="3"/>
        <v>0</v>
      </c>
      <c r="M38" s="55">
        <f t="shared" si="3"/>
        <v>0</v>
      </c>
      <c r="N38" s="55">
        <f t="shared" si="3"/>
        <v>0</v>
      </c>
      <c r="O38" s="55">
        <f t="shared" si="3"/>
        <v>0</v>
      </c>
      <c r="P38" s="55">
        <f t="shared" si="3"/>
        <v>0</v>
      </c>
      <c r="Q38" s="55">
        <f t="shared" si="3"/>
        <v>0</v>
      </c>
      <c r="R38" s="55">
        <f t="shared" si="3"/>
        <v>0.06</v>
      </c>
      <c r="S38" s="55">
        <f t="shared" si="3"/>
        <v>0.06</v>
      </c>
      <c r="T38" s="55">
        <f t="shared" si="3"/>
        <v>0.04</v>
      </c>
      <c r="U38" s="55">
        <f t="shared" si="3"/>
        <v>0</v>
      </c>
      <c r="V38" s="55">
        <f t="shared" si="3"/>
        <v>0</v>
      </c>
      <c r="W38" s="56">
        <f t="shared" si="3"/>
        <v>0</v>
      </c>
      <c r="X38" s="56">
        <f t="shared" si="3"/>
        <v>0</v>
      </c>
      <c r="Y38" s="55">
        <f t="shared" si="3"/>
        <v>0</v>
      </c>
      <c r="Z38" s="56">
        <f t="shared" si="3"/>
        <v>0</v>
      </c>
      <c r="AA38" s="55">
        <f t="shared" si="3"/>
        <v>0</v>
      </c>
      <c r="AB38" s="56">
        <f t="shared" si="3"/>
        <v>0</v>
      </c>
      <c r="AC38" s="55">
        <f t="shared" si="3"/>
        <v>0</v>
      </c>
      <c r="AD38" s="56">
        <f t="shared" si="3"/>
        <v>0</v>
      </c>
      <c r="AE38" s="55">
        <f t="shared" si="3"/>
        <v>0</v>
      </c>
      <c r="AF38" s="56">
        <f t="shared" si="3"/>
        <v>0</v>
      </c>
      <c r="AG38" s="55">
        <f t="shared" si="3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thickBot="1" x14ac:dyDescent="0.3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thickBot="1" x14ac:dyDescent="0.3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4">F42+(F42*G40)</f>
        <v>35000000</v>
      </c>
      <c r="H42" s="40">
        <f t="shared" si="4"/>
        <v>35000000</v>
      </c>
      <c r="I42" s="40">
        <f t="shared" si="4"/>
        <v>35000000</v>
      </c>
      <c r="J42" s="40">
        <f t="shared" si="4"/>
        <v>35000000</v>
      </c>
      <c r="K42" s="40">
        <f t="shared" si="4"/>
        <v>35000000</v>
      </c>
      <c r="L42" s="40">
        <f t="shared" si="4"/>
        <v>35000000</v>
      </c>
      <c r="M42" s="40">
        <f t="shared" si="4"/>
        <v>35000000</v>
      </c>
      <c r="N42" s="40">
        <f t="shared" si="4"/>
        <v>35000000</v>
      </c>
      <c r="O42" s="40">
        <f t="shared" si="4"/>
        <v>35000000</v>
      </c>
      <c r="P42" s="40">
        <f t="shared" si="4"/>
        <v>35000000</v>
      </c>
      <c r="Q42" s="40">
        <f t="shared" si="4"/>
        <v>35000000</v>
      </c>
      <c r="R42" s="40">
        <f t="shared" si="4"/>
        <v>35000000</v>
      </c>
      <c r="S42" s="40">
        <f t="shared" si="4"/>
        <v>35000000</v>
      </c>
      <c r="T42" s="40">
        <f t="shared" si="4"/>
        <v>35000000</v>
      </c>
      <c r="U42" s="40">
        <f t="shared" si="4"/>
        <v>35000000</v>
      </c>
      <c r="V42" s="40">
        <f t="shared" si="4"/>
        <v>35000000</v>
      </c>
      <c r="W42" s="40">
        <f t="shared" si="4"/>
        <v>35000000</v>
      </c>
      <c r="X42" s="40">
        <f t="shared" si="4"/>
        <v>35000000</v>
      </c>
      <c r="Y42" s="40">
        <f t="shared" si="4"/>
        <v>35000000</v>
      </c>
      <c r="Z42" s="40">
        <f t="shared" si="4"/>
        <v>35000000</v>
      </c>
      <c r="AA42" s="40">
        <f t="shared" si="4"/>
        <v>35000000</v>
      </c>
      <c r="AB42" s="40">
        <f t="shared" si="4"/>
        <v>35000000</v>
      </c>
      <c r="AC42" s="40">
        <f t="shared" si="4"/>
        <v>35000000</v>
      </c>
      <c r="AD42" s="40">
        <f t="shared" si="4"/>
        <v>35000000</v>
      </c>
      <c r="AE42" s="40">
        <f t="shared" si="4"/>
        <v>35000000</v>
      </c>
      <c r="AF42" s="40">
        <f t="shared" si="4"/>
        <v>35000000</v>
      </c>
      <c r="AG42" s="40">
        <f t="shared" si="4"/>
        <v>35000000</v>
      </c>
    </row>
    <row r="43" spans="1:33" ht="15.75" hidden="1" customHeight="1" outlineLevel="1" thickBot="1" x14ac:dyDescent="0.3"/>
    <row r="44" spans="1:33" ht="15.75" hidden="1" customHeight="1" outlineLevel="1" thickBot="1" x14ac:dyDescent="0.3">
      <c r="A44" s="124" t="s">
        <v>34</v>
      </c>
      <c r="B44" s="121"/>
      <c r="C44" s="121"/>
      <c r="D44" s="121"/>
      <c r="E44" s="122"/>
      <c r="F44" s="41">
        <f t="shared" ref="F44:AG44" si="5">F38*F42</f>
        <v>4550000</v>
      </c>
      <c r="G44" s="41">
        <f t="shared" si="5"/>
        <v>5600000</v>
      </c>
      <c r="H44" s="41">
        <f t="shared" si="5"/>
        <v>4200000</v>
      </c>
      <c r="I44" s="41">
        <f t="shared" si="5"/>
        <v>6474999.9999999991</v>
      </c>
      <c r="J44" s="41">
        <f t="shared" si="5"/>
        <v>6125000</v>
      </c>
      <c r="K44" s="41">
        <f t="shared" si="5"/>
        <v>2450000.0000000005</v>
      </c>
      <c r="L44" s="41">
        <f t="shared" si="5"/>
        <v>0</v>
      </c>
      <c r="M44" s="41">
        <f t="shared" si="5"/>
        <v>0</v>
      </c>
      <c r="N44" s="41">
        <f t="shared" si="5"/>
        <v>0</v>
      </c>
      <c r="O44" s="41">
        <f t="shared" si="5"/>
        <v>0</v>
      </c>
      <c r="P44" s="41">
        <f t="shared" si="5"/>
        <v>0</v>
      </c>
      <c r="Q44" s="41">
        <f t="shared" si="5"/>
        <v>0</v>
      </c>
      <c r="R44" s="41">
        <f t="shared" si="5"/>
        <v>2100000</v>
      </c>
      <c r="S44" s="41">
        <f t="shared" si="5"/>
        <v>2100000</v>
      </c>
      <c r="T44" s="41">
        <f t="shared" si="5"/>
        <v>1400000</v>
      </c>
      <c r="U44" s="41">
        <f t="shared" si="5"/>
        <v>0</v>
      </c>
      <c r="V44" s="41">
        <f t="shared" si="5"/>
        <v>0</v>
      </c>
      <c r="W44" s="41">
        <f t="shared" si="5"/>
        <v>0</v>
      </c>
      <c r="X44" s="41">
        <f t="shared" si="5"/>
        <v>0</v>
      </c>
      <c r="Y44" s="41">
        <f t="shared" si="5"/>
        <v>0</v>
      </c>
      <c r="Z44" s="41">
        <f t="shared" si="5"/>
        <v>0</v>
      </c>
      <c r="AA44" s="41">
        <f t="shared" si="5"/>
        <v>0</v>
      </c>
      <c r="AB44" s="41">
        <f t="shared" si="5"/>
        <v>0</v>
      </c>
      <c r="AC44" s="41">
        <f t="shared" si="5"/>
        <v>0</v>
      </c>
      <c r="AD44" s="41">
        <f t="shared" si="5"/>
        <v>0</v>
      </c>
      <c r="AE44" s="41">
        <f t="shared" si="5"/>
        <v>0</v>
      </c>
      <c r="AF44" s="41">
        <f t="shared" si="5"/>
        <v>0</v>
      </c>
      <c r="AG44" s="41">
        <f t="shared" si="5"/>
        <v>0</v>
      </c>
    </row>
    <row r="45" spans="1:33" ht="15.75" hidden="1" customHeight="1" outlineLevel="1" thickBot="1" x14ac:dyDescent="0.3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4550000</v>
      </c>
      <c r="G46" s="43">
        <f>G44-(G44*D4)</f>
        <v>5600000</v>
      </c>
      <c r="H46" s="43">
        <f>H44-(H44*D4)</f>
        <v>4200000</v>
      </c>
      <c r="I46" s="43">
        <f>I44-(I44*D4)</f>
        <v>6474999.9999999991</v>
      </c>
      <c r="J46" s="43">
        <f>J44-(J44*D4)</f>
        <v>6125000</v>
      </c>
      <c r="K46" s="43">
        <f>K44-(K44*D4)</f>
        <v>2450000.0000000005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2100000</v>
      </c>
      <c r="S46" s="43">
        <f>S44-(S44*D4)</f>
        <v>2100000</v>
      </c>
      <c r="T46" s="43">
        <f>T44-(T44*D4)</f>
        <v>1400000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thickBot="1" x14ac:dyDescent="0.3">
      <c r="A48" s="120" t="s">
        <v>36</v>
      </c>
      <c r="B48" s="121"/>
      <c r="C48" s="121"/>
      <c r="D48" s="121"/>
      <c r="E48" s="122"/>
      <c r="F48" s="45">
        <f>F42-F46-C4</f>
        <v>30450000</v>
      </c>
      <c r="G48" s="45">
        <f t="shared" ref="G48:AG48" si="6">(F48+(F48*G40))-G46</f>
        <v>24850000</v>
      </c>
      <c r="H48" s="46">
        <f t="shared" si="6"/>
        <v>20650000</v>
      </c>
      <c r="I48" s="46">
        <f t="shared" si="6"/>
        <v>14175000</v>
      </c>
      <c r="J48" s="45">
        <f t="shared" si="6"/>
        <v>8050000</v>
      </c>
      <c r="K48" s="45">
        <f t="shared" si="6"/>
        <v>5600000</v>
      </c>
      <c r="L48" s="45">
        <f t="shared" si="6"/>
        <v>5600000</v>
      </c>
      <c r="M48" s="45">
        <f t="shared" si="6"/>
        <v>5600000</v>
      </c>
      <c r="N48" s="45">
        <f t="shared" si="6"/>
        <v>5600000</v>
      </c>
      <c r="O48" s="45">
        <f t="shared" si="6"/>
        <v>5600000</v>
      </c>
      <c r="P48" s="45">
        <f t="shared" si="6"/>
        <v>5600000</v>
      </c>
      <c r="Q48" s="45">
        <f t="shared" si="6"/>
        <v>5600000</v>
      </c>
      <c r="R48" s="45">
        <f t="shared" si="6"/>
        <v>3500000</v>
      </c>
      <c r="S48" s="45">
        <f t="shared" si="6"/>
        <v>1400000</v>
      </c>
      <c r="T48" s="45">
        <f t="shared" si="6"/>
        <v>0</v>
      </c>
      <c r="U48" s="45">
        <f t="shared" si="6"/>
        <v>0</v>
      </c>
      <c r="V48" s="45">
        <f t="shared" si="6"/>
        <v>0</v>
      </c>
      <c r="W48" s="45">
        <f t="shared" si="6"/>
        <v>0</v>
      </c>
      <c r="X48" s="45">
        <f t="shared" si="6"/>
        <v>0</v>
      </c>
      <c r="Y48" s="45">
        <f t="shared" si="6"/>
        <v>0</v>
      </c>
      <c r="Z48" s="45">
        <f t="shared" si="6"/>
        <v>0</v>
      </c>
      <c r="AA48" s="45">
        <f t="shared" si="6"/>
        <v>0</v>
      </c>
      <c r="AB48" s="45">
        <f t="shared" si="6"/>
        <v>0</v>
      </c>
      <c r="AC48" s="45">
        <f t="shared" si="6"/>
        <v>0</v>
      </c>
      <c r="AD48" s="45">
        <f t="shared" si="6"/>
        <v>0</v>
      </c>
      <c r="AE48" s="45">
        <f t="shared" si="6"/>
        <v>0</v>
      </c>
      <c r="AF48" s="45">
        <f t="shared" si="6"/>
        <v>0</v>
      </c>
      <c r="AG48" s="45">
        <f t="shared" si="6"/>
        <v>0</v>
      </c>
    </row>
    <row r="49" spans="1:33" ht="15.75" customHeight="1" thickBot="1" x14ac:dyDescent="0.3">
      <c r="L49" s="47"/>
      <c r="M49" s="48"/>
      <c r="N49" s="48"/>
      <c r="O49" s="47"/>
      <c r="P49" s="48"/>
      <c r="Q49" s="48"/>
      <c r="U49" s="48"/>
      <c r="W49" s="47"/>
    </row>
    <row r="50" spans="1:33" ht="15.75" customHeight="1" thickBot="1" x14ac:dyDescent="0.3">
      <c r="A50" s="120" t="s">
        <v>75</v>
      </c>
      <c r="B50" s="121"/>
      <c r="C50" s="121"/>
      <c r="D50" s="121"/>
      <c r="E50" s="122"/>
      <c r="F50" s="115">
        <f>SUM(F46:G46)</f>
        <v>10150000</v>
      </c>
      <c r="G50" s="116"/>
      <c r="H50" s="115">
        <f t="shared" ref="H50" si="7">SUM(H46:I46)</f>
        <v>10675000</v>
      </c>
      <c r="I50" s="116"/>
      <c r="J50" s="115">
        <f t="shared" ref="J50" si="8">SUM(J46:K46)</f>
        <v>8575000</v>
      </c>
      <c r="K50" s="116"/>
      <c r="L50" s="115">
        <f t="shared" ref="L50" si="9">SUM(L46:M46)</f>
        <v>0</v>
      </c>
      <c r="M50" s="116"/>
      <c r="N50" s="115">
        <f t="shared" ref="N50" si="10">SUM(N46:O46)</f>
        <v>0</v>
      </c>
      <c r="O50" s="116"/>
      <c r="P50" s="115">
        <f t="shared" ref="P50" si="11">SUM(P46:Q46)</f>
        <v>0</v>
      </c>
      <c r="Q50" s="116"/>
      <c r="R50" s="115">
        <f t="shared" ref="R50" si="12">SUM(R46:S46)</f>
        <v>4200000</v>
      </c>
      <c r="S50" s="116"/>
      <c r="T50" s="115">
        <f t="shared" ref="T50" si="13">SUM(T46:U46)</f>
        <v>1400000</v>
      </c>
      <c r="U50" s="116"/>
      <c r="V50" s="115">
        <f t="shared" ref="V50" si="14">SUM(V46:W46)</f>
        <v>0</v>
      </c>
      <c r="W50" s="116"/>
      <c r="X50" s="115">
        <f t="shared" ref="X50" si="15">SUM(X46:Y46)</f>
        <v>0</v>
      </c>
      <c r="Y50" s="116"/>
      <c r="Z50" s="115">
        <f t="shared" ref="Z50" si="16">SUM(Z46:AA46)</f>
        <v>0</v>
      </c>
      <c r="AA50" s="116"/>
      <c r="AB50" s="115">
        <f t="shared" ref="AB50" si="17">SUM(AB46:AC46)</f>
        <v>0</v>
      </c>
      <c r="AC50" s="116"/>
      <c r="AD50" s="115">
        <f t="shared" ref="AD50" si="18">SUM(AD46:AE46)</f>
        <v>0</v>
      </c>
      <c r="AE50" s="116"/>
      <c r="AF50" s="115">
        <f t="shared" ref="AF50" si="19">SUM(AF46:AG46)</f>
        <v>0</v>
      </c>
      <c r="AG50" s="116"/>
    </row>
    <row r="51" spans="1:33" ht="15.75" customHeight="1" x14ac:dyDescent="0.25">
      <c r="G51" s="44"/>
      <c r="H51" s="44"/>
      <c r="V51" s="44"/>
      <c r="W51" s="49"/>
    </row>
    <row r="52" spans="1:33" ht="15.75" customHeight="1" x14ac:dyDescent="0.25">
      <c r="F52" s="53"/>
      <c r="Q52" s="44"/>
      <c r="W52" s="53"/>
    </row>
    <row r="53" spans="1:33" ht="15.75" customHeight="1" x14ac:dyDescent="0.25">
      <c r="G53" s="49"/>
      <c r="H53" s="49"/>
      <c r="I53" s="11"/>
      <c r="J53" s="44"/>
      <c r="K53" s="53"/>
    </row>
    <row r="54" spans="1:33" ht="15.75" customHeight="1" x14ac:dyDescent="0.25">
      <c r="G54" s="54"/>
      <c r="H54" s="54"/>
      <c r="I54" s="11"/>
      <c r="J54" s="44"/>
    </row>
    <row r="55" spans="1:33" ht="15.75" customHeight="1" x14ac:dyDescent="0.25">
      <c r="G55" s="54"/>
      <c r="H55" s="54"/>
    </row>
    <row r="56" spans="1:33" ht="15.75" customHeight="1" x14ac:dyDescent="0.25">
      <c r="G56" s="54"/>
      <c r="H56" s="54"/>
    </row>
    <row r="57" spans="1:33" ht="15.75" customHeight="1" x14ac:dyDescent="0.25">
      <c r="G57" s="54"/>
      <c r="H57" s="54"/>
      <c r="J57" s="53"/>
    </row>
    <row r="58" spans="1:33" ht="15.75" customHeight="1" x14ac:dyDescent="0.25">
      <c r="G58" s="54"/>
      <c r="H58" s="54"/>
    </row>
    <row r="59" spans="1:33" ht="15.75" customHeight="1" x14ac:dyDescent="0.25">
      <c r="G59" s="54"/>
      <c r="H59" s="54"/>
    </row>
    <row r="60" spans="1:33" ht="15.75" customHeight="1" x14ac:dyDescent="0.25">
      <c r="G60" s="54"/>
      <c r="H60" s="54"/>
    </row>
    <row r="61" spans="1:33" ht="15.75" customHeight="1" x14ac:dyDescent="0.25">
      <c r="G61" s="54"/>
      <c r="H61" s="54"/>
    </row>
    <row r="62" spans="1:33" ht="15.75" customHeight="1" x14ac:dyDescent="0.25"/>
    <row r="63" spans="1:33" ht="15.75" customHeight="1" x14ac:dyDescent="0.25"/>
    <row r="64" spans="1:3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A50:E50"/>
    <mergeCell ref="P5:Q5"/>
    <mergeCell ref="R5:S5"/>
    <mergeCell ref="T5:U5"/>
    <mergeCell ref="V5:W5"/>
    <mergeCell ref="J5:K5"/>
    <mergeCell ref="J6:K6"/>
    <mergeCell ref="L6:M6"/>
    <mergeCell ref="N6:O6"/>
    <mergeCell ref="L5:M5"/>
    <mergeCell ref="N5:O5"/>
    <mergeCell ref="A46:E46"/>
    <mergeCell ref="A48:E48"/>
    <mergeCell ref="A44:E44"/>
    <mergeCell ref="F50:G50"/>
    <mergeCell ref="H50:I50"/>
    <mergeCell ref="A2:B2"/>
    <mergeCell ref="A3:B3"/>
    <mergeCell ref="A4:B4"/>
    <mergeCell ref="F5:G5"/>
    <mergeCell ref="H5:I5"/>
    <mergeCell ref="X5:Y5"/>
    <mergeCell ref="Z5:AA5"/>
    <mergeCell ref="AB5:AC5"/>
    <mergeCell ref="AD5:AE5"/>
    <mergeCell ref="AF5:AG5"/>
    <mergeCell ref="AB6:AC6"/>
    <mergeCell ref="AD6:AE6"/>
    <mergeCell ref="AF6:AG6"/>
    <mergeCell ref="A40:E40"/>
    <mergeCell ref="A42:E42"/>
    <mergeCell ref="P6:Q6"/>
    <mergeCell ref="R6:S6"/>
    <mergeCell ref="T6:U6"/>
    <mergeCell ref="V6:W6"/>
    <mergeCell ref="X6:Y6"/>
    <mergeCell ref="Z6:AA6"/>
    <mergeCell ref="F6:G6"/>
    <mergeCell ref="H6:I6"/>
    <mergeCell ref="J50:K50"/>
    <mergeCell ref="L50:M50"/>
    <mergeCell ref="N50:O50"/>
    <mergeCell ref="Z50:AA50"/>
    <mergeCell ref="AB50:AC50"/>
    <mergeCell ref="AD50:AE50"/>
    <mergeCell ref="AF50:AG50"/>
    <mergeCell ref="P50:Q50"/>
    <mergeCell ref="R50:S50"/>
    <mergeCell ref="T50:U50"/>
    <mergeCell ref="V50:W50"/>
    <mergeCell ref="X50:Y50"/>
  </mergeCells>
  <phoneticPr fontId="24" type="noConversion"/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zoomScale="85" zoomScaleNormal="85" workbookViewId="0">
      <pane xSplit="3" topLeftCell="D1" activePane="topRight" state="frozen"/>
      <selection pane="topRight" activeCell="J27" sqref="J2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>
        <v>3840000</v>
      </c>
      <c r="D4" s="57">
        <f>C4/C3</f>
        <v>0.10971428571428571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05" t="s">
        <v>38</v>
      </c>
      <c r="G5" s="106"/>
      <c r="H5" s="105" t="s">
        <v>39</v>
      </c>
      <c r="I5" s="106"/>
      <c r="J5" s="105" t="s">
        <v>40</v>
      </c>
      <c r="K5" s="106"/>
      <c r="L5" s="105" t="s">
        <v>41</v>
      </c>
      <c r="M5" s="106"/>
      <c r="N5" s="105" t="s">
        <v>42</v>
      </c>
      <c r="O5" s="106"/>
      <c r="P5" s="105" t="s">
        <v>43</v>
      </c>
      <c r="Q5" s="106"/>
      <c r="R5" s="105" t="s">
        <v>44</v>
      </c>
      <c r="S5" s="106"/>
      <c r="T5" s="105" t="s">
        <v>45</v>
      </c>
      <c r="U5" s="106"/>
      <c r="V5" s="105" t="s">
        <v>46</v>
      </c>
      <c r="W5" s="106"/>
      <c r="X5" s="105" t="s">
        <v>47</v>
      </c>
      <c r="Y5" s="106"/>
      <c r="Z5" s="105" t="s">
        <v>48</v>
      </c>
      <c r="AA5" s="106"/>
      <c r="AB5" s="105" t="s">
        <v>37</v>
      </c>
      <c r="AC5" s="106"/>
      <c r="AD5" s="105" t="s">
        <v>38</v>
      </c>
      <c r="AE5" s="106"/>
      <c r="AF5" s="105" t="s">
        <v>39</v>
      </c>
      <c r="AG5" s="106"/>
    </row>
    <row r="6" spans="1:33" ht="16.5" customHeight="1" x14ac:dyDescent="0.25">
      <c r="A6" s="2" t="s">
        <v>3</v>
      </c>
      <c r="B6" s="69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customHeight="1" x14ac:dyDescent="0.25">
      <c r="A7" s="7">
        <v>1</v>
      </c>
      <c r="B7" s="70" t="s">
        <v>50</v>
      </c>
      <c r="C7" s="8">
        <f>SUM(C8:C9)</f>
        <v>0.16999999999999998</v>
      </c>
      <c r="D7" s="58">
        <f>C7*C3</f>
        <v>5949999.9999999991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79">
        <f>SUM(F8:AG8)</f>
        <v>0.12000000000000001</v>
      </c>
      <c r="F8" s="65">
        <v>0.1</v>
      </c>
      <c r="G8" s="66">
        <v>0.02</v>
      </c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79">
        <f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13"/>
      <c r="F10" s="21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24"/>
      <c r="F11" s="25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79">
        <f>SUM(F12:AG12)</f>
        <v>0.02</v>
      </c>
      <c r="F12" s="20"/>
      <c r="G12" s="47"/>
      <c r="H12" s="20"/>
      <c r="I12" s="21">
        <v>0.02</v>
      </c>
      <c r="J12" s="21"/>
      <c r="K12" s="15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24"/>
      <c r="F14" s="25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79">
        <f>SUM(F15:AG15)</f>
        <v>0.06</v>
      </c>
      <c r="F15" s="21"/>
      <c r="G15" s="17">
        <v>0.04</v>
      </c>
      <c r="H15" s="21"/>
      <c r="I15" s="20">
        <v>0.02</v>
      </c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79">
        <f>SUM(F16:AG16)</f>
        <v>0.03</v>
      </c>
      <c r="F16" s="21">
        <v>0.03</v>
      </c>
      <c r="G16" s="17"/>
      <c r="H16" s="21"/>
      <c r="I16" s="21"/>
      <c r="J16" s="21"/>
      <c r="K16" s="17"/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13"/>
      <c r="F17" s="21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24"/>
      <c r="F18" s="25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79">
        <f t="shared" ref="E19:E20" si="0">SUM(F19:AG19)</f>
        <v>0.12000000000000001</v>
      </c>
      <c r="F19" s="21"/>
      <c r="G19" s="17">
        <v>0.04</v>
      </c>
      <c r="H19" s="21">
        <v>0.06</v>
      </c>
      <c r="I19" s="20">
        <v>0.02</v>
      </c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79">
        <f t="shared" si="0"/>
        <v>0.06</v>
      </c>
      <c r="F20" s="21"/>
      <c r="G20" s="17">
        <v>0.02</v>
      </c>
      <c r="H20" s="21">
        <v>0.02</v>
      </c>
      <c r="I20" s="20">
        <v>0.02</v>
      </c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13"/>
      <c r="F21" s="21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24"/>
      <c r="F22" s="25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79">
        <f>SUM(F23:AG23)</f>
        <v>0.06</v>
      </c>
      <c r="F23" s="21"/>
      <c r="G23" s="17"/>
      <c r="H23" s="21"/>
      <c r="I23" s="20">
        <v>0.06</v>
      </c>
      <c r="J23" s="21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13"/>
      <c r="F24" s="21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24"/>
      <c r="F25" s="25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79">
        <f t="shared" ref="E26:E30" si="1">SUM(F26:AG26)</f>
        <v>0.01</v>
      </c>
      <c r="F26" s="21"/>
      <c r="G26" s="17"/>
      <c r="H26" s="21"/>
      <c r="I26" s="20">
        <v>0.01</v>
      </c>
      <c r="J26" s="21"/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79">
        <f t="shared" si="1"/>
        <v>0.03</v>
      </c>
      <c r="F27" s="21"/>
      <c r="G27" s="17">
        <v>0.03</v>
      </c>
      <c r="H27" s="21"/>
      <c r="I27" s="21"/>
      <c r="J27" s="20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79">
        <f t="shared" si="1"/>
        <v>0</v>
      </c>
      <c r="F28" s="21"/>
      <c r="G28" s="17"/>
      <c r="H28" s="21"/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79">
        <f t="shared" si="1"/>
        <v>0</v>
      </c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79">
        <f t="shared" si="1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13"/>
      <c r="F31" s="21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24"/>
      <c r="F32" s="25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79">
        <f t="shared" ref="E33:E36" si="2">SUM(F33:AG33)</f>
        <v>0</v>
      </c>
      <c r="F33" s="61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61"/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79">
        <f t="shared" si="2"/>
        <v>0</v>
      </c>
      <c r="F34" s="61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62"/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79">
        <f t="shared" si="2"/>
        <v>0</v>
      </c>
      <c r="F35" s="61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61"/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79">
        <f t="shared" si="2"/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35">
        <f>SUM(F38:AG38)</f>
        <v>0.51</v>
      </c>
      <c r="F38" s="55">
        <f t="shared" ref="F38:AG38" si="3">SUM(F8:F37)</f>
        <v>0.13</v>
      </c>
      <c r="G38" s="55">
        <f t="shared" si="3"/>
        <v>0.15000000000000002</v>
      </c>
      <c r="H38" s="55">
        <f t="shared" si="3"/>
        <v>0.08</v>
      </c>
      <c r="I38" s="55">
        <f t="shared" si="3"/>
        <v>0.15000000000000002</v>
      </c>
      <c r="J38" s="55">
        <f t="shared" si="3"/>
        <v>0</v>
      </c>
      <c r="K38" s="55">
        <f t="shared" si="3"/>
        <v>0</v>
      </c>
      <c r="L38" s="55">
        <f t="shared" si="3"/>
        <v>0</v>
      </c>
      <c r="M38" s="55">
        <f t="shared" si="3"/>
        <v>0</v>
      </c>
      <c r="N38" s="55">
        <f t="shared" si="3"/>
        <v>0</v>
      </c>
      <c r="O38" s="55">
        <f t="shared" si="3"/>
        <v>0</v>
      </c>
      <c r="P38" s="55">
        <f t="shared" si="3"/>
        <v>0</v>
      </c>
      <c r="Q38" s="55">
        <f t="shared" si="3"/>
        <v>0</v>
      </c>
      <c r="R38" s="55">
        <f t="shared" si="3"/>
        <v>0</v>
      </c>
      <c r="S38" s="55">
        <f t="shared" si="3"/>
        <v>0</v>
      </c>
      <c r="T38" s="55">
        <f t="shared" si="3"/>
        <v>0</v>
      </c>
      <c r="U38" s="55">
        <f t="shared" si="3"/>
        <v>0</v>
      </c>
      <c r="V38" s="55">
        <f t="shared" si="3"/>
        <v>0</v>
      </c>
      <c r="W38" s="56">
        <f t="shared" si="3"/>
        <v>0</v>
      </c>
      <c r="X38" s="56">
        <f t="shared" si="3"/>
        <v>0</v>
      </c>
      <c r="Y38" s="55">
        <f t="shared" si="3"/>
        <v>0</v>
      </c>
      <c r="Z38" s="56">
        <f t="shared" si="3"/>
        <v>0</v>
      </c>
      <c r="AA38" s="55">
        <f t="shared" si="3"/>
        <v>0</v>
      </c>
      <c r="AB38" s="56">
        <f t="shared" si="3"/>
        <v>0</v>
      </c>
      <c r="AC38" s="55">
        <f t="shared" si="3"/>
        <v>0</v>
      </c>
      <c r="AD38" s="56">
        <f t="shared" si="3"/>
        <v>0</v>
      </c>
      <c r="AE38" s="55">
        <f t="shared" si="3"/>
        <v>0</v>
      </c>
      <c r="AF38" s="56">
        <f t="shared" si="3"/>
        <v>0</v>
      </c>
      <c r="AG38" s="55">
        <f t="shared" si="3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x14ac:dyDescent="0.25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x14ac:dyDescent="0.25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4">F42+(F42*G40)</f>
        <v>35000000</v>
      </c>
      <c r="H42" s="40">
        <f t="shared" si="4"/>
        <v>35000000</v>
      </c>
      <c r="I42" s="40">
        <f t="shared" si="4"/>
        <v>35000000</v>
      </c>
      <c r="J42" s="40">
        <f t="shared" si="4"/>
        <v>35000000</v>
      </c>
      <c r="K42" s="40">
        <f t="shared" si="4"/>
        <v>35000000</v>
      </c>
      <c r="L42" s="40">
        <f t="shared" si="4"/>
        <v>35000000</v>
      </c>
      <c r="M42" s="40">
        <f t="shared" si="4"/>
        <v>35000000</v>
      </c>
      <c r="N42" s="40">
        <f t="shared" si="4"/>
        <v>35000000</v>
      </c>
      <c r="O42" s="40">
        <f t="shared" si="4"/>
        <v>35000000</v>
      </c>
      <c r="P42" s="40">
        <f t="shared" si="4"/>
        <v>35000000</v>
      </c>
      <c r="Q42" s="40">
        <f t="shared" si="4"/>
        <v>35000000</v>
      </c>
      <c r="R42" s="40">
        <f t="shared" si="4"/>
        <v>35000000</v>
      </c>
      <c r="S42" s="40">
        <f t="shared" si="4"/>
        <v>35000000</v>
      </c>
      <c r="T42" s="40">
        <f t="shared" si="4"/>
        <v>35000000</v>
      </c>
      <c r="U42" s="40">
        <f t="shared" si="4"/>
        <v>35000000</v>
      </c>
      <c r="V42" s="40">
        <f t="shared" si="4"/>
        <v>35000000</v>
      </c>
      <c r="W42" s="40">
        <f t="shared" si="4"/>
        <v>35000000</v>
      </c>
      <c r="X42" s="40">
        <f t="shared" si="4"/>
        <v>35000000</v>
      </c>
      <c r="Y42" s="40">
        <f t="shared" si="4"/>
        <v>35000000</v>
      </c>
      <c r="Z42" s="40">
        <f t="shared" si="4"/>
        <v>35000000</v>
      </c>
      <c r="AA42" s="40">
        <f t="shared" si="4"/>
        <v>35000000</v>
      </c>
      <c r="AB42" s="40">
        <f t="shared" si="4"/>
        <v>35000000</v>
      </c>
      <c r="AC42" s="40">
        <f t="shared" si="4"/>
        <v>35000000</v>
      </c>
      <c r="AD42" s="40">
        <f t="shared" si="4"/>
        <v>35000000</v>
      </c>
      <c r="AE42" s="40">
        <f t="shared" si="4"/>
        <v>35000000</v>
      </c>
      <c r="AF42" s="40">
        <f t="shared" si="4"/>
        <v>35000000</v>
      </c>
      <c r="AG42" s="40">
        <f t="shared" si="4"/>
        <v>35000000</v>
      </c>
    </row>
    <row r="43" spans="1:33" ht="15.75" hidden="1" customHeight="1" outlineLevel="1" x14ac:dyDescent="0.25"/>
    <row r="44" spans="1:33" ht="15.75" hidden="1" customHeight="1" outlineLevel="1" x14ac:dyDescent="0.25">
      <c r="A44" s="124" t="s">
        <v>34</v>
      </c>
      <c r="B44" s="121"/>
      <c r="C44" s="121"/>
      <c r="D44" s="121"/>
      <c r="E44" s="122"/>
      <c r="F44" s="41">
        <f t="shared" ref="F44:AG44" si="5">F38*F42</f>
        <v>4550000</v>
      </c>
      <c r="G44" s="41">
        <f t="shared" si="5"/>
        <v>5250000.0000000009</v>
      </c>
      <c r="H44" s="41">
        <f t="shared" si="5"/>
        <v>2800000</v>
      </c>
      <c r="I44" s="41">
        <f t="shared" si="5"/>
        <v>5250000.0000000009</v>
      </c>
      <c r="J44" s="41">
        <f t="shared" si="5"/>
        <v>0</v>
      </c>
      <c r="K44" s="41">
        <f t="shared" si="5"/>
        <v>0</v>
      </c>
      <c r="L44" s="41">
        <f t="shared" si="5"/>
        <v>0</v>
      </c>
      <c r="M44" s="41">
        <f t="shared" si="5"/>
        <v>0</v>
      </c>
      <c r="N44" s="41">
        <f t="shared" si="5"/>
        <v>0</v>
      </c>
      <c r="O44" s="41">
        <f t="shared" si="5"/>
        <v>0</v>
      </c>
      <c r="P44" s="41">
        <f t="shared" si="5"/>
        <v>0</v>
      </c>
      <c r="Q44" s="41">
        <f t="shared" si="5"/>
        <v>0</v>
      </c>
      <c r="R44" s="41">
        <f t="shared" si="5"/>
        <v>0</v>
      </c>
      <c r="S44" s="41">
        <f t="shared" si="5"/>
        <v>0</v>
      </c>
      <c r="T44" s="41">
        <f t="shared" si="5"/>
        <v>0</v>
      </c>
      <c r="U44" s="41">
        <f t="shared" si="5"/>
        <v>0</v>
      </c>
      <c r="V44" s="41">
        <f t="shared" si="5"/>
        <v>0</v>
      </c>
      <c r="W44" s="41">
        <f t="shared" si="5"/>
        <v>0</v>
      </c>
      <c r="X44" s="41">
        <f t="shared" si="5"/>
        <v>0</v>
      </c>
      <c r="Y44" s="41">
        <f t="shared" si="5"/>
        <v>0</v>
      </c>
      <c r="Z44" s="41">
        <f t="shared" si="5"/>
        <v>0</v>
      </c>
      <c r="AA44" s="41">
        <f t="shared" si="5"/>
        <v>0</v>
      </c>
      <c r="AB44" s="41">
        <f t="shared" si="5"/>
        <v>0</v>
      </c>
      <c r="AC44" s="41">
        <f t="shared" si="5"/>
        <v>0</v>
      </c>
      <c r="AD44" s="41">
        <f t="shared" si="5"/>
        <v>0</v>
      </c>
      <c r="AE44" s="41">
        <f t="shared" si="5"/>
        <v>0</v>
      </c>
      <c r="AF44" s="41">
        <f t="shared" si="5"/>
        <v>0</v>
      </c>
      <c r="AG44" s="41">
        <f t="shared" si="5"/>
        <v>0</v>
      </c>
    </row>
    <row r="45" spans="1:33" ht="15.75" hidden="1" customHeight="1" outlineLevel="1" x14ac:dyDescent="0.25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4050800</v>
      </c>
      <c r="G46" s="43">
        <f>G44-(G44*D4)</f>
        <v>4674000.0000000009</v>
      </c>
      <c r="H46" s="43">
        <f>H44-(H44*D4)</f>
        <v>2492800</v>
      </c>
      <c r="I46" s="43">
        <f>I44-(I44*D4)</f>
        <v>4674000.0000000009</v>
      </c>
      <c r="J46" s="43">
        <f>J44-(J44*D4)</f>
        <v>0</v>
      </c>
      <c r="K46" s="43">
        <f>K44-(K44*D4)</f>
        <v>0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x14ac:dyDescent="0.25">
      <c r="A48" s="120" t="s">
        <v>36</v>
      </c>
      <c r="B48" s="121"/>
      <c r="C48" s="121"/>
      <c r="D48" s="121"/>
      <c r="E48" s="122"/>
      <c r="F48" s="45">
        <f>F42-F46-C4</f>
        <v>27109200</v>
      </c>
      <c r="G48" s="45">
        <f t="shared" ref="G48:AG48" si="6">(F48+(F48*G40))-G46</f>
        <v>22435200</v>
      </c>
      <c r="H48" s="46">
        <f t="shared" si="6"/>
        <v>19942400</v>
      </c>
      <c r="I48" s="46">
        <f t="shared" si="6"/>
        <v>15268400</v>
      </c>
      <c r="J48" s="45">
        <f t="shared" si="6"/>
        <v>15268400</v>
      </c>
      <c r="K48" s="45">
        <f t="shared" si="6"/>
        <v>15268400</v>
      </c>
      <c r="L48" s="45">
        <f t="shared" si="6"/>
        <v>15268400</v>
      </c>
      <c r="M48" s="45">
        <f t="shared" si="6"/>
        <v>15268400</v>
      </c>
      <c r="N48" s="45">
        <f t="shared" si="6"/>
        <v>15268400</v>
      </c>
      <c r="O48" s="45">
        <f t="shared" si="6"/>
        <v>15268400</v>
      </c>
      <c r="P48" s="45">
        <f t="shared" si="6"/>
        <v>15268400</v>
      </c>
      <c r="Q48" s="45">
        <f t="shared" si="6"/>
        <v>15268400</v>
      </c>
      <c r="R48" s="45">
        <f t="shared" si="6"/>
        <v>15268400</v>
      </c>
      <c r="S48" s="45">
        <f t="shared" si="6"/>
        <v>15268400</v>
      </c>
      <c r="T48" s="45">
        <f t="shared" si="6"/>
        <v>15268400</v>
      </c>
      <c r="U48" s="45">
        <f t="shared" si="6"/>
        <v>15268400</v>
      </c>
      <c r="V48" s="45">
        <f t="shared" si="6"/>
        <v>15268400</v>
      </c>
      <c r="W48" s="45">
        <f t="shared" si="6"/>
        <v>15268400</v>
      </c>
      <c r="X48" s="45">
        <f t="shared" si="6"/>
        <v>15268400</v>
      </c>
      <c r="Y48" s="45">
        <f t="shared" si="6"/>
        <v>15268400</v>
      </c>
      <c r="Z48" s="45">
        <f t="shared" si="6"/>
        <v>15268400</v>
      </c>
      <c r="AA48" s="45">
        <f t="shared" si="6"/>
        <v>15268400</v>
      </c>
      <c r="AB48" s="45">
        <f t="shared" si="6"/>
        <v>15268400</v>
      </c>
      <c r="AC48" s="45">
        <f t="shared" si="6"/>
        <v>15268400</v>
      </c>
      <c r="AD48" s="45">
        <f t="shared" si="6"/>
        <v>15268400</v>
      </c>
      <c r="AE48" s="45">
        <f t="shared" si="6"/>
        <v>15268400</v>
      </c>
      <c r="AF48" s="45">
        <f t="shared" si="6"/>
        <v>15268400</v>
      </c>
      <c r="AG48" s="45">
        <f t="shared" si="6"/>
        <v>15268400</v>
      </c>
    </row>
    <row r="49" spans="6:23" ht="15.75" customHeight="1" x14ac:dyDescent="0.25">
      <c r="L49" s="47"/>
      <c r="M49" s="48"/>
      <c r="N49" s="48"/>
      <c r="O49" s="47"/>
      <c r="P49" s="48"/>
      <c r="Q49" s="48"/>
      <c r="U49" s="48"/>
      <c r="W49" s="47"/>
    </row>
    <row r="50" spans="6:23" ht="15.75" customHeight="1" x14ac:dyDescent="0.25">
      <c r="F50" s="49"/>
      <c r="L50" s="47"/>
      <c r="M50" s="50"/>
      <c r="N50" s="50"/>
      <c r="O50" s="51"/>
      <c r="P50" s="52"/>
    </row>
    <row r="51" spans="6:23" ht="15.75" customHeight="1" x14ac:dyDescent="0.25">
      <c r="G51" s="44"/>
      <c r="H51" s="44"/>
      <c r="V51" s="44"/>
      <c r="W51" s="49"/>
    </row>
    <row r="52" spans="6:23" ht="15.75" customHeight="1" x14ac:dyDescent="0.25">
      <c r="F52" s="53"/>
      <c r="Q52" s="44"/>
      <c r="W52" s="53"/>
    </row>
    <row r="53" spans="6:23" ht="15.75" customHeight="1" x14ac:dyDescent="0.25">
      <c r="G53" s="49"/>
      <c r="H53" s="49"/>
      <c r="I53" s="11"/>
      <c r="J53" s="44"/>
      <c r="K53" s="53"/>
    </row>
    <row r="54" spans="6:23" ht="15.75" customHeight="1" x14ac:dyDescent="0.25">
      <c r="G54" s="54"/>
      <c r="H54" s="54"/>
      <c r="I54" s="11"/>
      <c r="J54" s="44"/>
    </row>
    <row r="55" spans="6:23" ht="15.75" customHeight="1" x14ac:dyDescent="0.25">
      <c r="G55" s="54"/>
      <c r="H55" s="54"/>
    </row>
    <row r="56" spans="6:23" ht="15.75" customHeight="1" x14ac:dyDescent="0.25">
      <c r="G56" s="54"/>
      <c r="H56" s="54"/>
    </row>
    <row r="57" spans="6:23" ht="15.75" customHeight="1" x14ac:dyDescent="0.25">
      <c r="G57" s="54"/>
      <c r="H57" s="54"/>
      <c r="J57" s="53"/>
    </row>
    <row r="58" spans="6:23" ht="15.75" customHeight="1" x14ac:dyDescent="0.25">
      <c r="G58" s="54"/>
      <c r="H58" s="54"/>
    </row>
    <row r="59" spans="6:23" ht="15.75" customHeight="1" x14ac:dyDescent="0.25">
      <c r="G59" s="54"/>
      <c r="H59" s="54"/>
    </row>
    <row r="60" spans="6:23" ht="15.75" customHeight="1" x14ac:dyDescent="0.25">
      <c r="G60" s="54"/>
      <c r="H60" s="54"/>
    </row>
    <row r="61" spans="6:23" ht="15.75" customHeight="1" x14ac:dyDescent="0.25">
      <c r="G61" s="54"/>
      <c r="H61" s="54"/>
    </row>
    <row r="62" spans="6:23" ht="15.75" customHeight="1" x14ac:dyDescent="0.25"/>
    <row r="63" spans="6:23" ht="15.75" customHeight="1" x14ac:dyDescent="0.25"/>
    <row r="64" spans="6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6">
    <mergeCell ref="J5:K5"/>
    <mergeCell ref="L5:M5"/>
    <mergeCell ref="A2:B2"/>
    <mergeCell ref="A3:B3"/>
    <mergeCell ref="A4:B4"/>
    <mergeCell ref="F5:G5"/>
    <mergeCell ref="H5:I5"/>
    <mergeCell ref="A40:E40"/>
    <mergeCell ref="A42:E42"/>
    <mergeCell ref="A44:E44"/>
    <mergeCell ref="A46:E46"/>
    <mergeCell ref="A48:E48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B5:AC5"/>
    <mergeCell ref="AD5:AE5"/>
    <mergeCell ref="AF5:AG5"/>
    <mergeCell ref="N5:O5"/>
    <mergeCell ref="P5:Q5"/>
    <mergeCell ref="R5:S5"/>
    <mergeCell ref="T5:U5"/>
    <mergeCell ref="V5:W5"/>
    <mergeCell ref="X5:Y5"/>
    <mergeCell ref="Z5:AA5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topLeftCell="A3" zoomScale="85" zoomScaleNormal="85" workbookViewId="0">
      <pane xSplit="3" topLeftCell="F1" activePane="topRight" state="frozen"/>
      <selection pane="topRight" activeCell="J27" sqref="J2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>
        <v>3840000</v>
      </c>
      <c r="D4" s="57">
        <f>C4/C3</f>
        <v>0.10971428571428571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05" t="s">
        <v>38</v>
      </c>
      <c r="G5" s="106"/>
      <c r="H5" s="105" t="s">
        <v>39</v>
      </c>
      <c r="I5" s="106"/>
      <c r="J5" s="105" t="s">
        <v>40</v>
      </c>
      <c r="K5" s="106"/>
      <c r="L5" s="105" t="s">
        <v>41</v>
      </c>
      <c r="M5" s="106"/>
      <c r="N5" s="105" t="s">
        <v>42</v>
      </c>
      <c r="O5" s="106"/>
      <c r="P5" s="105" t="s">
        <v>43</v>
      </c>
      <c r="Q5" s="106"/>
      <c r="R5" s="105" t="s">
        <v>44</v>
      </c>
      <c r="S5" s="106"/>
      <c r="T5" s="105" t="s">
        <v>45</v>
      </c>
      <c r="U5" s="106"/>
      <c r="V5" s="105" t="s">
        <v>46</v>
      </c>
      <c r="W5" s="106"/>
      <c r="X5" s="105" t="s">
        <v>47</v>
      </c>
      <c r="Y5" s="106"/>
      <c r="Z5" s="105" t="s">
        <v>48</v>
      </c>
      <c r="AA5" s="106"/>
      <c r="AB5" s="105" t="s">
        <v>37</v>
      </c>
      <c r="AC5" s="106"/>
      <c r="AD5" s="105" t="s">
        <v>38</v>
      </c>
      <c r="AE5" s="106"/>
      <c r="AF5" s="105" t="s">
        <v>39</v>
      </c>
      <c r="AG5" s="10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thickBot="1" x14ac:dyDescent="0.3">
      <c r="A7" s="7">
        <v>1</v>
      </c>
      <c r="B7" s="7" t="s">
        <v>50</v>
      </c>
      <c r="C7" s="8">
        <f>SUM(C8:C9)</f>
        <v>0.16999999999999998</v>
      </c>
      <c r="D7" s="58">
        <f>C7*C3</f>
        <v>5949999.9999999991</v>
      </c>
      <c r="E7" s="84"/>
      <c r="F7" s="8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92">
        <f>SUM(F8:AG8)</f>
        <v>0.12000000000000001</v>
      </c>
      <c r="F8" s="81">
        <v>0.1</v>
      </c>
      <c r="G8" s="66">
        <v>0.02</v>
      </c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92">
        <f>SUM(F9:AG9)</f>
        <v>0</v>
      </c>
      <c r="F9" s="82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85"/>
      <c r="F10" s="83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90"/>
      <c r="F11" s="87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92">
        <f>SUM(F12:AG12)</f>
        <v>0.02</v>
      </c>
      <c r="F12" s="82"/>
      <c r="G12" s="47"/>
      <c r="H12" s="20"/>
      <c r="I12" s="21">
        <v>0.02</v>
      </c>
      <c r="J12" s="21"/>
      <c r="K12" s="15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85"/>
      <c r="F13" s="83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90"/>
      <c r="F14" s="87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92">
        <f t="shared" ref="E15:E16" si="0">SUM(F15:AG15)</f>
        <v>0.06</v>
      </c>
      <c r="F15" s="83"/>
      <c r="G15" s="17">
        <v>0.04</v>
      </c>
      <c r="H15" s="21"/>
      <c r="I15" s="20">
        <v>0.02</v>
      </c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92">
        <f t="shared" si="0"/>
        <v>0.03</v>
      </c>
      <c r="F16" s="83">
        <v>0.03</v>
      </c>
      <c r="G16" s="17"/>
      <c r="H16" s="21"/>
      <c r="I16" s="21"/>
      <c r="J16" s="21"/>
      <c r="K16" s="17"/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85"/>
      <c r="F17" s="83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90"/>
      <c r="F18" s="87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92">
        <f t="shared" ref="E19:E20" si="1">SUM(F19:AG19)</f>
        <v>0.12000000000000001</v>
      </c>
      <c r="F19" s="83"/>
      <c r="G19" s="17">
        <v>0.04</v>
      </c>
      <c r="H19" s="21">
        <v>0.06</v>
      </c>
      <c r="I19" s="20">
        <v>0.02</v>
      </c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92">
        <f t="shared" si="1"/>
        <v>0.06</v>
      </c>
      <c r="F20" s="83"/>
      <c r="G20" s="17">
        <v>0.02</v>
      </c>
      <c r="H20" s="21">
        <v>0.02</v>
      </c>
      <c r="I20" s="20">
        <v>0.02</v>
      </c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85"/>
      <c r="F21" s="83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90"/>
      <c r="F22" s="87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92">
        <f>SUM(F23:AG23)</f>
        <v>0.06</v>
      </c>
      <c r="F23" s="83"/>
      <c r="G23" s="17"/>
      <c r="H23" s="21"/>
      <c r="I23" s="20">
        <v>0.06</v>
      </c>
      <c r="J23" s="21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85"/>
      <c r="F24" s="83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90"/>
      <c r="F25" s="87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92">
        <f t="shared" ref="E26:E30" si="2">SUM(F26:AG26)</f>
        <v>0.01</v>
      </c>
      <c r="F26" s="83"/>
      <c r="G26" s="17"/>
      <c r="H26" s="21"/>
      <c r="I26" s="20">
        <v>0.01</v>
      </c>
      <c r="J26" s="21"/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92">
        <f t="shared" si="2"/>
        <v>0.03</v>
      </c>
      <c r="F27" s="83"/>
      <c r="G27" s="17">
        <v>0.03</v>
      </c>
      <c r="H27" s="21"/>
      <c r="I27" s="21"/>
      <c r="J27" s="20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92">
        <f t="shared" si="2"/>
        <v>0</v>
      </c>
      <c r="F28" s="83"/>
      <c r="G28" s="17"/>
      <c r="H28" s="21"/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92">
        <f t="shared" si="2"/>
        <v>0</v>
      </c>
      <c r="F29" s="83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92">
        <f t="shared" si="2"/>
        <v>0</v>
      </c>
      <c r="F30" s="83"/>
      <c r="G30" s="17"/>
      <c r="H30" s="21"/>
      <c r="I30" s="21"/>
      <c r="J30" s="21"/>
      <c r="K30" s="17"/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85"/>
      <c r="F31" s="83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90"/>
      <c r="F32" s="87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92">
        <f t="shared" ref="E33:E36" si="3">SUM(F33:AG33)</f>
        <v>0</v>
      </c>
      <c r="F33" s="88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61"/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92">
        <f t="shared" si="3"/>
        <v>0</v>
      </c>
      <c r="F34" s="88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62"/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92">
        <f t="shared" si="3"/>
        <v>0</v>
      </c>
      <c r="F35" s="88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61"/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92">
        <f t="shared" si="3"/>
        <v>0</v>
      </c>
      <c r="F36" s="83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86"/>
      <c r="F37" s="83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89">
        <f>SUM(F38:AG38)</f>
        <v>0.51</v>
      </c>
      <c r="F38" s="55">
        <f t="shared" ref="F38:AG38" si="4">SUM(F8:F37)</f>
        <v>0.13</v>
      </c>
      <c r="G38" s="55">
        <f t="shared" si="4"/>
        <v>0.15000000000000002</v>
      </c>
      <c r="H38" s="55">
        <f t="shared" si="4"/>
        <v>0.08</v>
      </c>
      <c r="I38" s="55">
        <f t="shared" si="4"/>
        <v>0.15000000000000002</v>
      </c>
      <c r="J38" s="55">
        <f t="shared" si="4"/>
        <v>0</v>
      </c>
      <c r="K38" s="55">
        <f t="shared" si="4"/>
        <v>0</v>
      </c>
      <c r="L38" s="55">
        <f t="shared" si="4"/>
        <v>0</v>
      </c>
      <c r="M38" s="55">
        <f t="shared" si="4"/>
        <v>0</v>
      </c>
      <c r="N38" s="55">
        <f t="shared" si="4"/>
        <v>0</v>
      </c>
      <c r="O38" s="55">
        <f t="shared" si="4"/>
        <v>0</v>
      </c>
      <c r="P38" s="55">
        <f t="shared" si="4"/>
        <v>0</v>
      </c>
      <c r="Q38" s="55">
        <f t="shared" si="4"/>
        <v>0</v>
      </c>
      <c r="R38" s="55">
        <f t="shared" si="4"/>
        <v>0</v>
      </c>
      <c r="S38" s="55">
        <f t="shared" si="4"/>
        <v>0</v>
      </c>
      <c r="T38" s="55">
        <f t="shared" si="4"/>
        <v>0</v>
      </c>
      <c r="U38" s="55">
        <f t="shared" si="4"/>
        <v>0</v>
      </c>
      <c r="V38" s="55">
        <f t="shared" si="4"/>
        <v>0</v>
      </c>
      <c r="W38" s="56">
        <f t="shared" si="4"/>
        <v>0</v>
      </c>
      <c r="X38" s="56">
        <f t="shared" si="4"/>
        <v>0</v>
      </c>
      <c r="Y38" s="55">
        <f t="shared" si="4"/>
        <v>0</v>
      </c>
      <c r="Z38" s="56">
        <f t="shared" si="4"/>
        <v>0</v>
      </c>
      <c r="AA38" s="55">
        <f t="shared" si="4"/>
        <v>0</v>
      </c>
      <c r="AB38" s="56">
        <f t="shared" si="4"/>
        <v>0</v>
      </c>
      <c r="AC38" s="55">
        <f t="shared" si="4"/>
        <v>0</v>
      </c>
      <c r="AD38" s="56">
        <f t="shared" si="4"/>
        <v>0</v>
      </c>
      <c r="AE38" s="55">
        <f t="shared" si="4"/>
        <v>0</v>
      </c>
      <c r="AF38" s="56">
        <f t="shared" si="4"/>
        <v>0</v>
      </c>
      <c r="AG38" s="55">
        <f t="shared" si="4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thickBot="1" x14ac:dyDescent="0.3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x14ac:dyDescent="0.25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5">F42+(F42*G40)</f>
        <v>35000000</v>
      </c>
      <c r="H42" s="40">
        <f t="shared" si="5"/>
        <v>35000000</v>
      </c>
      <c r="I42" s="40">
        <f t="shared" si="5"/>
        <v>35000000</v>
      </c>
      <c r="J42" s="40">
        <f t="shared" si="5"/>
        <v>35000000</v>
      </c>
      <c r="K42" s="40">
        <f t="shared" si="5"/>
        <v>35000000</v>
      </c>
      <c r="L42" s="40">
        <f t="shared" si="5"/>
        <v>35000000</v>
      </c>
      <c r="M42" s="40">
        <f t="shared" si="5"/>
        <v>35000000</v>
      </c>
      <c r="N42" s="40">
        <f t="shared" si="5"/>
        <v>35000000</v>
      </c>
      <c r="O42" s="40">
        <f t="shared" si="5"/>
        <v>35000000</v>
      </c>
      <c r="P42" s="40">
        <f t="shared" si="5"/>
        <v>35000000</v>
      </c>
      <c r="Q42" s="40">
        <f t="shared" si="5"/>
        <v>35000000</v>
      </c>
      <c r="R42" s="40">
        <f t="shared" si="5"/>
        <v>35000000</v>
      </c>
      <c r="S42" s="40">
        <f t="shared" si="5"/>
        <v>35000000</v>
      </c>
      <c r="T42" s="40">
        <f t="shared" si="5"/>
        <v>35000000</v>
      </c>
      <c r="U42" s="40">
        <f t="shared" si="5"/>
        <v>35000000</v>
      </c>
      <c r="V42" s="40">
        <f t="shared" si="5"/>
        <v>35000000</v>
      </c>
      <c r="W42" s="40">
        <f t="shared" si="5"/>
        <v>35000000</v>
      </c>
      <c r="X42" s="40">
        <f t="shared" si="5"/>
        <v>35000000</v>
      </c>
      <c r="Y42" s="40">
        <f t="shared" si="5"/>
        <v>35000000</v>
      </c>
      <c r="Z42" s="40">
        <f t="shared" si="5"/>
        <v>35000000</v>
      </c>
      <c r="AA42" s="40">
        <f t="shared" si="5"/>
        <v>35000000</v>
      </c>
      <c r="AB42" s="40">
        <f t="shared" si="5"/>
        <v>35000000</v>
      </c>
      <c r="AC42" s="40">
        <f t="shared" si="5"/>
        <v>35000000</v>
      </c>
      <c r="AD42" s="40">
        <f t="shared" si="5"/>
        <v>35000000</v>
      </c>
      <c r="AE42" s="40">
        <f t="shared" si="5"/>
        <v>35000000</v>
      </c>
      <c r="AF42" s="40">
        <f t="shared" si="5"/>
        <v>35000000</v>
      </c>
      <c r="AG42" s="40">
        <f t="shared" si="5"/>
        <v>35000000</v>
      </c>
    </row>
    <row r="43" spans="1:33" ht="15.75" hidden="1" customHeight="1" outlineLevel="1" x14ac:dyDescent="0.25"/>
    <row r="44" spans="1:33" ht="15.75" hidden="1" customHeight="1" outlineLevel="1" x14ac:dyDescent="0.25">
      <c r="A44" s="124" t="s">
        <v>34</v>
      </c>
      <c r="B44" s="121"/>
      <c r="C44" s="121"/>
      <c r="D44" s="121"/>
      <c r="E44" s="122"/>
      <c r="F44" s="41">
        <f t="shared" ref="F44:AG44" si="6">F38*F42</f>
        <v>4550000</v>
      </c>
      <c r="G44" s="41">
        <f t="shared" si="6"/>
        <v>5250000.0000000009</v>
      </c>
      <c r="H44" s="41">
        <f t="shared" si="6"/>
        <v>2800000</v>
      </c>
      <c r="I44" s="41">
        <f t="shared" si="6"/>
        <v>5250000.0000000009</v>
      </c>
      <c r="J44" s="41">
        <f t="shared" si="6"/>
        <v>0</v>
      </c>
      <c r="K44" s="41">
        <f t="shared" si="6"/>
        <v>0</v>
      </c>
      <c r="L44" s="41">
        <f t="shared" si="6"/>
        <v>0</v>
      </c>
      <c r="M44" s="41">
        <f t="shared" si="6"/>
        <v>0</v>
      </c>
      <c r="N44" s="41">
        <f t="shared" si="6"/>
        <v>0</v>
      </c>
      <c r="O44" s="41">
        <f t="shared" si="6"/>
        <v>0</v>
      </c>
      <c r="P44" s="41">
        <f t="shared" si="6"/>
        <v>0</v>
      </c>
      <c r="Q44" s="41">
        <f t="shared" si="6"/>
        <v>0</v>
      </c>
      <c r="R44" s="41">
        <f t="shared" si="6"/>
        <v>0</v>
      </c>
      <c r="S44" s="41">
        <f t="shared" si="6"/>
        <v>0</v>
      </c>
      <c r="T44" s="41">
        <f t="shared" si="6"/>
        <v>0</v>
      </c>
      <c r="U44" s="41">
        <f t="shared" si="6"/>
        <v>0</v>
      </c>
      <c r="V44" s="41">
        <f t="shared" si="6"/>
        <v>0</v>
      </c>
      <c r="W44" s="41">
        <f t="shared" si="6"/>
        <v>0</v>
      </c>
      <c r="X44" s="41">
        <f t="shared" si="6"/>
        <v>0</v>
      </c>
      <c r="Y44" s="41">
        <f t="shared" si="6"/>
        <v>0</v>
      </c>
      <c r="Z44" s="41">
        <f t="shared" si="6"/>
        <v>0</v>
      </c>
      <c r="AA44" s="41">
        <f t="shared" si="6"/>
        <v>0</v>
      </c>
      <c r="AB44" s="41">
        <f t="shared" si="6"/>
        <v>0</v>
      </c>
      <c r="AC44" s="41">
        <f t="shared" si="6"/>
        <v>0</v>
      </c>
      <c r="AD44" s="41">
        <f t="shared" si="6"/>
        <v>0</v>
      </c>
      <c r="AE44" s="41">
        <f t="shared" si="6"/>
        <v>0</v>
      </c>
      <c r="AF44" s="41">
        <f t="shared" si="6"/>
        <v>0</v>
      </c>
      <c r="AG44" s="41">
        <f t="shared" si="6"/>
        <v>0</v>
      </c>
    </row>
    <row r="45" spans="1:33" ht="15.75" hidden="1" customHeight="1" outlineLevel="1" x14ac:dyDescent="0.25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4050800</v>
      </c>
      <c r="G46" s="43">
        <f>G44-(G44*D4)</f>
        <v>4674000.0000000009</v>
      </c>
      <c r="H46" s="43">
        <f>H44-(H44*D4)</f>
        <v>2492800</v>
      </c>
      <c r="I46" s="43">
        <f>I44-(I44*D4)</f>
        <v>4674000.0000000009</v>
      </c>
      <c r="J46" s="43">
        <f>J44-(J44*D4)</f>
        <v>0</v>
      </c>
      <c r="K46" s="43">
        <f>K44-(K44*D4)</f>
        <v>0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thickBot="1" x14ac:dyDescent="0.3">
      <c r="A48" s="120" t="s">
        <v>36</v>
      </c>
      <c r="B48" s="121"/>
      <c r="C48" s="121"/>
      <c r="D48" s="121"/>
      <c r="E48" s="122"/>
      <c r="F48" s="45">
        <f>F42-F46-C4</f>
        <v>27109200</v>
      </c>
      <c r="G48" s="45">
        <f t="shared" ref="G48:AG48" si="7">(F48+(F48*G40))-G46</f>
        <v>22435200</v>
      </c>
      <c r="H48" s="46">
        <f t="shared" si="7"/>
        <v>19942400</v>
      </c>
      <c r="I48" s="46">
        <f t="shared" si="7"/>
        <v>15268400</v>
      </c>
      <c r="J48" s="45">
        <f t="shared" si="7"/>
        <v>15268400</v>
      </c>
      <c r="K48" s="45">
        <f t="shared" si="7"/>
        <v>15268400</v>
      </c>
      <c r="L48" s="45">
        <f t="shared" si="7"/>
        <v>15268400</v>
      </c>
      <c r="M48" s="45">
        <f t="shared" si="7"/>
        <v>15268400</v>
      </c>
      <c r="N48" s="45">
        <f t="shared" si="7"/>
        <v>15268400</v>
      </c>
      <c r="O48" s="45">
        <f t="shared" si="7"/>
        <v>15268400</v>
      </c>
      <c r="P48" s="45">
        <f t="shared" si="7"/>
        <v>15268400</v>
      </c>
      <c r="Q48" s="45">
        <f t="shared" si="7"/>
        <v>15268400</v>
      </c>
      <c r="R48" s="45">
        <f t="shared" si="7"/>
        <v>15268400</v>
      </c>
      <c r="S48" s="45">
        <f t="shared" si="7"/>
        <v>15268400</v>
      </c>
      <c r="T48" s="45">
        <f t="shared" si="7"/>
        <v>15268400</v>
      </c>
      <c r="U48" s="45">
        <f t="shared" si="7"/>
        <v>15268400</v>
      </c>
      <c r="V48" s="45">
        <f t="shared" si="7"/>
        <v>15268400</v>
      </c>
      <c r="W48" s="45">
        <f t="shared" si="7"/>
        <v>15268400</v>
      </c>
      <c r="X48" s="45">
        <f t="shared" si="7"/>
        <v>15268400</v>
      </c>
      <c r="Y48" s="45">
        <f t="shared" si="7"/>
        <v>15268400</v>
      </c>
      <c r="Z48" s="45">
        <f t="shared" si="7"/>
        <v>15268400</v>
      </c>
      <c r="AA48" s="45">
        <f t="shared" si="7"/>
        <v>15268400</v>
      </c>
      <c r="AB48" s="45">
        <f t="shared" si="7"/>
        <v>15268400</v>
      </c>
      <c r="AC48" s="45">
        <f t="shared" si="7"/>
        <v>15268400</v>
      </c>
      <c r="AD48" s="45">
        <f t="shared" si="7"/>
        <v>15268400</v>
      </c>
      <c r="AE48" s="45">
        <f t="shared" si="7"/>
        <v>15268400</v>
      </c>
      <c r="AF48" s="45">
        <f t="shared" si="7"/>
        <v>15268400</v>
      </c>
      <c r="AG48" s="45">
        <f t="shared" si="7"/>
        <v>15268400</v>
      </c>
    </row>
    <row r="49" spans="6:23" ht="15.75" customHeight="1" x14ac:dyDescent="0.25">
      <c r="L49" s="47"/>
      <c r="M49" s="48"/>
      <c r="N49" s="48"/>
      <c r="O49" s="47"/>
      <c r="P49" s="48"/>
      <c r="Q49" s="48"/>
      <c r="U49" s="48"/>
      <c r="W49" s="47"/>
    </row>
    <row r="50" spans="6:23" ht="15.75" customHeight="1" x14ac:dyDescent="0.25">
      <c r="F50" s="49"/>
      <c r="L50" s="47"/>
      <c r="M50" s="50"/>
      <c r="N50" s="50"/>
      <c r="O50" s="51"/>
      <c r="P50" s="52"/>
    </row>
    <row r="51" spans="6:23" ht="15.75" customHeight="1" x14ac:dyDescent="0.25">
      <c r="G51" s="44"/>
      <c r="H51" s="44"/>
      <c r="V51" s="44"/>
      <c r="W51" s="49"/>
    </row>
    <row r="52" spans="6:23" ht="15.75" customHeight="1" x14ac:dyDescent="0.25">
      <c r="F52" s="53"/>
      <c r="Q52" s="44"/>
      <c r="W52" s="53"/>
    </row>
    <row r="53" spans="6:23" ht="15.75" customHeight="1" x14ac:dyDescent="0.25">
      <c r="G53" s="49"/>
      <c r="H53" s="49"/>
      <c r="I53" s="11"/>
      <c r="J53" s="44"/>
      <c r="K53" s="53"/>
    </row>
    <row r="54" spans="6:23" ht="15.75" customHeight="1" x14ac:dyDescent="0.25">
      <c r="G54" s="54"/>
      <c r="H54" s="54"/>
      <c r="I54" s="11"/>
      <c r="J54" s="44"/>
    </row>
    <row r="55" spans="6:23" ht="15.75" customHeight="1" x14ac:dyDescent="0.25">
      <c r="G55" s="54"/>
      <c r="H55" s="54"/>
    </row>
    <row r="56" spans="6:23" ht="15.75" customHeight="1" x14ac:dyDescent="0.25">
      <c r="G56" s="54"/>
      <c r="H56" s="54"/>
    </row>
    <row r="57" spans="6:23" ht="15.75" customHeight="1" x14ac:dyDescent="0.25">
      <c r="G57" s="54"/>
      <c r="H57" s="54"/>
      <c r="J57" s="53"/>
    </row>
    <row r="58" spans="6:23" ht="15.75" customHeight="1" x14ac:dyDescent="0.25">
      <c r="G58" s="54"/>
      <c r="H58" s="54"/>
    </row>
    <row r="59" spans="6:23" ht="15.75" customHeight="1" x14ac:dyDescent="0.25">
      <c r="G59" s="54"/>
      <c r="H59" s="54"/>
    </row>
    <row r="60" spans="6:23" ht="15.75" customHeight="1" x14ac:dyDescent="0.25">
      <c r="G60" s="54"/>
      <c r="H60" s="54"/>
    </row>
    <row r="61" spans="6:23" ht="15.75" customHeight="1" x14ac:dyDescent="0.25">
      <c r="G61" s="54"/>
      <c r="H61" s="54"/>
    </row>
    <row r="62" spans="6:23" ht="15.75" customHeight="1" x14ac:dyDescent="0.25"/>
    <row r="63" spans="6:23" ht="15.75" customHeight="1" x14ac:dyDescent="0.25"/>
    <row r="64" spans="6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6"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  <mergeCell ref="J6:K6"/>
    <mergeCell ref="L6:M6"/>
    <mergeCell ref="N6:O6"/>
    <mergeCell ref="L5:M5"/>
    <mergeCell ref="N5:O5"/>
    <mergeCell ref="X5:Y5"/>
    <mergeCell ref="Z5:AA5"/>
    <mergeCell ref="AB5:AC5"/>
    <mergeCell ref="AD5:AE5"/>
    <mergeCell ref="AF5:AG5"/>
    <mergeCell ref="A46:E46"/>
    <mergeCell ref="A48:E48"/>
    <mergeCell ref="AB6:AC6"/>
    <mergeCell ref="AD6:AE6"/>
    <mergeCell ref="AF6:AG6"/>
    <mergeCell ref="A40:E40"/>
    <mergeCell ref="A42:E42"/>
    <mergeCell ref="A44:E44"/>
    <mergeCell ref="P6:Q6"/>
    <mergeCell ref="R6:S6"/>
    <mergeCell ref="T6:U6"/>
    <mergeCell ref="V6:W6"/>
    <mergeCell ref="X6:Y6"/>
    <mergeCell ref="Z6:AA6"/>
    <mergeCell ref="F6:G6"/>
    <mergeCell ref="H6:I6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zoomScale="85" zoomScaleNormal="85" workbookViewId="0">
      <pane xSplit="3" topLeftCell="D1" activePane="topRight" state="frozen"/>
      <selection pane="topRight" activeCell="F16" sqref="F1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>
        <v>0</v>
      </c>
      <c r="D4" s="57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05" t="s">
        <v>39</v>
      </c>
      <c r="G5" s="106"/>
      <c r="H5" s="105" t="s">
        <v>40</v>
      </c>
      <c r="I5" s="106"/>
      <c r="J5" s="105" t="s">
        <v>41</v>
      </c>
      <c r="K5" s="106"/>
      <c r="L5" s="105" t="s">
        <v>42</v>
      </c>
      <c r="M5" s="106"/>
      <c r="N5" s="105" t="s">
        <v>43</v>
      </c>
      <c r="O5" s="106"/>
      <c r="P5" s="105" t="s">
        <v>44</v>
      </c>
      <c r="Q5" s="106"/>
      <c r="R5" s="105" t="s">
        <v>45</v>
      </c>
      <c r="S5" s="106"/>
      <c r="T5" s="105" t="s">
        <v>46</v>
      </c>
      <c r="U5" s="106"/>
      <c r="V5" s="105" t="s">
        <v>47</v>
      </c>
      <c r="W5" s="106"/>
      <c r="X5" s="105" t="s">
        <v>48</v>
      </c>
      <c r="Y5" s="106"/>
      <c r="Z5" s="105" t="s">
        <v>37</v>
      </c>
      <c r="AA5" s="106"/>
      <c r="AB5" s="105" t="s">
        <v>38</v>
      </c>
      <c r="AC5" s="106"/>
      <c r="AD5" s="105" t="s">
        <v>39</v>
      </c>
      <c r="AE5" s="106"/>
      <c r="AF5" s="105" t="s">
        <v>40</v>
      </c>
      <c r="AG5" s="10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thickBot="1" x14ac:dyDescent="0.3">
      <c r="A7" s="7">
        <v>1</v>
      </c>
      <c r="B7" s="7" t="s">
        <v>50</v>
      </c>
      <c r="C7" s="8">
        <f>SUM(C8:C9)</f>
        <v>0.16999999999999998</v>
      </c>
      <c r="D7" s="58">
        <f>C7*C3</f>
        <v>5949999.9999999991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79">
        <f>SUM(F8:AG8)</f>
        <v>7.0000000000000007E-2</v>
      </c>
      <c r="F8" s="65">
        <v>7.0000000000000007E-2</v>
      </c>
      <c r="G8" s="66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79">
        <f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13"/>
      <c r="F10" s="21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24"/>
      <c r="F11" s="25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79">
        <f>SUM(F12:AG12)</f>
        <v>0</v>
      </c>
      <c r="F12" s="20"/>
      <c r="G12" s="47"/>
      <c r="H12" s="20"/>
      <c r="I12" s="21"/>
      <c r="J12" s="21"/>
      <c r="K12" s="15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24"/>
      <c r="F14" s="25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79">
        <f>SUM(F15:AG15)</f>
        <v>0</v>
      </c>
      <c r="F15" s="21"/>
      <c r="G15" s="67"/>
      <c r="H15" s="21"/>
      <c r="I15" s="21"/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79">
        <f>SUM(F16:AG16)</f>
        <v>0</v>
      </c>
      <c r="F16" s="21"/>
      <c r="G16" s="17"/>
      <c r="H16" s="21"/>
      <c r="I16" s="21"/>
      <c r="J16" s="21"/>
      <c r="K16" s="17"/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13"/>
      <c r="F17" s="21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24"/>
      <c r="F18" s="25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79">
        <f t="shared" ref="E19:E20" si="0">SUM(F19:AG19)</f>
        <v>0</v>
      </c>
      <c r="F19" s="21"/>
      <c r="G19" s="17"/>
      <c r="H19" s="21"/>
      <c r="I19" s="21"/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79">
        <f t="shared" si="0"/>
        <v>0</v>
      </c>
      <c r="F20" s="21"/>
      <c r="G20" s="17"/>
      <c r="H20" s="21"/>
      <c r="I20" s="21"/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13"/>
      <c r="F21" s="21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24"/>
      <c r="F22" s="25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79">
        <f>SUM(F23:AG23)</f>
        <v>0</v>
      </c>
      <c r="F23" s="21"/>
      <c r="G23" s="17"/>
      <c r="H23" s="21"/>
      <c r="I23" s="21"/>
      <c r="J23" s="21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13"/>
      <c r="F24" s="21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24"/>
      <c r="F25" s="25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79">
        <f t="shared" ref="E26:E30" si="1">SUM(F26:AG26)</f>
        <v>0</v>
      </c>
      <c r="F26" s="21"/>
      <c r="G26" s="17"/>
      <c r="H26" s="21"/>
      <c r="I26" s="21"/>
      <c r="J26" s="21"/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79">
        <f t="shared" si="1"/>
        <v>0</v>
      </c>
      <c r="F27" s="21"/>
      <c r="G27" s="17"/>
      <c r="H27" s="21"/>
      <c r="I27" s="21"/>
      <c r="J27" s="21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79">
        <f t="shared" si="1"/>
        <v>0</v>
      </c>
      <c r="F28" s="21"/>
      <c r="G28" s="17"/>
      <c r="H28" s="21"/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79">
        <f t="shared" si="1"/>
        <v>0</v>
      </c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79">
        <f t="shared" si="1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13"/>
      <c r="F31" s="21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24"/>
      <c r="F32" s="25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79">
        <f t="shared" ref="E33:E36" si="2">SUM(F33:AG33)</f>
        <v>0</v>
      </c>
      <c r="F33" s="61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61"/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79">
        <f t="shared" si="2"/>
        <v>0</v>
      </c>
      <c r="F34" s="61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62"/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79">
        <f t="shared" si="2"/>
        <v>0</v>
      </c>
      <c r="F35" s="61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61"/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79">
        <f t="shared" si="2"/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35">
        <f>SUM(F38:AG38)</f>
        <v>7.0000000000000007E-2</v>
      </c>
      <c r="F38" s="55">
        <f t="shared" ref="F38:AG38" si="3">SUM(F8:F37)</f>
        <v>7.0000000000000007E-2</v>
      </c>
      <c r="G38" s="55">
        <f t="shared" si="3"/>
        <v>0</v>
      </c>
      <c r="H38" s="55">
        <f t="shared" si="3"/>
        <v>0</v>
      </c>
      <c r="I38" s="55">
        <f t="shared" si="3"/>
        <v>0</v>
      </c>
      <c r="J38" s="55">
        <f t="shared" si="3"/>
        <v>0</v>
      </c>
      <c r="K38" s="55">
        <f t="shared" si="3"/>
        <v>0</v>
      </c>
      <c r="L38" s="55">
        <f t="shared" si="3"/>
        <v>0</v>
      </c>
      <c r="M38" s="55">
        <f t="shared" si="3"/>
        <v>0</v>
      </c>
      <c r="N38" s="55">
        <f t="shared" si="3"/>
        <v>0</v>
      </c>
      <c r="O38" s="55">
        <f t="shared" si="3"/>
        <v>0</v>
      </c>
      <c r="P38" s="55">
        <f t="shared" si="3"/>
        <v>0</v>
      </c>
      <c r="Q38" s="55">
        <f t="shared" si="3"/>
        <v>0</v>
      </c>
      <c r="R38" s="55">
        <f t="shared" si="3"/>
        <v>0</v>
      </c>
      <c r="S38" s="55">
        <f t="shared" si="3"/>
        <v>0</v>
      </c>
      <c r="T38" s="55">
        <f t="shared" si="3"/>
        <v>0</v>
      </c>
      <c r="U38" s="55">
        <f t="shared" si="3"/>
        <v>0</v>
      </c>
      <c r="V38" s="55">
        <f t="shared" si="3"/>
        <v>0</v>
      </c>
      <c r="W38" s="56">
        <f t="shared" si="3"/>
        <v>0</v>
      </c>
      <c r="X38" s="56">
        <f t="shared" si="3"/>
        <v>0</v>
      </c>
      <c r="Y38" s="55">
        <f t="shared" si="3"/>
        <v>0</v>
      </c>
      <c r="Z38" s="56">
        <f t="shared" si="3"/>
        <v>0</v>
      </c>
      <c r="AA38" s="55">
        <f t="shared" si="3"/>
        <v>0</v>
      </c>
      <c r="AB38" s="56">
        <f t="shared" si="3"/>
        <v>0</v>
      </c>
      <c r="AC38" s="55">
        <f t="shared" si="3"/>
        <v>0</v>
      </c>
      <c r="AD38" s="56">
        <f t="shared" si="3"/>
        <v>0</v>
      </c>
      <c r="AE38" s="55">
        <f t="shared" si="3"/>
        <v>0</v>
      </c>
      <c r="AF38" s="56">
        <f t="shared" si="3"/>
        <v>0</v>
      </c>
      <c r="AG38" s="55">
        <f t="shared" si="3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thickBot="1" x14ac:dyDescent="0.3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x14ac:dyDescent="0.25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4">F42+(F42*G40)</f>
        <v>35000000</v>
      </c>
      <c r="H42" s="40">
        <f t="shared" si="4"/>
        <v>35000000</v>
      </c>
      <c r="I42" s="40">
        <f t="shared" si="4"/>
        <v>35000000</v>
      </c>
      <c r="J42" s="40">
        <f t="shared" si="4"/>
        <v>35000000</v>
      </c>
      <c r="K42" s="40">
        <f t="shared" si="4"/>
        <v>35000000</v>
      </c>
      <c r="L42" s="40">
        <f t="shared" si="4"/>
        <v>35000000</v>
      </c>
      <c r="M42" s="40">
        <f t="shared" si="4"/>
        <v>35000000</v>
      </c>
      <c r="N42" s="40">
        <f t="shared" si="4"/>
        <v>35000000</v>
      </c>
      <c r="O42" s="40">
        <f t="shared" si="4"/>
        <v>35000000</v>
      </c>
      <c r="P42" s="40">
        <f t="shared" si="4"/>
        <v>35000000</v>
      </c>
      <c r="Q42" s="40">
        <f t="shared" si="4"/>
        <v>35000000</v>
      </c>
      <c r="R42" s="40">
        <f t="shared" si="4"/>
        <v>35000000</v>
      </c>
      <c r="S42" s="40">
        <f t="shared" si="4"/>
        <v>35000000</v>
      </c>
      <c r="T42" s="40">
        <f t="shared" si="4"/>
        <v>35000000</v>
      </c>
      <c r="U42" s="40">
        <f t="shared" si="4"/>
        <v>35000000</v>
      </c>
      <c r="V42" s="40">
        <f t="shared" si="4"/>
        <v>35000000</v>
      </c>
      <c r="W42" s="40">
        <f t="shared" si="4"/>
        <v>35000000</v>
      </c>
      <c r="X42" s="40">
        <f t="shared" si="4"/>
        <v>35000000</v>
      </c>
      <c r="Y42" s="40">
        <f t="shared" si="4"/>
        <v>35000000</v>
      </c>
      <c r="Z42" s="40">
        <f t="shared" si="4"/>
        <v>35000000</v>
      </c>
      <c r="AA42" s="40">
        <f t="shared" si="4"/>
        <v>35000000</v>
      </c>
      <c r="AB42" s="40">
        <f t="shared" si="4"/>
        <v>35000000</v>
      </c>
      <c r="AC42" s="40">
        <f t="shared" si="4"/>
        <v>35000000</v>
      </c>
      <c r="AD42" s="40">
        <f t="shared" si="4"/>
        <v>35000000</v>
      </c>
      <c r="AE42" s="40">
        <f t="shared" si="4"/>
        <v>35000000</v>
      </c>
      <c r="AF42" s="40">
        <f t="shared" si="4"/>
        <v>35000000</v>
      </c>
      <c r="AG42" s="40">
        <f t="shared" si="4"/>
        <v>35000000</v>
      </c>
    </row>
    <row r="43" spans="1:33" ht="15.75" hidden="1" customHeight="1" outlineLevel="1" x14ac:dyDescent="0.25"/>
    <row r="44" spans="1:33" ht="15.75" hidden="1" customHeight="1" outlineLevel="1" x14ac:dyDescent="0.25">
      <c r="A44" s="124" t="s">
        <v>34</v>
      </c>
      <c r="B44" s="121"/>
      <c r="C44" s="121"/>
      <c r="D44" s="121"/>
      <c r="E44" s="122"/>
      <c r="F44" s="41">
        <f t="shared" ref="F44:AG44" si="5">F38*F42</f>
        <v>2450000.0000000005</v>
      </c>
      <c r="G44" s="41">
        <f t="shared" si="5"/>
        <v>0</v>
      </c>
      <c r="H44" s="41">
        <f t="shared" si="5"/>
        <v>0</v>
      </c>
      <c r="I44" s="41">
        <f t="shared" si="5"/>
        <v>0</v>
      </c>
      <c r="J44" s="41">
        <f t="shared" si="5"/>
        <v>0</v>
      </c>
      <c r="K44" s="41">
        <f t="shared" si="5"/>
        <v>0</v>
      </c>
      <c r="L44" s="41">
        <f t="shared" si="5"/>
        <v>0</v>
      </c>
      <c r="M44" s="41">
        <f t="shared" si="5"/>
        <v>0</v>
      </c>
      <c r="N44" s="41">
        <f t="shared" si="5"/>
        <v>0</v>
      </c>
      <c r="O44" s="41">
        <f t="shared" si="5"/>
        <v>0</v>
      </c>
      <c r="P44" s="41">
        <f t="shared" si="5"/>
        <v>0</v>
      </c>
      <c r="Q44" s="41">
        <f t="shared" si="5"/>
        <v>0</v>
      </c>
      <c r="R44" s="41">
        <f t="shared" si="5"/>
        <v>0</v>
      </c>
      <c r="S44" s="41">
        <f t="shared" si="5"/>
        <v>0</v>
      </c>
      <c r="T44" s="41">
        <f t="shared" si="5"/>
        <v>0</v>
      </c>
      <c r="U44" s="41">
        <f t="shared" si="5"/>
        <v>0</v>
      </c>
      <c r="V44" s="41">
        <f t="shared" si="5"/>
        <v>0</v>
      </c>
      <c r="W44" s="41">
        <f t="shared" si="5"/>
        <v>0</v>
      </c>
      <c r="X44" s="41">
        <f t="shared" si="5"/>
        <v>0</v>
      </c>
      <c r="Y44" s="41">
        <f t="shared" si="5"/>
        <v>0</v>
      </c>
      <c r="Z44" s="41">
        <f t="shared" si="5"/>
        <v>0</v>
      </c>
      <c r="AA44" s="41">
        <f t="shared" si="5"/>
        <v>0</v>
      </c>
      <c r="AB44" s="41">
        <f t="shared" si="5"/>
        <v>0</v>
      </c>
      <c r="AC44" s="41">
        <f t="shared" si="5"/>
        <v>0</v>
      </c>
      <c r="AD44" s="41">
        <f t="shared" si="5"/>
        <v>0</v>
      </c>
      <c r="AE44" s="41">
        <f t="shared" si="5"/>
        <v>0</v>
      </c>
      <c r="AF44" s="41">
        <f t="shared" si="5"/>
        <v>0</v>
      </c>
      <c r="AG44" s="41">
        <f t="shared" si="5"/>
        <v>0</v>
      </c>
    </row>
    <row r="45" spans="1:33" ht="15.75" hidden="1" customHeight="1" outlineLevel="1" x14ac:dyDescent="0.25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2450000.0000000005</v>
      </c>
      <c r="G46" s="43">
        <f>G44-(G44*D4)</f>
        <v>0</v>
      </c>
      <c r="H46" s="43">
        <f>H44-(H44*D4)</f>
        <v>0</v>
      </c>
      <c r="I46" s="43">
        <f>I44-(I44*D4)</f>
        <v>0</v>
      </c>
      <c r="J46" s="43">
        <f>J44-(J44*D4)</f>
        <v>0</v>
      </c>
      <c r="K46" s="43">
        <f>K44-(K44*D4)</f>
        <v>0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thickBot="1" x14ac:dyDescent="0.3">
      <c r="A48" s="120" t="s">
        <v>36</v>
      </c>
      <c r="B48" s="121"/>
      <c r="C48" s="121"/>
      <c r="D48" s="121"/>
      <c r="E48" s="122"/>
      <c r="F48" s="45">
        <f>F42-F46-C4</f>
        <v>32550000</v>
      </c>
      <c r="G48" s="45">
        <f t="shared" ref="G48:AG48" si="6">(F48+(F48*G40))-G46</f>
        <v>32550000</v>
      </c>
      <c r="H48" s="46">
        <f t="shared" si="6"/>
        <v>32550000</v>
      </c>
      <c r="I48" s="46">
        <f t="shared" si="6"/>
        <v>32550000</v>
      </c>
      <c r="J48" s="45">
        <f t="shared" si="6"/>
        <v>32550000</v>
      </c>
      <c r="K48" s="45">
        <f t="shared" si="6"/>
        <v>32550000</v>
      </c>
      <c r="L48" s="45">
        <f t="shared" si="6"/>
        <v>32550000</v>
      </c>
      <c r="M48" s="45">
        <f t="shared" si="6"/>
        <v>32550000</v>
      </c>
      <c r="N48" s="45">
        <f t="shared" si="6"/>
        <v>32550000</v>
      </c>
      <c r="O48" s="45">
        <f t="shared" si="6"/>
        <v>32550000</v>
      </c>
      <c r="P48" s="45">
        <f t="shared" si="6"/>
        <v>32550000</v>
      </c>
      <c r="Q48" s="45">
        <f t="shared" si="6"/>
        <v>32550000</v>
      </c>
      <c r="R48" s="45">
        <f t="shared" si="6"/>
        <v>32550000</v>
      </c>
      <c r="S48" s="45">
        <f t="shared" si="6"/>
        <v>32550000</v>
      </c>
      <c r="T48" s="45">
        <f t="shared" si="6"/>
        <v>32550000</v>
      </c>
      <c r="U48" s="45">
        <f t="shared" si="6"/>
        <v>32550000</v>
      </c>
      <c r="V48" s="45">
        <f t="shared" si="6"/>
        <v>32550000</v>
      </c>
      <c r="W48" s="45">
        <f t="shared" si="6"/>
        <v>32550000</v>
      </c>
      <c r="X48" s="45">
        <f t="shared" si="6"/>
        <v>32550000</v>
      </c>
      <c r="Y48" s="45">
        <f t="shared" si="6"/>
        <v>32550000</v>
      </c>
      <c r="Z48" s="45">
        <f t="shared" si="6"/>
        <v>32550000</v>
      </c>
      <c r="AA48" s="45">
        <f t="shared" si="6"/>
        <v>32550000</v>
      </c>
      <c r="AB48" s="45">
        <f t="shared" si="6"/>
        <v>32550000</v>
      </c>
      <c r="AC48" s="45">
        <f t="shared" si="6"/>
        <v>32550000</v>
      </c>
      <c r="AD48" s="45">
        <f t="shared" si="6"/>
        <v>32550000</v>
      </c>
      <c r="AE48" s="45">
        <f t="shared" si="6"/>
        <v>32550000</v>
      </c>
      <c r="AF48" s="45">
        <f t="shared" si="6"/>
        <v>32550000</v>
      </c>
      <c r="AG48" s="45">
        <f t="shared" si="6"/>
        <v>32550000</v>
      </c>
    </row>
    <row r="49" spans="6:23" ht="15.75" customHeight="1" x14ac:dyDescent="0.25">
      <c r="L49" s="47"/>
      <c r="M49" s="48"/>
      <c r="N49" s="48"/>
      <c r="O49" s="47"/>
      <c r="P49" s="48"/>
      <c r="Q49" s="48"/>
      <c r="U49" s="48"/>
      <c r="W49" s="47"/>
    </row>
    <row r="50" spans="6:23" ht="15.75" customHeight="1" x14ac:dyDescent="0.25">
      <c r="F50" s="49"/>
      <c r="L50" s="47"/>
      <c r="M50" s="50"/>
      <c r="N50" s="50"/>
      <c r="O50" s="51"/>
      <c r="P50" s="52"/>
    </row>
    <row r="51" spans="6:23" ht="15.75" customHeight="1" x14ac:dyDescent="0.25">
      <c r="G51" s="44"/>
      <c r="H51" s="44"/>
      <c r="V51" s="44"/>
      <c r="W51" s="49"/>
    </row>
    <row r="52" spans="6:23" ht="15.75" customHeight="1" x14ac:dyDescent="0.25">
      <c r="F52" s="53"/>
      <c r="Q52" s="44"/>
      <c r="W52" s="53"/>
    </row>
    <row r="53" spans="6:23" ht="15.75" customHeight="1" x14ac:dyDescent="0.25">
      <c r="G53" s="49"/>
      <c r="H53" s="49"/>
      <c r="I53" s="11"/>
      <c r="J53" s="44"/>
      <c r="K53" s="53"/>
    </row>
    <row r="54" spans="6:23" ht="15.75" customHeight="1" x14ac:dyDescent="0.25">
      <c r="G54" s="54"/>
      <c r="H54" s="54"/>
      <c r="I54" s="11"/>
      <c r="J54" s="44"/>
    </row>
    <row r="55" spans="6:23" ht="15.75" customHeight="1" x14ac:dyDescent="0.25">
      <c r="G55" s="54"/>
      <c r="H55" s="54"/>
    </row>
    <row r="56" spans="6:23" ht="15.75" customHeight="1" x14ac:dyDescent="0.25">
      <c r="G56" s="54"/>
      <c r="H56" s="54"/>
    </row>
    <row r="57" spans="6:23" ht="15.75" customHeight="1" x14ac:dyDescent="0.25">
      <c r="G57" s="54"/>
      <c r="H57" s="54"/>
      <c r="J57" s="53"/>
    </row>
    <row r="58" spans="6:23" ht="15.75" customHeight="1" x14ac:dyDescent="0.25">
      <c r="G58" s="54"/>
      <c r="H58" s="54"/>
    </row>
    <row r="59" spans="6:23" ht="15.75" customHeight="1" x14ac:dyDescent="0.25">
      <c r="G59" s="54"/>
      <c r="H59" s="54"/>
    </row>
    <row r="60" spans="6:23" ht="15.75" customHeight="1" x14ac:dyDescent="0.25">
      <c r="G60" s="54"/>
      <c r="H60" s="54"/>
    </row>
    <row r="61" spans="6:23" ht="15.75" customHeight="1" x14ac:dyDescent="0.25">
      <c r="G61" s="54"/>
      <c r="H61" s="54"/>
    </row>
    <row r="62" spans="6:23" ht="15.75" customHeight="1" x14ac:dyDescent="0.25"/>
    <row r="63" spans="6:23" ht="15.75" customHeight="1" x14ac:dyDescent="0.25"/>
    <row r="64" spans="6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6">
    <mergeCell ref="A46:E46"/>
    <mergeCell ref="A48:E48"/>
    <mergeCell ref="AB6:AC6"/>
    <mergeCell ref="AD6:AE6"/>
    <mergeCell ref="AF6:AG6"/>
    <mergeCell ref="A40:E40"/>
    <mergeCell ref="A42:E42"/>
    <mergeCell ref="A44:E44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4" type="noConversion"/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topLeftCell="A6" zoomScale="85" zoomScaleNormal="85" workbookViewId="0">
      <pane xSplit="3" topLeftCell="D1" activePane="topRight" state="frozen"/>
      <selection pane="topRight" activeCell="B29" sqref="B2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>
        <v>0</v>
      </c>
      <c r="D4" s="57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05" t="s">
        <v>41</v>
      </c>
      <c r="G5" s="106"/>
      <c r="H5" s="105" t="s">
        <v>42</v>
      </c>
      <c r="I5" s="106"/>
      <c r="J5" s="105" t="s">
        <v>43</v>
      </c>
      <c r="K5" s="106"/>
      <c r="L5" s="105" t="s">
        <v>44</v>
      </c>
      <c r="M5" s="106"/>
      <c r="N5" s="105" t="s">
        <v>45</v>
      </c>
      <c r="O5" s="106"/>
      <c r="P5" s="105" t="s">
        <v>46</v>
      </c>
      <c r="Q5" s="106"/>
      <c r="R5" s="105" t="s">
        <v>47</v>
      </c>
      <c r="S5" s="106"/>
      <c r="T5" s="105" t="s">
        <v>48</v>
      </c>
      <c r="U5" s="106"/>
      <c r="V5" s="105" t="s">
        <v>37</v>
      </c>
      <c r="W5" s="106"/>
      <c r="X5" s="105" t="s">
        <v>38</v>
      </c>
      <c r="Y5" s="106"/>
      <c r="Z5" s="105" t="s">
        <v>39</v>
      </c>
      <c r="AA5" s="106"/>
      <c r="AB5" s="105" t="s">
        <v>40</v>
      </c>
      <c r="AC5" s="106"/>
      <c r="AD5" s="105" t="s">
        <v>41</v>
      </c>
      <c r="AE5" s="106"/>
      <c r="AF5" s="105" t="s">
        <v>42</v>
      </c>
      <c r="AG5" s="10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thickBot="1" x14ac:dyDescent="0.3">
      <c r="A7" s="7">
        <v>1</v>
      </c>
      <c r="B7" s="7" t="s">
        <v>50</v>
      </c>
      <c r="C7" s="8">
        <f>SUM(C8:C9)</f>
        <v>0.16999999999999998</v>
      </c>
      <c r="D7" s="58">
        <f>C7*C3</f>
        <v>5949999.9999999991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79">
        <f>SUM(F8:AG8)</f>
        <v>0</v>
      </c>
      <c r="F8" s="65"/>
      <c r="G8" s="66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79">
        <f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13"/>
      <c r="F10" s="21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24"/>
      <c r="F11" s="25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79">
        <f>SUM(F12:AG12)</f>
        <v>0</v>
      </c>
      <c r="F12" s="20"/>
      <c r="G12" s="47"/>
      <c r="H12" s="20"/>
      <c r="I12" s="21"/>
      <c r="J12" s="21"/>
      <c r="K12" s="15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24"/>
      <c r="F14" s="25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79">
        <f>SUM(F15:AG15)</f>
        <v>0</v>
      </c>
      <c r="F15" s="21"/>
      <c r="G15" s="67"/>
      <c r="H15" s="21"/>
      <c r="I15" s="21"/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79">
        <f>SUM(F16:AG16)</f>
        <v>0</v>
      </c>
      <c r="F16" s="21"/>
      <c r="G16" s="17"/>
      <c r="H16" s="21"/>
      <c r="I16" s="21"/>
      <c r="J16" s="21"/>
      <c r="K16" s="17"/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13"/>
      <c r="F17" s="21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24"/>
      <c r="F18" s="25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79">
        <f t="shared" ref="E19:E20" si="0">SUM(F19:AG19)</f>
        <v>0</v>
      </c>
      <c r="F19" s="21"/>
      <c r="G19" s="17"/>
      <c r="H19" s="21"/>
      <c r="I19" s="21"/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79">
        <f t="shared" si="0"/>
        <v>0</v>
      </c>
      <c r="F20" s="21"/>
      <c r="G20" s="17"/>
      <c r="H20" s="21"/>
      <c r="I20" s="21"/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13"/>
      <c r="F21" s="21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24"/>
      <c r="F22" s="25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79">
        <f>SUM(F23:AG23)</f>
        <v>0</v>
      </c>
      <c r="F23" s="21"/>
      <c r="G23" s="17"/>
      <c r="H23" s="21"/>
      <c r="I23" s="21"/>
      <c r="J23" s="21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13"/>
      <c r="F24" s="21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24"/>
      <c r="F25" s="25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79">
        <f t="shared" ref="E26:E30" si="1">SUM(F26:AG26)</f>
        <v>0</v>
      </c>
      <c r="F26" s="21"/>
      <c r="G26" s="17"/>
      <c r="H26" s="21"/>
      <c r="I26" s="21"/>
      <c r="J26" s="21"/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79">
        <f t="shared" si="1"/>
        <v>0</v>
      </c>
      <c r="F27" s="21"/>
      <c r="G27" s="17"/>
      <c r="H27" s="21"/>
      <c r="I27" s="21"/>
      <c r="J27" s="21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79">
        <f t="shared" si="1"/>
        <v>0</v>
      </c>
      <c r="F28" s="21"/>
      <c r="G28" s="17"/>
      <c r="H28" s="21"/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79">
        <f t="shared" si="1"/>
        <v>0</v>
      </c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79">
        <f t="shared" si="1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13"/>
      <c r="F31" s="21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24"/>
      <c r="F32" s="25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79">
        <f t="shared" ref="E33:E36" si="2">SUM(F33:AG33)</f>
        <v>0</v>
      </c>
      <c r="F33" s="61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61"/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79">
        <f t="shared" si="2"/>
        <v>0</v>
      </c>
      <c r="F34" s="61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62"/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79">
        <f t="shared" si="2"/>
        <v>0</v>
      </c>
      <c r="F35" s="61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61"/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79">
        <f t="shared" si="2"/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35">
        <f>SUM(F38:AG38)</f>
        <v>0</v>
      </c>
      <c r="F38" s="55">
        <f t="shared" ref="F38:AG38" si="3">SUM(F8:F37)</f>
        <v>0</v>
      </c>
      <c r="G38" s="55">
        <f t="shared" si="3"/>
        <v>0</v>
      </c>
      <c r="H38" s="55">
        <f t="shared" si="3"/>
        <v>0</v>
      </c>
      <c r="I38" s="55">
        <f t="shared" si="3"/>
        <v>0</v>
      </c>
      <c r="J38" s="55">
        <f t="shared" si="3"/>
        <v>0</v>
      </c>
      <c r="K38" s="55">
        <f t="shared" si="3"/>
        <v>0</v>
      </c>
      <c r="L38" s="55">
        <f t="shared" si="3"/>
        <v>0</v>
      </c>
      <c r="M38" s="55">
        <f t="shared" si="3"/>
        <v>0</v>
      </c>
      <c r="N38" s="55">
        <f t="shared" si="3"/>
        <v>0</v>
      </c>
      <c r="O38" s="55">
        <f t="shared" si="3"/>
        <v>0</v>
      </c>
      <c r="P38" s="55">
        <f t="shared" si="3"/>
        <v>0</v>
      </c>
      <c r="Q38" s="55">
        <f t="shared" si="3"/>
        <v>0</v>
      </c>
      <c r="R38" s="55">
        <f t="shared" si="3"/>
        <v>0</v>
      </c>
      <c r="S38" s="55">
        <f t="shared" si="3"/>
        <v>0</v>
      </c>
      <c r="T38" s="55">
        <f t="shared" si="3"/>
        <v>0</v>
      </c>
      <c r="U38" s="55">
        <f t="shared" si="3"/>
        <v>0</v>
      </c>
      <c r="V38" s="55">
        <f t="shared" si="3"/>
        <v>0</v>
      </c>
      <c r="W38" s="56">
        <f t="shared" si="3"/>
        <v>0</v>
      </c>
      <c r="X38" s="56">
        <f t="shared" si="3"/>
        <v>0</v>
      </c>
      <c r="Y38" s="55">
        <f t="shared" si="3"/>
        <v>0</v>
      </c>
      <c r="Z38" s="56">
        <f t="shared" si="3"/>
        <v>0</v>
      </c>
      <c r="AA38" s="55">
        <f t="shared" si="3"/>
        <v>0</v>
      </c>
      <c r="AB38" s="56">
        <f t="shared" si="3"/>
        <v>0</v>
      </c>
      <c r="AC38" s="55">
        <f t="shared" si="3"/>
        <v>0</v>
      </c>
      <c r="AD38" s="56">
        <f t="shared" si="3"/>
        <v>0</v>
      </c>
      <c r="AE38" s="55">
        <f t="shared" si="3"/>
        <v>0</v>
      </c>
      <c r="AF38" s="56">
        <f t="shared" si="3"/>
        <v>0</v>
      </c>
      <c r="AG38" s="55">
        <f t="shared" si="3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thickBot="1" x14ac:dyDescent="0.3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x14ac:dyDescent="0.25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4">F42+(F42*G40)</f>
        <v>35000000</v>
      </c>
      <c r="H42" s="40">
        <f t="shared" si="4"/>
        <v>35000000</v>
      </c>
      <c r="I42" s="40">
        <f t="shared" si="4"/>
        <v>35000000</v>
      </c>
      <c r="J42" s="40">
        <f t="shared" si="4"/>
        <v>35000000</v>
      </c>
      <c r="K42" s="40">
        <f t="shared" si="4"/>
        <v>35000000</v>
      </c>
      <c r="L42" s="40">
        <f t="shared" si="4"/>
        <v>35000000</v>
      </c>
      <c r="M42" s="40">
        <f t="shared" si="4"/>
        <v>35000000</v>
      </c>
      <c r="N42" s="40">
        <f t="shared" si="4"/>
        <v>35000000</v>
      </c>
      <c r="O42" s="40">
        <f t="shared" si="4"/>
        <v>35000000</v>
      </c>
      <c r="P42" s="40">
        <f t="shared" si="4"/>
        <v>35000000</v>
      </c>
      <c r="Q42" s="40">
        <f t="shared" si="4"/>
        <v>35000000</v>
      </c>
      <c r="R42" s="40">
        <f t="shared" si="4"/>
        <v>35000000</v>
      </c>
      <c r="S42" s="40">
        <f t="shared" si="4"/>
        <v>35000000</v>
      </c>
      <c r="T42" s="40">
        <f t="shared" si="4"/>
        <v>35000000</v>
      </c>
      <c r="U42" s="40">
        <f t="shared" si="4"/>
        <v>35000000</v>
      </c>
      <c r="V42" s="40">
        <f t="shared" si="4"/>
        <v>35000000</v>
      </c>
      <c r="W42" s="40">
        <f t="shared" si="4"/>
        <v>35000000</v>
      </c>
      <c r="X42" s="40">
        <f t="shared" si="4"/>
        <v>35000000</v>
      </c>
      <c r="Y42" s="40">
        <f t="shared" si="4"/>
        <v>35000000</v>
      </c>
      <c r="Z42" s="40">
        <f t="shared" si="4"/>
        <v>35000000</v>
      </c>
      <c r="AA42" s="40">
        <f t="shared" si="4"/>
        <v>35000000</v>
      </c>
      <c r="AB42" s="40">
        <f t="shared" si="4"/>
        <v>35000000</v>
      </c>
      <c r="AC42" s="40">
        <f t="shared" si="4"/>
        <v>35000000</v>
      </c>
      <c r="AD42" s="40">
        <f t="shared" si="4"/>
        <v>35000000</v>
      </c>
      <c r="AE42" s="40">
        <f t="shared" si="4"/>
        <v>35000000</v>
      </c>
      <c r="AF42" s="40">
        <f t="shared" si="4"/>
        <v>35000000</v>
      </c>
      <c r="AG42" s="40">
        <f t="shared" si="4"/>
        <v>35000000</v>
      </c>
    </row>
    <row r="43" spans="1:33" ht="15.75" hidden="1" customHeight="1" outlineLevel="1" x14ac:dyDescent="0.25"/>
    <row r="44" spans="1:33" ht="15.75" hidden="1" customHeight="1" outlineLevel="1" x14ac:dyDescent="0.25">
      <c r="A44" s="124" t="s">
        <v>34</v>
      </c>
      <c r="B44" s="121"/>
      <c r="C44" s="121"/>
      <c r="D44" s="121"/>
      <c r="E44" s="122"/>
      <c r="F44" s="41">
        <f t="shared" ref="F44:AG44" si="5">F38*F42</f>
        <v>0</v>
      </c>
      <c r="G44" s="41">
        <f t="shared" si="5"/>
        <v>0</v>
      </c>
      <c r="H44" s="41">
        <f t="shared" si="5"/>
        <v>0</v>
      </c>
      <c r="I44" s="41">
        <f t="shared" si="5"/>
        <v>0</v>
      </c>
      <c r="J44" s="41">
        <f t="shared" si="5"/>
        <v>0</v>
      </c>
      <c r="K44" s="41">
        <f t="shared" si="5"/>
        <v>0</v>
      </c>
      <c r="L44" s="41">
        <f t="shared" si="5"/>
        <v>0</v>
      </c>
      <c r="M44" s="41">
        <f t="shared" si="5"/>
        <v>0</v>
      </c>
      <c r="N44" s="41">
        <f t="shared" si="5"/>
        <v>0</v>
      </c>
      <c r="O44" s="41">
        <f t="shared" si="5"/>
        <v>0</v>
      </c>
      <c r="P44" s="41">
        <f t="shared" si="5"/>
        <v>0</v>
      </c>
      <c r="Q44" s="41">
        <f t="shared" si="5"/>
        <v>0</v>
      </c>
      <c r="R44" s="41">
        <f t="shared" si="5"/>
        <v>0</v>
      </c>
      <c r="S44" s="41">
        <f t="shared" si="5"/>
        <v>0</v>
      </c>
      <c r="T44" s="41">
        <f t="shared" si="5"/>
        <v>0</v>
      </c>
      <c r="U44" s="41">
        <f t="shared" si="5"/>
        <v>0</v>
      </c>
      <c r="V44" s="41">
        <f t="shared" si="5"/>
        <v>0</v>
      </c>
      <c r="W44" s="41">
        <f t="shared" si="5"/>
        <v>0</v>
      </c>
      <c r="X44" s="41">
        <f t="shared" si="5"/>
        <v>0</v>
      </c>
      <c r="Y44" s="41">
        <f t="shared" si="5"/>
        <v>0</v>
      </c>
      <c r="Z44" s="41">
        <f t="shared" si="5"/>
        <v>0</v>
      </c>
      <c r="AA44" s="41">
        <f t="shared" si="5"/>
        <v>0</v>
      </c>
      <c r="AB44" s="41">
        <f t="shared" si="5"/>
        <v>0</v>
      </c>
      <c r="AC44" s="41">
        <f t="shared" si="5"/>
        <v>0</v>
      </c>
      <c r="AD44" s="41">
        <f t="shared" si="5"/>
        <v>0</v>
      </c>
      <c r="AE44" s="41">
        <f t="shared" si="5"/>
        <v>0</v>
      </c>
      <c r="AF44" s="41">
        <f t="shared" si="5"/>
        <v>0</v>
      </c>
      <c r="AG44" s="41">
        <f t="shared" si="5"/>
        <v>0</v>
      </c>
    </row>
    <row r="45" spans="1:33" ht="15.75" hidden="1" customHeight="1" outlineLevel="1" x14ac:dyDescent="0.25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0</v>
      </c>
      <c r="G46" s="43">
        <f>G44-(G44*D4)</f>
        <v>0</v>
      </c>
      <c r="H46" s="43">
        <f>H44-(H44*D4)</f>
        <v>0</v>
      </c>
      <c r="I46" s="43">
        <f>I44-(I44*D4)</f>
        <v>0</v>
      </c>
      <c r="J46" s="43">
        <f>J44-(J44*D4)</f>
        <v>0</v>
      </c>
      <c r="K46" s="43">
        <f>K44-(K44*D4)</f>
        <v>0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thickBot="1" x14ac:dyDescent="0.3">
      <c r="A48" s="120" t="s">
        <v>36</v>
      </c>
      <c r="B48" s="121"/>
      <c r="C48" s="121"/>
      <c r="D48" s="121"/>
      <c r="E48" s="122"/>
      <c r="F48" s="45">
        <f>F42-F46-C4</f>
        <v>35000000</v>
      </c>
      <c r="G48" s="45">
        <f t="shared" ref="G48:AG48" si="6">(F48+(F48*G40))-G46</f>
        <v>35000000</v>
      </c>
      <c r="H48" s="46">
        <f t="shared" si="6"/>
        <v>35000000</v>
      </c>
      <c r="I48" s="46">
        <f t="shared" si="6"/>
        <v>35000000</v>
      </c>
      <c r="J48" s="45">
        <f t="shared" si="6"/>
        <v>35000000</v>
      </c>
      <c r="K48" s="45">
        <f t="shared" si="6"/>
        <v>35000000</v>
      </c>
      <c r="L48" s="45">
        <f t="shared" si="6"/>
        <v>35000000</v>
      </c>
      <c r="M48" s="45">
        <f t="shared" si="6"/>
        <v>35000000</v>
      </c>
      <c r="N48" s="45">
        <f t="shared" si="6"/>
        <v>35000000</v>
      </c>
      <c r="O48" s="45">
        <f t="shared" si="6"/>
        <v>35000000</v>
      </c>
      <c r="P48" s="45">
        <f t="shared" si="6"/>
        <v>35000000</v>
      </c>
      <c r="Q48" s="45">
        <f t="shared" si="6"/>
        <v>35000000</v>
      </c>
      <c r="R48" s="45">
        <f t="shared" si="6"/>
        <v>35000000</v>
      </c>
      <c r="S48" s="45">
        <f t="shared" si="6"/>
        <v>35000000</v>
      </c>
      <c r="T48" s="45">
        <f t="shared" si="6"/>
        <v>35000000</v>
      </c>
      <c r="U48" s="45">
        <f t="shared" si="6"/>
        <v>35000000</v>
      </c>
      <c r="V48" s="45">
        <f t="shared" si="6"/>
        <v>35000000</v>
      </c>
      <c r="W48" s="45">
        <f t="shared" si="6"/>
        <v>35000000</v>
      </c>
      <c r="X48" s="45">
        <f t="shared" si="6"/>
        <v>35000000</v>
      </c>
      <c r="Y48" s="45">
        <f t="shared" si="6"/>
        <v>35000000</v>
      </c>
      <c r="Z48" s="45">
        <f t="shared" si="6"/>
        <v>35000000</v>
      </c>
      <c r="AA48" s="45">
        <f t="shared" si="6"/>
        <v>35000000</v>
      </c>
      <c r="AB48" s="45">
        <f t="shared" si="6"/>
        <v>35000000</v>
      </c>
      <c r="AC48" s="45">
        <f t="shared" si="6"/>
        <v>35000000</v>
      </c>
      <c r="AD48" s="45">
        <f t="shared" si="6"/>
        <v>35000000</v>
      </c>
      <c r="AE48" s="45">
        <f t="shared" si="6"/>
        <v>35000000</v>
      </c>
      <c r="AF48" s="45">
        <f t="shared" si="6"/>
        <v>35000000</v>
      </c>
      <c r="AG48" s="45">
        <f t="shared" si="6"/>
        <v>35000000</v>
      </c>
    </row>
    <row r="49" spans="6:23" ht="15.75" customHeight="1" x14ac:dyDescent="0.25">
      <c r="L49" s="47"/>
      <c r="M49" s="48"/>
      <c r="N49" s="48"/>
      <c r="O49" s="47"/>
      <c r="P49" s="48"/>
      <c r="Q49" s="48"/>
      <c r="U49" s="48"/>
      <c r="W49" s="47"/>
    </row>
    <row r="50" spans="6:23" ht="15.75" customHeight="1" x14ac:dyDescent="0.25">
      <c r="F50" s="49"/>
      <c r="L50" s="47"/>
      <c r="M50" s="50"/>
      <c r="N50" s="50"/>
      <c r="O50" s="51"/>
      <c r="P50" s="52"/>
    </row>
    <row r="51" spans="6:23" ht="15.75" customHeight="1" x14ac:dyDescent="0.25">
      <c r="G51" s="44"/>
      <c r="H51" s="44"/>
      <c r="V51" s="44"/>
      <c r="W51" s="49"/>
    </row>
    <row r="52" spans="6:23" ht="15.75" customHeight="1" x14ac:dyDescent="0.25">
      <c r="F52" s="53"/>
      <c r="Q52" s="44"/>
      <c r="W52" s="53"/>
    </row>
    <row r="53" spans="6:23" ht="15.75" customHeight="1" x14ac:dyDescent="0.25">
      <c r="G53" s="49"/>
      <c r="H53" s="49"/>
      <c r="I53" s="11"/>
      <c r="J53" s="44"/>
      <c r="K53" s="53"/>
    </row>
    <row r="54" spans="6:23" ht="15.75" customHeight="1" x14ac:dyDescent="0.25">
      <c r="G54" s="54"/>
      <c r="H54" s="54"/>
      <c r="I54" s="11"/>
      <c r="J54" s="44"/>
    </row>
    <row r="55" spans="6:23" ht="15.75" customHeight="1" x14ac:dyDescent="0.25">
      <c r="G55" s="54"/>
      <c r="H55" s="54"/>
    </row>
    <row r="56" spans="6:23" ht="15.75" customHeight="1" x14ac:dyDescent="0.25">
      <c r="G56" s="54"/>
      <c r="H56" s="54"/>
    </row>
    <row r="57" spans="6:23" ht="15.75" customHeight="1" x14ac:dyDescent="0.25">
      <c r="G57" s="54"/>
      <c r="H57" s="54"/>
      <c r="J57" s="53"/>
    </row>
    <row r="58" spans="6:23" ht="15.75" customHeight="1" x14ac:dyDescent="0.25">
      <c r="G58" s="54"/>
      <c r="H58" s="54"/>
    </row>
    <row r="59" spans="6:23" ht="15.75" customHeight="1" x14ac:dyDescent="0.25">
      <c r="G59" s="54"/>
      <c r="H59" s="54"/>
    </row>
    <row r="60" spans="6:23" ht="15.75" customHeight="1" x14ac:dyDescent="0.25">
      <c r="G60" s="54"/>
      <c r="H60" s="54"/>
    </row>
    <row r="61" spans="6:23" ht="15.75" customHeight="1" x14ac:dyDescent="0.25">
      <c r="G61" s="54"/>
      <c r="H61" s="54"/>
    </row>
    <row r="62" spans="6:23" ht="15.75" customHeight="1" x14ac:dyDescent="0.25"/>
    <row r="63" spans="6:23" ht="15.75" customHeight="1" x14ac:dyDescent="0.25"/>
    <row r="64" spans="6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6"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  <mergeCell ref="J6:K6"/>
    <mergeCell ref="L6:M6"/>
    <mergeCell ref="N6:O6"/>
    <mergeCell ref="L5:M5"/>
    <mergeCell ref="N5:O5"/>
    <mergeCell ref="X5:Y5"/>
    <mergeCell ref="Z5:AA5"/>
    <mergeCell ref="AB5:AC5"/>
    <mergeCell ref="AD5:AE5"/>
    <mergeCell ref="AF5:AG5"/>
    <mergeCell ref="A46:E46"/>
    <mergeCell ref="A48:E48"/>
    <mergeCell ref="AB6:AC6"/>
    <mergeCell ref="AD6:AE6"/>
    <mergeCell ref="AF6:AG6"/>
    <mergeCell ref="A40:E40"/>
    <mergeCell ref="A42:E42"/>
    <mergeCell ref="A44:E44"/>
    <mergeCell ref="P6:Q6"/>
    <mergeCell ref="R6:S6"/>
    <mergeCell ref="T6:U6"/>
    <mergeCell ref="V6:W6"/>
    <mergeCell ref="X6:Y6"/>
    <mergeCell ref="Z6:AA6"/>
    <mergeCell ref="F6:G6"/>
    <mergeCell ref="H6:I6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zoomScaleNormal="100" workbookViewId="0">
      <pane xSplit="3" topLeftCell="E1" activePane="topRight" state="frozen"/>
      <selection pane="topRight" activeCell="F47" sqref="F4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>
        <v>0</v>
      </c>
      <c r="D4" s="57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05" t="s">
        <v>41</v>
      </c>
      <c r="G5" s="106"/>
      <c r="H5" s="105" t="s">
        <v>42</v>
      </c>
      <c r="I5" s="106"/>
      <c r="J5" s="105" t="s">
        <v>43</v>
      </c>
      <c r="K5" s="106"/>
      <c r="L5" s="105" t="s">
        <v>44</v>
      </c>
      <c r="M5" s="106"/>
      <c r="N5" s="105" t="s">
        <v>45</v>
      </c>
      <c r="O5" s="106"/>
      <c r="P5" s="105" t="s">
        <v>46</v>
      </c>
      <c r="Q5" s="106"/>
      <c r="R5" s="105" t="s">
        <v>47</v>
      </c>
      <c r="S5" s="106"/>
      <c r="T5" s="105" t="s">
        <v>48</v>
      </c>
      <c r="U5" s="106"/>
      <c r="V5" s="105" t="s">
        <v>37</v>
      </c>
      <c r="W5" s="106"/>
      <c r="X5" s="105" t="s">
        <v>38</v>
      </c>
      <c r="Y5" s="106"/>
      <c r="Z5" s="105" t="s">
        <v>39</v>
      </c>
      <c r="AA5" s="106"/>
      <c r="AB5" s="105" t="s">
        <v>40</v>
      </c>
      <c r="AC5" s="106"/>
      <c r="AD5" s="105" t="s">
        <v>41</v>
      </c>
      <c r="AE5" s="106"/>
      <c r="AF5" s="105" t="s">
        <v>42</v>
      </c>
      <c r="AG5" s="10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thickBot="1" x14ac:dyDescent="0.3">
      <c r="A7" s="7">
        <v>1</v>
      </c>
      <c r="B7" s="7" t="s">
        <v>50</v>
      </c>
      <c r="C7" s="8">
        <f>SUM(C8:C9)</f>
        <v>0.16999999999999998</v>
      </c>
      <c r="D7" s="58">
        <f>C7*C3</f>
        <v>5949999.9999999991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79">
        <f>SUM(F8:AG8)</f>
        <v>0</v>
      </c>
      <c r="F8" s="65"/>
      <c r="G8" s="66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79">
        <f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13"/>
      <c r="F10" s="21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24"/>
      <c r="F11" s="25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79">
        <f>SUM(F12:AG12)</f>
        <v>0</v>
      </c>
      <c r="F12" s="20"/>
      <c r="G12" s="47"/>
      <c r="H12" s="20"/>
      <c r="I12" s="21"/>
      <c r="J12" s="21"/>
      <c r="K12" s="15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24"/>
      <c r="F14" s="25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79">
        <f t="shared" ref="E15:E16" si="0">SUM(F15:AG15)</f>
        <v>0</v>
      </c>
      <c r="F15" s="21"/>
      <c r="G15" s="67"/>
      <c r="H15" s="21"/>
      <c r="I15" s="21"/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79">
        <f t="shared" si="0"/>
        <v>0</v>
      </c>
      <c r="F16" s="21"/>
      <c r="G16" s="17"/>
      <c r="H16" s="21"/>
      <c r="I16" s="21"/>
      <c r="J16" s="21"/>
      <c r="K16" s="17"/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13"/>
      <c r="F17" s="21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24"/>
      <c r="F18" s="25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79">
        <f t="shared" ref="E19:E20" si="1">SUM(F19:AG19)</f>
        <v>0</v>
      </c>
      <c r="F19" s="21"/>
      <c r="G19" s="17"/>
      <c r="H19" s="21"/>
      <c r="I19" s="21"/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79">
        <f t="shared" si="1"/>
        <v>0</v>
      </c>
      <c r="F20" s="21"/>
      <c r="G20" s="17"/>
      <c r="H20" s="21"/>
      <c r="I20" s="21"/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13"/>
      <c r="F21" s="21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24"/>
      <c r="F22" s="25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79">
        <f>SUM(F23:AG23)</f>
        <v>0</v>
      </c>
      <c r="F23" s="21"/>
      <c r="G23" s="17"/>
      <c r="H23" s="21"/>
      <c r="I23" s="21"/>
      <c r="J23" s="21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13"/>
      <c r="F24" s="21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24"/>
      <c r="F25" s="25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79">
        <f t="shared" ref="E26:E30" si="2">SUM(F26:AG26)</f>
        <v>0</v>
      </c>
      <c r="F26" s="21"/>
      <c r="G26" s="17"/>
      <c r="H26" s="21"/>
      <c r="I26" s="21"/>
      <c r="J26" s="21"/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79">
        <f t="shared" si="2"/>
        <v>0</v>
      </c>
      <c r="F27" s="21"/>
      <c r="G27" s="17"/>
      <c r="H27" s="21"/>
      <c r="I27" s="21"/>
      <c r="J27" s="21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79">
        <f t="shared" si="2"/>
        <v>0</v>
      </c>
      <c r="F28" s="21"/>
      <c r="G28" s="17"/>
      <c r="H28" s="21"/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79">
        <f t="shared" si="2"/>
        <v>0</v>
      </c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79">
        <f t="shared" si="2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13"/>
      <c r="F31" s="21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24"/>
      <c r="F32" s="25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79">
        <f t="shared" ref="E33:E36" si="3">SUM(F33:AG33)</f>
        <v>0</v>
      </c>
      <c r="F33" s="61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61"/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79">
        <f t="shared" si="3"/>
        <v>0</v>
      </c>
      <c r="F34" s="61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62"/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79">
        <f t="shared" si="3"/>
        <v>0</v>
      </c>
      <c r="F35" s="61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61"/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79">
        <f t="shared" si="3"/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35">
        <f>SUM(F38:AG38)</f>
        <v>0</v>
      </c>
      <c r="F38" s="55">
        <f t="shared" ref="F38:AG38" si="4">SUM(F8:F37)</f>
        <v>0</v>
      </c>
      <c r="G38" s="55">
        <f t="shared" si="4"/>
        <v>0</v>
      </c>
      <c r="H38" s="55">
        <f t="shared" si="4"/>
        <v>0</v>
      </c>
      <c r="I38" s="55">
        <f t="shared" si="4"/>
        <v>0</v>
      </c>
      <c r="J38" s="55">
        <f t="shared" si="4"/>
        <v>0</v>
      </c>
      <c r="K38" s="55">
        <f t="shared" si="4"/>
        <v>0</v>
      </c>
      <c r="L38" s="55">
        <f t="shared" si="4"/>
        <v>0</v>
      </c>
      <c r="M38" s="55">
        <f t="shared" si="4"/>
        <v>0</v>
      </c>
      <c r="N38" s="55">
        <f t="shared" si="4"/>
        <v>0</v>
      </c>
      <c r="O38" s="55">
        <f t="shared" si="4"/>
        <v>0</v>
      </c>
      <c r="P38" s="55">
        <f t="shared" si="4"/>
        <v>0</v>
      </c>
      <c r="Q38" s="55">
        <f t="shared" si="4"/>
        <v>0</v>
      </c>
      <c r="R38" s="55">
        <f t="shared" si="4"/>
        <v>0</v>
      </c>
      <c r="S38" s="55">
        <f t="shared" si="4"/>
        <v>0</v>
      </c>
      <c r="T38" s="55">
        <f t="shared" si="4"/>
        <v>0</v>
      </c>
      <c r="U38" s="55">
        <f t="shared" si="4"/>
        <v>0</v>
      </c>
      <c r="V38" s="55">
        <f t="shared" si="4"/>
        <v>0</v>
      </c>
      <c r="W38" s="56">
        <f t="shared" si="4"/>
        <v>0</v>
      </c>
      <c r="X38" s="56">
        <f t="shared" si="4"/>
        <v>0</v>
      </c>
      <c r="Y38" s="55">
        <f t="shared" si="4"/>
        <v>0</v>
      </c>
      <c r="Z38" s="56">
        <f t="shared" si="4"/>
        <v>0</v>
      </c>
      <c r="AA38" s="55">
        <f t="shared" si="4"/>
        <v>0</v>
      </c>
      <c r="AB38" s="56">
        <f t="shared" si="4"/>
        <v>0</v>
      </c>
      <c r="AC38" s="55">
        <f t="shared" si="4"/>
        <v>0</v>
      </c>
      <c r="AD38" s="56">
        <f t="shared" si="4"/>
        <v>0</v>
      </c>
      <c r="AE38" s="55">
        <f t="shared" si="4"/>
        <v>0</v>
      </c>
      <c r="AF38" s="56">
        <f t="shared" si="4"/>
        <v>0</v>
      </c>
      <c r="AG38" s="55">
        <f t="shared" si="4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thickBot="1" x14ac:dyDescent="0.3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x14ac:dyDescent="0.25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5">F42+(F42*G40)</f>
        <v>35000000</v>
      </c>
      <c r="H42" s="40">
        <f t="shared" si="5"/>
        <v>35000000</v>
      </c>
      <c r="I42" s="40">
        <f t="shared" si="5"/>
        <v>35000000</v>
      </c>
      <c r="J42" s="40">
        <f t="shared" si="5"/>
        <v>35000000</v>
      </c>
      <c r="K42" s="40">
        <f t="shared" si="5"/>
        <v>35000000</v>
      </c>
      <c r="L42" s="40">
        <f t="shared" si="5"/>
        <v>35000000</v>
      </c>
      <c r="M42" s="40">
        <f t="shared" si="5"/>
        <v>35000000</v>
      </c>
      <c r="N42" s="40">
        <f t="shared" si="5"/>
        <v>35000000</v>
      </c>
      <c r="O42" s="40">
        <f t="shared" si="5"/>
        <v>35000000</v>
      </c>
      <c r="P42" s="40">
        <f t="shared" si="5"/>
        <v>35000000</v>
      </c>
      <c r="Q42" s="40">
        <f t="shared" si="5"/>
        <v>35000000</v>
      </c>
      <c r="R42" s="40">
        <f t="shared" si="5"/>
        <v>35000000</v>
      </c>
      <c r="S42" s="40">
        <f t="shared" si="5"/>
        <v>35000000</v>
      </c>
      <c r="T42" s="40">
        <f t="shared" si="5"/>
        <v>35000000</v>
      </c>
      <c r="U42" s="40">
        <f t="shared" si="5"/>
        <v>35000000</v>
      </c>
      <c r="V42" s="40">
        <f t="shared" si="5"/>
        <v>35000000</v>
      </c>
      <c r="W42" s="40">
        <f t="shared" si="5"/>
        <v>35000000</v>
      </c>
      <c r="X42" s="40">
        <f t="shared" si="5"/>
        <v>35000000</v>
      </c>
      <c r="Y42" s="40">
        <f t="shared" si="5"/>
        <v>35000000</v>
      </c>
      <c r="Z42" s="40">
        <f t="shared" si="5"/>
        <v>35000000</v>
      </c>
      <c r="AA42" s="40">
        <f t="shared" si="5"/>
        <v>35000000</v>
      </c>
      <c r="AB42" s="40">
        <f t="shared" si="5"/>
        <v>35000000</v>
      </c>
      <c r="AC42" s="40">
        <f t="shared" si="5"/>
        <v>35000000</v>
      </c>
      <c r="AD42" s="40">
        <f t="shared" si="5"/>
        <v>35000000</v>
      </c>
      <c r="AE42" s="40">
        <f t="shared" si="5"/>
        <v>35000000</v>
      </c>
      <c r="AF42" s="40">
        <f t="shared" si="5"/>
        <v>35000000</v>
      </c>
      <c r="AG42" s="40">
        <f t="shared" si="5"/>
        <v>35000000</v>
      </c>
    </row>
    <row r="43" spans="1:33" ht="15.75" hidden="1" customHeight="1" outlineLevel="1" x14ac:dyDescent="0.25"/>
    <row r="44" spans="1:33" ht="15.75" hidden="1" customHeight="1" outlineLevel="1" x14ac:dyDescent="0.25">
      <c r="A44" s="124" t="s">
        <v>34</v>
      </c>
      <c r="B44" s="121"/>
      <c r="C44" s="121"/>
      <c r="D44" s="121"/>
      <c r="E44" s="122"/>
      <c r="F44" s="41">
        <f t="shared" ref="F44:AG44" si="6">F38*F42</f>
        <v>0</v>
      </c>
      <c r="G44" s="41">
        <f t="shared" si="6"/>
        <v>0</v>
      </c>
      <c r="H44" s="41">
        <f t="shared" si="6"/>
        <v>0</v>
      </c>
      <c r="I44" s="41">
        <f t="shared" si="6"/>
        <v>0</v>
      </c>
      <c r="J44" s="41">
        <f t="shared" si="6"/>
        <v>0</v>
      </c>
      <c r="K44" s="41">
        <f t="shared" si="6"/>
        <v>0</v>
      </c>
      <c r="L44" s="41">
        <f t="shared" si="6"/>
        <v>0</v>
      </c>
      <c r="M44" s="41">
        <f t="shared" si="6"/>
        <v>0</v>
      </c>
      <c r="N44" s="41">
        <f t="shared" si="6"/>
        <v>0</v>
      </c>
      <c r="O44" s="41">
        <f t="shared" si="6"/>
        <v>0</v>
      </c>
      <c r="P44" s="41">
        <f t="shared" si="6"/>
        <v>0</v>
      </c>
      <c r="Q44" s="41">
        <f t="shared" si="6"/>
        <v>0</v>
      </c>
      <c r="R44" s="41">
        <f t="shared" si="6"/>
        <v>0</v>
      </c>
      <c r="S44" s="41">
        <f t="shared" si="6"/>
        <v>0</v>
      </c>
      <c r="T44" s="41">
        <f t="shared" si="6"/>
        <v>0</v>
      </c>
      <c r="U44" s="41">
        <f t="shared" si="6"/>
        <v>0</v>
      </c>
      <c r="V44" s="41">
        <f t="shared" si="6"/>
        <v>0</v>
      </c>
      <c r="W44" s="41">
        <f t="shared" si="6"/>
        <v>0</v>
      </c>
      <c r="X44" s="41">
        <f t="shared" si="6"/>
        <v>0</v>
      </c>
      <c r="Y44" s="41">
        <f t="shared" si="6"/>
        <v>0</v>
      </c>
      <c r="Z44" s="41">
        <f t="shared" si="6"/>
        <v>0</v>
      </c>
      <c r="AA44" s="41">
        <f t="shared" si="6"/>
        <v>0</v>
      </c>
      <c r="AB44" s="41">
        <f t="shared" si="6"/>
        <v>0</v>
      </c>
      <c r="AC44" s="41">
        <f t="shared" si="6"/>
        <v>0</v>
      </c>
      <c r="AD44" s="41">
        <f t="shared" si="6"/>
        <v>0</v>
      </c>
      <c r="AE44" s="41">
        <f t="shared" si="6"/>
        <v>0</v>
      </c>
      <c r="AF44" s="41">
        <f t="shared" si="6"/>
        <v>0</v>
      </c>
      <c r="AG44" s="41">
        <f t="shared" si="6"/>
        <v>0</v>
      </c>
    </row>
    <row r="45" spans="1:33" ht="15.75" hidden="1" customHeight="1" outlineLevel="1" x14ac:dyDescent="0.25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0</v>
      </c>
      <c r="G46" s="43">
        <f>G44-(G44*D4)</f>
        <v>0</v>
      </c>
      <c r="H46" s="43">
        <f>H44-(H44*D4)</f>
        <v>0</v>
      </c>
      <c r="I46" s="43">
        <f>I44-(I44*D4)</f>
        <v>0</v>
      </c>
      <c r="J46" s="43">
        <f>J44-(J44*D4)</f>
        <v>0</v>
      </c>
      <c r="K46" s="43">
        <f>K44-(K44*D4)</f>
        <v>0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thickBot="1" x14ac:dyDescent="0.3">
      <c r="A48" s="120" t="s">
        <v>36</v>
      </c>
      <c r="B48" s="121"/>
      <c r="C48" s="121"/>
      <c r="D48" s="121"/>
      <c r="E48" s="122"/>
      <c r="F48" s="45">
        <f>F42-F46-C4</f>
        <v>35000000</v>
      </c>
      <c r="G48" s="45">
        <f t="shared" ref="G48:AG48" si="7">(F48+(F48*G40))-G46</f>
        <v>35000000</v>
      </c>
      <c r="H48" s="46">
        <f t="shared" si="7"/>
        <v>35000000</v>
      </c>
      <c r="I48" s="46">
        <f t="shared" si="7"/>
        <v>35000000</v>
      </c>
      <c r="J48" s="45">
        <f t="shared" si="7"/>
        <v>35000000</v>
      </c>
      <c r="K48" s="45">
        <f t="shared" si="7"/>
        <v>35000000</v>
      </c>
      <c r="L48" s="45">
        <f t="shared" si="7"/>
        <v>35000000</v>
      </c>
      <c r="M48" s="45">
        <f t="shared" si="7"/>
        <v>35000000</v>
      </c>
      <c r="N48" s="45">
        <f t="shared" si="7"/>
        <v>35000000</v>
      </c>
      <c r="O48" s="45">
        <f t="shared" si="7"/>
        <v>35000000</v>
      </c>
      <c r="P48" s="45">
        <f t="shared" si="7"/>
        <v>35000000</v>
      </c>
      <c r="Q48" s="45">
        <f t="shared" si="7"/>
        <v>35000000</v>
      </c>
      <c r="R48" s="45">
        <f t="shared" si="7"/>
        <v>35000000</v>
      </c>
      <c r="S48" s="45">
        <f t="shared" si="7"/>
        <v>35000000</v>
      </c>
      <c r="T48" s="45">
        <f t="shared" si="7"/>
        <v>35000000</v>
      </c>
      <c r="U48" s="45">
        <f t="shared" si="7"/>
        <v>35000000</v>
      </c>
      <c r="V48" s="45">
        <f t="shared" si="7"/>
        <v>35000000</v>
      </c>
      <c r="W48" s="45">
        <f t="shared" si="7"/>
        <v>35000000</v>
      </c>
      <c r="X48" s="45">
        <f t="shared" si="7"/>
        <v>35000000</v>
      </c>
      <c r="Y48" s="45">
        <f t="shared" si="7"/>
        <v>35000000</v>
      </c>
      <c r="Z48" s="45">
        <f t="shared" si="7"/>
        <v>35000000</v>
      </c>
      <c r="AA48" s="45">
        <f t="shared" si="7"/>
        <v>35000000</v>
      </c>
      <c r="AB48" s="45">
        <f t="shared" si="7"/>
        <v>35000000</v>
      </c>
      <c r="AC48" s="45">
        <f t="shared" si="7"/>
        <v>35000000</v>
      </c>
      <c r="AD48" s="45">
        <f t="shared" si="7"/>
        <v>35000000</v>
      </c>
      <c r="AE48" s="45">
        <f t="shared" si="7"/>
        <v>35000000</v>
      </c>
      <c r="AF48" s="45">
        <f t="shared" si="7"/>
        <v>35000000</v>
      </c>
      <c r="AG48" s="45">
        <f t="shared" si="7"/>
        <v>35000000</v>
      </c>
    </row>
    <row r="49" spans="6:23" ht="15.75" customHeight="1" x14ac:dyDescent="0.25">
      <c r="L49" s="47"/>
      <c r="M49" s="48"/>
      <c r="N49" s="48"/>
      <c r="O49" s="47"/>
      <c r="P49" s="48"/>
      <c r="Q49" s="48"/>
      <c r="U49" s="48"/>
      <c r="W49" s="47"/>
    </row>
    <row r="50" spans="6:23" ht="15.75" customHeight="1" x14ac:dyDescent="0.25">
      <c r="F50" s="49"/>
      <c r="L50" s="47"/>
      <c r="M50" s="50"/>
      <c r="N50" s="50"/>
      <c r="O50" s="51"/>
      <c r="P50" s="52"/>
    </row>
    <row r="51" spans="6:23" ht="15.75" customHeight="1" x14ac:dyDescent="0.25">
      <c r="G51" s="44"/>
      <c r="H51" s="44"/>
      <c r="V51" s="44"/>
      <c r="W51" s="49"/>
    </row>
    <row r="52" spans="6:23" ht="15.75" customHeight="1" x14ac:dyDescent="0.25">
      <c r="F52" s="53"/>
      <c r="Q52" s="44"/>
      <c r="W52" s="53"/>
    </row>
    <row r="53" spans="6:23" ht="15.75" customHeight="1" x14ac:dyDescent="0.25">
      <c r="G53" s="49"/>
      <c r="H53" s="49"/>
      <c r="I53" s="11"/>
      <c r="J53" s="44"/>
      <c r="K53" s="53"/>
    </row>
    <row r="54" spans="6:23" ht="15.75" customHeight="1" x14ac:dyDescent="0.25">
      <c r="G54" s="54"/>
      <c r="H54" s="54"/>
      <c r="I54" s="11"/>
      <c r="J54" s="44"/>
    </row>
    <row r="55" spans="6:23" ht="15.75" customHeight="1" x14ac:dyDescent="0.25">
      <c r="G55" s="54"/>
      <c r="H55" s="54"/>
    </row>
    <row r="56" spans="6:23" ht="15.75" customHeight="1" x14ac:dyDescent="0.25">
      <c r="G56" s="54"/>
      <c r="H56" s="54"/>
    </row>
    <row r="57" spans="6:23" ht="15.75" customHeight="1" x14ac:dyDescent="0.25">
      <c r="G57" s="54"/>
      <c r="H57" s="54"/>
      <c r="J57" s="53"/>
    </row>
    <row r="58" spans="6:23" ht="15.75" customHeight="1" x14ac:dyDescent="0.25">
      <c r="G58" s="54"/>
      <c r="H58" s="54"/>
    </row>
    <row r="59" spans="6:23" ht="15.75" customHeight="1" x14ac:dyDescent="0.25">
      <c r="G59" s="54"/>
      <c r="H59" s="54"/>
    </row>
    <row r="60" spans="6:23" ht="15.75" customHeight="1" x14ac:dyDescent="0.25">
      <c r="G60" s="54"/>
      <c r="H60" s="54"/>
    </row>
    <row r="61" spans="6:23" ht="15.75" customHeight="1" x14ac:dyDescent="0.25">
      <c r="G61" s="54"/>
      <c r="H61" s="54"/>
    </row>
    <row r="62" spans="6:23" ht="15.75" customHeight="1" x14ac:dyDescent="0.25"/>
    <row r="63" spans="6:23" ht="15.75" customHeight="1" x14ac:dyDescent="0.25"/>
    <row r="64" spans="6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6"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  <mergeCell ref="J6:K6"/>
    <mergeCell ref="L6:M6"/>
    <mergeCell ref="N6:O6"/>
    <mergeCell ref="L5:M5"/>
    <mergeCell ref="N5:O5"/>
    <mergeCell ref="X5:Y5"/>
    <mergeCell ref="Z5:AA5"/>
    <mergeCell ref="AB5:AC5"/>
    <mergeCell ref="AD5:AE5"/>
    <mergeCell ref="AF5:AG5"/>
    <mergeCell ref="A46:E46"/>
    <mergeCell ref="A48:E48"/>
    <mergeCell ref="AB6:AC6"/>
    <mergeCell ref="AD6:AE6"/>
    <mergeCell ref="AF6:AG6"/>
    <mergeCell ref="A40:E40"/>
    <mergeCell ref="A42:E42"/>
    <mergeCell ref="A44:E44"/>
    <mergeCell ref="P6:Q6"/>
    <mergeCell ref="R6:S6"/>
    <mergeCell ref="T6:U6"/>
    <mergeCell ref="V6:W6"/>
    <mergeCell ref="X6:Y6"/>
    <mergeCell ref="Z6:AA6"/>
    <mergeCell ref="F6:G6"/>
    <mergeCell ref="H6:I6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zoomScaleNormal="100" workbookViewId="0">
      <pane xSplit="3" topLeftCell="D1" activePane="topRight" state="frozen"/>
      <selection pane="topRight" activeCell="B1" sqref="B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>
        <v>0</v>
      </c>
      <c r="D4" s="57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05" t="s">
        <v>44</v>
      </c>
      <c r="G5" s="106"/>
      <c r="H5" s="105" t="s">
        <v>45</v>
      </c>
      <c r="I5" s="105"/>
      <c r="J5" s="105" t="s">
        <v>46</v>
      </c>
      <c r="K5" s="105"/>
      <c r="L5" s="105" t="s">
        <v>47</v>
      </c>
      <c r="M5" s="105"/>
      <c r="N5" s="105" t="s">
        <v>48</v>
      </c>
      <c r="O5" s="106"/>
      <c r="P5" s="105" t="s">
        <v>37</v>
      </c>
      <c r="Q5" s="106"/>
      <c r="R5" s="105" t="s">
        <v>38</v>
      </c>
      <c r="S5" s="106"/>
      <c r="T5" s="105" t="s">
        <v>39</v>
      </c>
      <c r="U5" s="106"/>
      <c r="V5" s="105" t="s">
        <v>40</v>
      </c>
      <c r="W5" s="106"/>
      <c r="X5" s="105" t="s">
        <v>41</v>
      </c>
      <c r="Y5" s="106"/>
      <c r="Z5" s="105" t="s">
        <v>42</v>
      </c>
      <c r="AA5" s="106"/>
      <c r="AB5" s="105" t="s">
        <v>43</v>
      </c>
      <c r="AC5" s="106"/>
      <c r="AD5" s="105" t="s">
        <v>44</v>
      </c>
      <c r="AE5" s="106"/>
      <c r="AF5" s="105" t="s">
        <v>45</v>
      </c>
      <c r="AG5" s="10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thickBot="1" x14ac:dyDescent="0.3">
      <c r="A7" s="7">
        <v>1</v>
      </c>
      <c r="B7" s="7" t="s">
        <v>50</v>
      </c>
      <c r="C7" s="8">
        <f>SUM(C8:C9)</f>
        <v>0.16999999999999998</v>
      </c>
      <c r="D7" s="58">
        <f>C7*C3</f>
        <v>5949999.9999999991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79">
        <f>SUM(F8:AG8)</f>
        <v>0</v>
      </c>
      <c r="F8" s="65"/>
      <c r="G8" s="66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79">
        <f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13"/>
      <c r="F10" s="21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24"/>
      <c r="F11" s="25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79">
        <f>SUM(F12:AG12)</f>
        <v>0</v>
      </c>
      <c r="F12" s="20"/>
      <c r="G12" s="47"/>
      <c r="H12" s="20"/>
      <c r="I12" s="21"/>
      <c r="J12" s="21"/>
      <c r="K12" s="15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24"/>
      <c r="F14" s="25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79">
        <f t="shared" ref="E15:E16" si="0">SUM(F15:AG15)</f>
        <v>0</v>
      </c>
      <c r="F15" s="21"/>
      <c r="G15" s="67"/>
      <c r="H15" s="21"/>
      <c r="I15" s="21"/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79">
        <f t="shared" si="0"/>
        <v>0</v>
      </c>
      <c r="F16" s="21"/>
      <c r="G16" s="17"/>
      <c r="H16" s="21"/>
      <c r="I16" s="21"/>
      <c r="J16" s="21"/>
      <c r="K16" s="17"/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13"/>
      <c r="F17" s="21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24"/>
      <c r="F18" s="25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79">
        <f t="shared" ref="E19:E20" si="1">SUM(F19:AG19)</f>
        <v>0</v>
      </c>
      <c r="F19" s="21"/>
      <c r="G19" s="17"/>
      <c r="H19" s="21"/>
      <c r="I19" s="21"/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79">
        <f t="shared" si="1"/>
        <v>0</v>
      </c>
      <c r="F20" s="21"/>
      <c r="G20" s="17"/>
      <c r="H20" s="21"/>
      <c r="I20" s="21"/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13"/>
      <c r="F21" s="21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24"/>
      <c r="F22" s="25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79">
        <f>SUM(F23:AG23)</f>
        <v>0</v>
      </c>
      <c r="F23" s="21"/>
      <c r="G23" s="17"/>
      <c r="H23" s="21"/>
      <c r="I23" s="21"/>
      <c r="J23" s="21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13"/>
      <c r="F24" s="21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24"/>
      <c r="F25" s="25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79">
        <f t="shared" ref="E26:E30" si="2">SUM(F26:AG26)</f>
        <v>0</v>
      </c>
      <c r="F26" s="21"/>
      <c r="G26" s="17"/>
      <c r="H26" s="21"/>
      <c r="I26" s="21"/>
      <c r="J26" s="21"/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79">
        <f t="shared" si="2"/>
        <v>0</v>
      </c>
      <c r="F27" s="21"/>
      <c r="G27" s="17"/>
      <c r="H27" s="21"/>
      <c r="I27" s="21"/>
      <c r="J27" s="21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79">
        <f t="shared" si="2"/>
        <v>0</v>
      </c>
      <c r="F28" s="21"/>
      <c r="G28" s="17"/>
      <c r="H28" s="21"/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79">
        <f t="shared" si="2"/>
        <v>0</v>
      </c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79">
        <f t="shared" si="2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13"/>
      <c r="F31" s="21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24"/>
      <c r="F32" s="25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79">
        <f t="shared" ref="E33:E36" si="3">SUM(F33:AG33)</f>
        <v>0</v>
      </c>
      <c r="F33" s="61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61"/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79">
        <f t="shared" si="3"/>
        <v>0</v>
      </c>
      <c r="F34" s="61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62"/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79">
        <f t="shared" si="3"/>
        <v>0</v>
      </c>
      <c r="F35" s="61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61"/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79">
        <f t="shared" si="3"/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35">
        <f>SUM(F38:AG38)</f>
        <v>0</v>
      </c>
      <c r="F38" s="55">
        <f t="shared" ref="F38:AG38" si="4">SUM(F8:F37)</f>
        <v>0</v>
      </c>
      <c r="G38" s="55">
        <f t="shared" si="4"/>
        <v>0</v>
      </c>
      <c r="H38" s="55">
        <f t="shared" si="4"/>
        <v>0</v>
      </c>
      <c r="I38" s="55">
        <f t="shared" si="4"/>
        <v>0</v>
      </c>
      <c r="J38" s="55">
        <f t="shared" si="4"/>
        <v>0</v>
      </c>
      <c r="K38" s="55">
        <f t="shared" si="4"/>
        <v>0</v>
      </c>
      <c r="L38" s="55">
        <f t="shared" si="4"/>
        <v>0</v>
      </c>
      <c r="M38" s="55">
        <f t="shared" si="4"/>
        <v>0</v>
      </c>
      <c r="N38" s="55">
        <f t="shared" si="4"/>
        <v>0</v>
      </c>
      <c r="O38" s="55">
        <f t="shared" si="4"/>
        <v>0</v>
      </c>
      <c r="P38" s="55">
        <f t="shared" si="4"/>
        <v>0</v>
      </c>
      <c r="Q38" s="55">
        <f t="shared" si="4"/>
        <v>0</v>
      </c>
      <c r="R38" s="55">
        <f t="shared" si="4"/>
        <v>0</v>
      </c>
      <c r="S38" s="55">
        <f t="shared" si="4"/>
        <v>0</v>
      </c>
      <c r="T38" s="55">
        <f t="shared" si="4"/>
        <v>0</v>
      </c>
      <c r="U38" s="55">
        <f t="shared" si="4"/>
        <v>0</v>
      </c>
      <c r="V38" s="55">
        <f t="shared" si="4"/>
        <v>0</v>
      </c>
      <c r="W38" s="56">
        <f t="shared" si="4"/>
        <v>0</v>
      </c>
      <c r="X38" s="56">
        <f t="shared" si="4"/>
        <v>0</v>
      </c>
      <c r="Y38" s="55">
        <f t="shared" si="4"/>
        <v>0</v>
      </c>
      <c r="Z38" s="56">
        <f t="shared" si="4"/>
        <v>0</v>
      </c>
      <c r="AA38" s="55">
        <f t="shared" si="4"/>
        <v>0</v>
      </c>
      <c r="AB38" s="56">
        <f t="shared" si="4"/>
        <v>0</v>
      </c>
      <c r="AC38" s="55">
        <f t="shared" si="4"/>
        <v>0</v>
      </c>
      <c r="AD38" s="56">
        <f t="shared" si="4"/>
        <v>0</v>
      </c>
      <c r="AE38" s="55">
        <f t="shared" si="4"/>
        <v>0</v>
      </c>
      <c r="AF38" s="56">
        <f t="shared" si="4"/>
        <v>0</v>
      </c>
      <c r="AG38" s="55">
        <f t="shared" si="4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thickBot="1" x14ac:dyDescent="0.3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x14ac:dyDescent="0.25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5">F42+(F42*G40)</f>
        <v>35000000</v>
      </c>
      <c r="H42" s="40">
        <f t="shared" si="5"/>
        <v>35000000</v>
      </c>
      <c r="I42" s="40">
        <f t="shared" si="5"/>
        <v>35000000</v>
      </c>
      <c r="J42" s="40">
        <f t="shared" si="5"/>
        <v>35000000</v>
      </c>
      <c r="K42" s="40">
        <f t="shared" si="5"/>
        <v>35000000</v>
      </c>
      <c r="L42" s="40">
        <f t="shared" si="5"/>
        <v>35000000</v>
      </c>
      <c r="M42" s="40">
        <f t="shared" si="5"/>
        <v>35000000</v>
      </c>
      <c r="N42" s="40">
        <f t="shared" si="5"/>
        <v>35000000</v>
      </c>
      <c r="O42" s="40">
        <f t="shared" si="5"/>
        <v>35000000</v>
      </c>
      <c r="P42" s="40">
        <f t="shared" si="5"/>
        <v>35000000</v>
      </c>
      <c r="Q42" s="40">
        <f t="shared" si="5"/>
        <v>35000000</v>
      </c>
      <c r="R42" s="40">
        <f t="shared" si="5"/>
        <v>35000000</v>
      </c>
      <c r="S42" s="40">
        <f t="shared" si="5"/>
        <v>35000000</v>
      </c>
      <c r="T42" s="40">
        <f t="shared" si="5"/>
        <v>35000000</v>
      </c>
      <c r="U42" s="40">
        <f t="shared" si="5"/>
        <v>35000000</v>
      </c>
      <c r="V42" s="40">
        <f t="shared" si="5"/>
        <v>35000000</v>
      </c>
      <c r="W42" s="40">
        <f t="shared" si="5"/>
        <v>35000000</v>
      </c>
      <c r="X42" s="40">
        <f t="shared" si="5"/>
        <v>35000000</v>
      </c>
      <c r="Y42" s="40">
        <f t="shared" si="5"/>
        <v>35000000</v>
      </c>
      <c r="Z42" s="40">
        <f t="shared" si="5"/>
        <v>35000000</v>
      </c>
      <c r="AA42" s="40">
        <f t="shared" si="5"/>
        <v>35000000</v>
      </c>
      <c r="AB42" s="40">
        <f t="shared" si="5"/>
        <v>35000000</v>
      </c>
      <c r="AC42" s="40">
        <f t="shared" si="5"/>
        <v>35000000</v>
      </c>
      <c r="AD42" s="40">
        <f t="shared" si="5"/>
        <v>35000000</v>
      </c>
      <c r="AE42" s="40">
        <f t="shared" si="5"/>
        <v>35000000</v>
      </c>
      <c r="AF42" s="40">
        <f t="shared" si="5"/>
        <v>35000000</v>
      </c>
      <c r="AG42" s="40">
        <f t="shared" si="5"/>
        <v>35000000</v>
      </c>
    </row>
    <row r="43" spans="1:33" ht="15.75" hidden="1" customHeight="1" outlineLevel="1" x14ac:dyDescent="0.25"/>
    <row r="44" spans="1:33" ht="15.75" hidden="1" customHeight="1" outlineLevel="1" x14ac:dyDescent="0.25">
      <c r="A44" s="124" t="s">
        <v>34</v>
      </c>
      <c r="B44" s="121"/>
      <c r="C44" s="121"/>
      <c r="D44" s="121"/>
      <c r="E44" s="122"/>
      <c r="F44" s="41">
        <f t="shared" ref="F44:AG44" si="6">F38*F42</f>
        <v>0</v>
      </c>
      <c r="G44" s="41">
        <f t="shared" si="6"/>
        <v>0</v>
      </c>
      <c r="H44" s="41">
        <f t="shared" si="6"/>
        <v>0</v>
      </c>
      <c r="I44" s="41">
        <f t="shared" si="6"/>
        <v>0</v>
      </c>
      <c r="J44" s="41">
        <f t="shared" si="6"/>
        <v>0</v>
      </c>
      <c r="K44" s="41">
        <f t="shared" si="6"/>
        <v>0</v>
      </c>
      <c r="L44" s="41">
        <f t="shared" si="6"/>
        <v>0</v>
      </c>
      <c r="M44" s="41">
        <f t="shared" si="6"/>
        <v>0</v>
      </c>
      <c r="N44" s="41">
        <f t="shared" si="6"/>
        <v>0</v>
      </c>
      <c r="O44" s="41">
        <f t="shared" si="6"/>
        <v>0</v>
      </c>
      <c r="P44" s="41">
        <f t="shared" si="6"/>
        <v>0</v>
      </c>
      <c r="Q44" s="41">
        <f t="shared" si="6"/>
        <v>0</v>
      </c>
      <c r="R44" s="41">
        <f t="shared" si="6"/>
        <v>0</v>
      </c>
      <c r="S44" s="41">
        <f t="shared" si="6"/>
        <v>0</v>
      </c>
      <c r="T44" s="41">
        <f t="shared" si="6"/>
        <v>0</v>
      </c>
      <c r="U44" s="41">
        <f t="shared" si="6"/>
        <v>0</v>
      </c>
      <c r="V44" s="41">
        <f t="shared" si="6"/>
        <v>0</v>
      </c>
      <c r="W44" s="41">
        <f t="shared" si="6"/>
        <v>0</v>
      </c>
      <c r="X44" s="41">
        <f t="shared" si="6"/>
        <v>0</v>
      </c>
      <c r="Y44" s="41">
        <f t="shared" si="6"/>
        <v>0</v>
      </c>
      <c r="Z44" s="41">
        <f t="shared" si="6"/>
        <v>0</v>
      </c>
      <c r="AA44" s="41">
        <f t="shared" si="6"/>
        <v>0</v>
      </c>
      <c r="AB44" s="41">
        <f t="shared" si="6"/>
        <v>0</v>
      </c>
      <c r="AC44" s="41">
        <f t="shared" si="6"/>
        <v>0</v>
      </c>
      <c r="AD44" s="41">
        <f t="shared" si="6"/>
        <v>0</v>
      </c>
      <c r="AE44" s="41">
        <f t="shared" si="6"/>
        <v>0</v>
      </c>
      <c r="AF44" s="41">
        <f t="shared" si="6"/>
        <v>0</v>
      </c>
      <c r="AG44" s="41">
        <f t="shared" si="6"/>
        <v>0</v>
      </c>
    </row>
    <row r="45" spans="1:33" ht="15.75" hidden="1" customHeight="1" outlineLevel="1" x14ac:dyDescent="0.25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0</v>
      </c>
      <c r="G46" s="43">
        <f>G44-(G44*D4)</f>
        <v>0</v>
      </c>
      <c r="H46" s="43">
        <f>H44-(H44*D4)</f>
        <v>0</v>
      </c>
      <c r="I46" s="43">
        <f>I44-(I44*D4)</f>
        <v>0</v>
      </c>
      <c r="J46" s="43">
        <f>J44-(J44*D4)</f>
        <v>0</v>
      </c>
      <c r="K46" s="43">
        <f>K44-(K44*D4)</f>
        <v>0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thickBot="1" x14ac:dyDescent="0.3">
      <c r="A48" s="120" t="s">
        <v>36</v>
      </c>
      <c r="B48" s="121"/>
      <c r="C48" s="121"/>
      <c r="D48" s="121"/>
      <c r="E48" s="122"/>
      <c r="F48" s="45">
        <f>F42-F46-C4</f>
        <v>35000000</v>
      </c>
      <c r="G48" s="45">
        <f t="shared" ref="G48:AG48" si="7">(F48+(F48*G40))-G46</f>
        <v>35000000</v>
      </c>
      <c r="H48" s="46">
        <f t="shared" si="7"/>
        <v>35000000</v>
      </c>
      <c r="I48" s="46">
        <f t="shared" si="7"/>
        <v>35000000</v>
      </c>
      <c r="J48" s="45">
        <f t="shared" si="7"/>
        <v>35000000</v>
      </c>
      <c r="K48" s="45">
        <f t="shared" si="7"/>
        <v>35000000</v>
      </c>
      <c r="L48" s="45">
        <f t="shared" si="7"/>
        <v>35000000</v>
      </c>
      <c r="M48" s="45">
        <f t="shared" si="7"/>
        <v>35000000</v>
      </c>
      <c r="N48" s="45">
        <f t="shared" si="7"/>
        <v>35000000</v>
      </c>
      <c r="O48" s="45">
        <f t="shared" si="7"/>
        <v>35000000</v>
      </c>
      <c r="P48" s="45">
        <f t="shared" si="7"/>
        <v>35000000</v>
      </c>
      <c r="Q48" s="45">
        <f t="shared" si="7"/>
        <v>35000000</v>
      </c>
      <c r="R48" s="45">
        <f t="shared" si="7"/>
        <v>35000000</v>
      </c>
      <c r="S48" s="45">
        <f t="shared" si="7"/>
        <v>35000000</v>
      </c>
      <c r="T48" s="45">
        <f t="shared" si="7"/>
        <v>35000000</v>
      </c>
      <c r="U48" s="45">
        <f t="shared" si="7"/>
        <v>35000000</v>
      </c>
      <c r="V48" s="45">
        <f t="shared" si="7"/>
        <v>35000000</v>
      </c>
      <c r="W48" s="45">
        <f t="shared" si="7"/>
        <v>35000000</v>
      </c>
      <c r="X48" s="45">
        <f t="shared" si="7"/>
        <v>35000000</v>
      </c>
      <c r="Y48" s="45">
        <f t="shared" si="7"/>
        <v>35000000</v>
      </c>
      <c r="Z48" s="45">
        <f t="shared" si="7"/>
        <v>35000000</v>
      </c>
      <c r="AA48" s="45">
        <f t="shared" si="7"/>
        <v>35000000</v>
      </c>
      <c r="AB48" s="45">
        <f t="shared" si="7"/>
        <v>35000000</v>
      </c>
      <c r="AC48" s="45">
        <f t="shared" si="7"/>
        <v>35000000</v>
      </c>
      <c r="AD48" s="45">
        <f t="shared" si="7"/>
        <v>35000000</v>
      </c>
      <c r="AE48" s="45">
        <f t="shared" si="7"/>
        <v>35000000</v>
      </c>
      <c r="AF48" s="45">
        <f t="shared" si="7"/>
        <v>35000000</v>
      </c>
      <c r="AG48" s="45">
        <f t="shared" si="7"/>
        <v>35000000</v>
      </c>
    </row>
    <row r="49" spans="6:23" ht="15.75" customHeight="1" x14ac:dyDescent="0.25">
      <c r="L49" s="47"/>
      <c r="M49" s="48"/>
      <c r="N49" s="48"/>
      <c r="O49" s="47"/>
      <c r="P49" s="48"/>
      <c r="Q49" s="48"/>
      <c r="U49" s="48"/>
      <c r="W49" s="47"/>
    </row>
    <row r="50" spans="6:23" ht="15.75" customHeight="1" x14ac:dyDescent="0.25">
      <c r="F50" s="49"/>
      <c r="L50" s="47"/>
      <c r="M50" s="50"/>
      <c r="N50" s="50"/>
      <c r="O50" s="51"/>
      <c r="P50" s="52"/>
    </row>
    <row r="51" spans="6:23" ht="15.75" customHeight="1" x14ac:dyDescent="0.25">
      <c r="G51" s="44"/>
      <c r="H51" s="44"/>
      <c r="V51" s="44"/>
      <c r="W51" s="49"/>
    </row>
    <row r="52" spans="6:23" ht="15.75" customHeight="1" x14ac:dyDescent="0.25">
      <c r="F52" s="53"/>
      <c r="Q52" s="44"/>
      <c r="W52" s="53"/>
    </row>
    <row r="53" spans="6:23" ht="15.75" customHeight="1" x14ac:dyDescent="0.25">
      <c r="G53" s="49"/>
      <c r="H53" s="49"/>
      <c r="I53" s="11"/>
      <c r="J53" s="44"/>
      <c r="K53" s="53"/>
    </row>
    <row r="54" spans="6:23" ht="15.75" customHeight="1" x14ac:dyDescent="0.25">
      <c r="G54" s="54"/>
      <c r="H54" s="54"/>
      <c r="I54" s="11"/>
      <c r="J54" s="44"/>
    </row>
    <row r="55" spans="6:23" ht="15.75" customHeight="1" x14ac:dyDescent="0.25">
      <c r="G55" s="54"/>
      <c r="H55" s="54"/>
    </row>
    <row r="56" spans="6:23" ht="15.75" customHeight="1" x14ac:dyDescent="0.25">
      <c r="G56" s="54"/>
      <c r="H56" s="54"/>
    </row>
    <row r="57" spans="6:23" ht="15.75" customHeight="1" x14ac:dyDescent="0.25">
      <c r="G57" s="54"/>
      <c r="H57" s="54"/>
      <c r="J57" s="53"/>
    </row>
    <row r="58" spans="6:23" ht="15.75" customHeight="1" x14ac:dyDescent="0.25">
      <c r="G58" s="54"/>
      <c r="H58" s="54"/>
    </row>
    <row r="59" spans="6:23" ht="15.75" customHeight="1" x14ac:dyDescent="0.25">
      <c r="G59" s="54"/>
      <c r="H59" s="54"/>
    </row>
    <row r="60" spans="6:23" ht="15.75" customHeight="1" x14ac:dyDescent="0.25">
      <c r="G60" s="54"/>
      <c r="H60" s="54"/>
    </row>
    <row r="61" spans="6:23" ht="15.75" customHeight="1" x14ac:dyDescent="0.25">
      <c r="G61" s="54"/>
      <c r="H61" s="54"/>
    </row>
    <row r="62" spans="6:23" ht="15.75" customHeight="1" x14ac:dyDescent="0.25"/>
    <row r="63" spans="6:23" ht="15.75" customHeight="1" x14ac:dyDescent="0.25"/>
    <row r="64" spans="6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6"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  <mergeCell ref="J6:K6"/>
    <mergeCell ref="L6:M6"/>
    <mergeCell ref="N6:O6"/>
    <mergeCell ref="L5:M5"/>
    <mergeCell ref="N5:O5"/>
    <mergeCell ref="X5:Y5"/>
    <mergeCell ref="Z5:AA5"/>
    <mergeCell ref="AB5:AC5"/>
    <mergeCell ref="AD5:AE5"/>
    <mergeCell ref="AF5:AG5"/>
    <mergeCell ref="A46:E46"/>
    <mergeCell ref="A48:E48"/>
    <mergeCell ref="AB6:AC6"/>
    <mergeCell ref="AD6:AE6"/>
    <mergeCell ref="AF6:AG6"/>
    <mergeCell ref="A40:E40"/>
    <mergeCell ref="A42:E42"/>
    <mergeCell ref="A44:E44"/>
    <mergeCell ref="P6:Q6"/>
    <mergeCell ref="R6:S6"/>
    <mergeCell ref="T6:U6"/>
    <mergeCell ref="V6:W6"/>
    <mergeCell ref="X6:Y6"/>
    <mergeCell ref="Z6:AA6"/>
    <mergeCell ref="F6:G6"/>
    <mergeCell ref="H6:I6"/>
  </mergeCells>
  <phoneticPr fontId="24" type="noConversion"/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zoomScaleNormal="100" workbookViewId="0">
      <pane xSplit="3" topLeftCell="E1" activePane="topRight" state="frozen"/>
      <selection pane="topRight" activeCell="B1" sqref="B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>
        <v>0</v>
      </c>
      <c r="D4" s="57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05" t="s">
        <v>44</v>
      </c>
      <c r="G5" s="106"/>
      <c r="H5" s="105" t="s">
        <v>45</v>
      </c>
      <c r="I5" s="106"/>
      <c r="J5" s="105" t="s">
        <v>46</v>
      </c>
      <c r="K5" s="106"/>
      <c r="L5" s="105" t="s">
        <v>47</v>
      </c>
      <c r="M5" s="106"/>
      <c r="N5" s="105" t="s">
        <v>48</v>
      </c>
      <c r="O5" s="106"/>
      <c r="P5" s="105" t="s">
        <v>37</v>
      </c>
      <c r="Q5" s="106"/>
      <c r="R5" s="105" t="s">
        <v>38</v>
      </c>
      <c r="S5" s="106"/>
      <c r="T5" s="105" t="s">
        <v>39</v>
      </c>
      <c r="U5" s="106"/>
      <c r="V5" s="105" t="s">
        <v>40</v>
      </c>
      <c r="W5" s="106"/>
      <c r="X5" s="105" t="s">
        <v>41</v>
      </c>
      <c r="Y5" s="106"/>
      <c r="Z5" s="105" t="s">
        <v>42</v>
      </c>
      <c r="AA5" s="106"/>
      <c r="AB5" s="105" t="s">
        <v>43</v>
      </c>
      <c r="AC5" s="106"/>
      <c r="AD5" s="105" t="s">
        <v>44</v>
      </c>
      <c r="AE5" s="106"/>
      <c r="AF5" s="105" t="s">
        <v>45</v>
      </c>
      <c r="AG5" s="10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thickBot="1" x14ac:dyDescent="0.3">
      <c r="A7" s="7">
        <v>1</v>
      </c>
      <c r="B7" s="7" t="s">
        <v>50</v>
      </c>
      <c r="C7" s="8">
        <f>SUM(C8:C9)</f>
        <v>0.16999999999999998</v>
      </c>
      <c r="D7" s="58">
        <f>C7*C3</f>
        <v>5949999.9999999991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79">
        <f>SUM(F8:AG8)</f>
        <v>0</v>
      </c>
      <c r="F8" s="65"/>
      <c r="G8" s="66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79">
        <f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13"/>
      <c r="F10" s="21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24"/>
      <c r="F11" s="25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79">
        <f>SUM(F12:AG12)</f>
        <v>0</v>
      </c>
      <c r="F12" s="20"/>
      <c r="G12" s="47"/>
      <c r="H12" s="20"/>
      <c r="I12" s="21"/>
      <c r="J12" s="21"/>
      <c r="K12" s="15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24"/>
      <c r="F14" s="25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79">
        <f t="shared" ref="E15:E16" si="0">SUM(F15:AG15)</f>
        <v>0</v>
      </c>
      <c r="F15" s="21"/>
      <c r="G15" s="67"/>
      <c r="H15" s="21"/>
      <c r="I15" s="21"/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79">
        <f t="shared" si="0"/>
        <v>0</v>
      </c>
      <c r="F16" s="21"/>
      <c r="G16" s="17"/>
      <c r="H16" s="21"/>
      <c r="I16" s="21"/>
      <c r="J16" s="21"/>
      <c r="K16" s="17"/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13"/>
      <c r="F17" s="21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24"/>
      <c r="F18" s="25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79">
        <f t="shared" ref="E19:E20" si="1">SUM(F19:AG19)</f>
        <v>0</v>
      </c>
      <c r="F19" s="21"/>
      <c r="G19" s="17"/>
      <c r="H19" s="21"/>
      <c r="I19" s="21"/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79">
        <f t="shared" si="1"/>
        <v>0</v>
      </c>
      <c r="F20" s="21"/>
      <c r="G20" s="17"/>
      <c r="H20" s="21"/>
      <c r="I20" s="21"/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13"/>
      <c r="F21" s="21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24"/>
      <c r="F22" s="25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79">
        <f>SUM(F23:AG23)</f>
        <v>0</v>
      </c>
      <c r="F23" s="21"/>
      <c r="G23" s="17"/>
      <c r="H23" s="21"/>
      <c r="I23" s="21"/>
      <c r="J23" s="21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13"/>
      <c r="F24" s="21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24"/>
      <c r="F25" s="25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79">
        <f t="shared" ref="E26:E30" si="2">SUM(F26:AG26)</f>
        <v>0</v>
      </c>
      <c r="F26" s="21"/>
      <c r="G26" s="17"/>
      <c r="H26" s="21"/>
      <c r="I26" s="21"/>
      <c r="J26" s="21"/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79">
        <f t="shared" si="2"/>
        <v>0</v>
      </c>
      <c r="F27" s="21"/>
      <c r="G27" s="17"/>
      <c r="H27" s="21"/>
      <c r="I27" s="21"/>
      <c r="J27" s="21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79">
        <f t="shared" si="2"/>
        <v>0</v>
      </c>
      <c r="F28" s="21"/>
      <c r="G28" s="17"/>
      <c r="H28" s="21"/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79">
        <f t="shared" si="2"/>
        <v>0</v>
      </c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79">
        <f t="shared" si="2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13"/>
      <c r="F31" s="21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24"/>
      <c r="F32" s="25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79">
        <f t="shared" ref="E33:E36" si="3">SUM(F33:AG33)</f>
        <v>0</v>
      </c>
      <c r="F33" s="61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61"/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79">
        <f t="shared" si="3"/>
        <v>0</v>
      </c>
      <c r="F34" s="61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62"/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79">
        <f t="shared" si="3"/>
        <v>0</v>
      </c>
      <c r="F35" s="61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61"/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79">
        <f t="shared" si="3"/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35">
        <f>SUM(F38:AG38)</f>
        <v>0</v>
      </c>
      <c r="F38" s="55">
        <f t="shared" ref="F38:AG38" si="4">SUM(F8:F37)</f>
        <v>0</v>
      </c>
      <c r="G38" s="55">
        <f t="shared" si="4"/>
        <v>0</v>
      </c>
      <c r="H38" s="55">
        <f t="shared" si="4"/>
        <v>0</v>
      </c>
      <c r="I38" s="55">
        <f t="shared" si="4"/>
        <v>0</v>
      </c>
      <c r="J38" s="55">
        <f t="shared" si="4"/>
        <v>0</v>
      </c>
      <c r="K38" s="55">
        <f t="shared" si="4"/>
        <v>0</v>
      </c>
      <c r="L38" s="55">
        <f t="shared" si="4"/>
        <v>0</v>
      </c>
      <c r="M38" s="55">
        <f t="shared" si="4"/>
        <v>0</v>
      </c>
      <c r="N38" s="55">
        <f t="shared" si="4"/>
        <v>0</v>
      </c>
      <c r="O38" s="55">
        <f t="shared" si="4"/>
        <v>0</v>
      </c>
      <c r="P38" s="55">
        <f t="shared" si="4"/>
        <v>0</v>
      </c>
      <c r="Q38" s="55">
        <f t="shared" si="4"/>
        <v>0</v>
      </c>
      <c r="R38" s="55">
        <f t="shared" si="4"/>
        <v>0</v>
      </c>
      <c r="S38" s="55">
        <f t="shared" si="4"/>
        <v>0</v>
      </c>
      <c r="T38" s="55">
        <f t="shared" si="4"/>
        <v>0</v>
      </c>
      <c r="U38" s="55">
        <f t="shared" si="4"/>
        <v>0</v>
      </c>
      <c r="V38" s="55">
        <f t="shared" si="4"/>
        <v>0</v>
      </c>
      <c r="W38" s="56">
        <f t="shared" si="4"/>
        <v>0</v>
      </c>
      <c r="X38" s="56">
        <f t="shared" si="4"/>
        <v>0</v>
      </c>
      <c r="Y38" s="55">
        <f t="shared" si="4"/>
        <v>0</v>
      </c>
      <c r="Z38" s="56">
        <f t="shared" si="4"/>
        <v>0</v>
      </c>
      <c r="AA38" s="55">
        <f t="shared" si="4"/>
        <v>0</v>
      </c>
      <c r="AB38" s="56">
        <f t="shared" si="4"/>
        <v>0</v>
      </c>
      <c r="AC38" s="55">
        <f t="shared" si="4"/>
        <v>0</v>
      </c>
      <c r="AD38" s="56">
        <f t="shared" si="4"/>
        <v>0</v>
      </c>
      <c r="AE38" s="55">
        <f t="shared" si="4"/>
        <v>0</v>
      </c>
      <c r="AF38" s="56">
        <f t="shared" si="4"/>
        <v>0</v>
      </c>
      <c r="AG38" s="55">
        <f t="shared" si="4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thickBot="1" x14ac:dyDescent="0.3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x14ac:dyDescent="0.25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5">F42+(F42*G40)</f>
        <v>35000000</v>
      </c>
      <c r="H42" s="40">
        <f t="shared" si="5"/>
        <v>35000000</v>
      </c>
      <c r="I42" s="40">
        <f t="shared" si="5"/>
        <v>35000000</v>
      </c>
      <c r="J42" s="40">
        <f t="shared" si="5"/>
        <v>35000000</v>
      </c>
      <c r="K42" s="40">
        <f t="shared" si="5"/>
        <v>35000000</v>
      </c>
      <c r="L42" s="40">
        <f t="shared" si="5"/>
        <v>35000000</v>
      </c>
      <c r="M42" s="40">
        <f t="shared" si="5"/>
        <v>35000000</v>
      </c>
      <c r="N42" s="40">
        <f t="shared" si="5"/>
        <v>35000000</v>
      </c>
      <c r="O42" s="40">
        <f t="shared" si="5"/>
        <v>35000000</v>
      </c>
      <c r="P42" s="40">
        <f t="shared" si="5"/>
        <v>35000000</v>
      </c>
      <c r="Q42" s="40">
        <f t="shared" si="5"/>
        <v>35000000</v>
      </c>
      <c r="R42" s="40">
        <f t="shared" si="5"/>
        <v>35000000</v>
      </c>
      <c r="S42" s="40">
        <f t="shared" si="5"/>
        <v>35000000</v>
      </c>
      <c r="T42" s="40">
        <f t="shared" si="5"/>
        <v>35000000</v>
      </c>
      <c r="U42" s="40">
        <f t="shared" si="5"/>
        <v>35000000</v>
      </c>
      <c r="V42" s="40">
        <f t="shared" si="5"/>
        <v>35000000</v>
      </c>
      <c r="W42" s="40">
        <f t="shared" si="5"/>
        <v>35000000</v>
      </c>
      <c r="X42" s="40">
        <f t="shared" si="5"/>
        <v>35000000</v>
      </c>
      <c r="Y42" s="40">
        <f t="shared" si="5"/>
        <v>35000000</v>
      </c>
      <c r="Z42" s="40">
        <f t="shared" si="5"/>
        <v>35000000</v>
      </c>
      <c r="AA42" s="40">
        <f t="shared" si="5"/>
        <v>35000000</v>
      </c>
      <c r="AB42" s="40">
        <f t="shared" si="5"/>
        <v>35000000</v>
      </c>
      <c r="AC42" s="40">
        <f t="shared" si="5"/>
        <v>35000000</v>
      </c>
      <c r="AD42" s="40">
        <f t="shared" si="5"/>
        <v>35000000</v>
      </c>
      <c r="AE42" s="40">
        <f t="shared" si="5"/>
        <v>35000000</v>
      </c>
      <c r="AF42" s="40">
        <f t="shared" si="5"/>
        <v>35000000</v>
      </c>
      <c r="AG42" s="40">
        <f t="shared" si="5"/>
        <v>35000000</v>
      </c>
    </row>
    <row r="43" spans="1:33" ht="15.75" hidden="1" customHeight="1" outlineLevel="1" x14ac:dyDescent="0.25"/>
    <row r="44" spans="1:33" ht="15.75" hidden="1" customHeight="1" outlineLevel="1" x14ac:dyDescent="0.25">
      <c r="A44" s="124" t="s">
        <v>34</v>
      </c>
      <c r="B44" s="121"/>
      <c r="C44" s="121"/>
      <c r="D44" s="121"/>
      <c r="E44" s="122"/>
      <c r="F44" s="41">
        <f t="shared" ref="F44:AG44" si="6">F38*F42</f>
        <v>0</v>
      </c>
      <c r="G44" s="41">
        <f t="shared" si="6"/>
        <v>0</v>
      </c>
      <c r="H44" s="41">
        <f t="shared" si="6"/>
        <v>0</v>
      </c>
      <c r="I44" s="41">
        <f t="shared" si="6"/>
        <v>0</v>
      </c>
      <c r="J44" s="41">
        <f t="shared" si="6"/>
        <v>0</v>
      </c>
      <c r="K44" s="41">
        <f t="shared" si="6"/>
        <v>0</v>
      </c>
      <c r="L44" s="41">
        <f t="shared" si="6"/>
        <v>0</v>
      </c>
      <c r="M44" s="41">
        <f t="shared" si="6"/>
        <v>0</v>
      </c>
      <c r="N44" s="41">
        <f t="shared" si="6"/>
        <v>0</v>
      </c>
      <c r="O44" s="41">
        <f t="shared" si="6"/>
        <v>0</v>
      </c>
      <c r="P44" s="41">
        <f t="shared" si="6"/>
        <v>0</v>
      </c>
      <c r="Q44" s="41">
        <f t="shared" si="6"/>
        <v>0</v>
      </c>
      <c r="R44" s="41">
        <f t="shared" si="6"/>
        <v>0</v>
      </c>
      <c r="S44" s="41">
        <f t="shared" si="6"/>
        <v>0</v>
      </c>
      <c r="T44" s="41">
        <f t="shared" si="6"/>
        <v>0</v>
      </c>
      <c r="U44" s="41">
        <f t="shared" si="6"/>
        <v>0</v>
      </c>
      <c r="V44" s="41">
        <f t="shared" si="6"/>
        <v>0</v>
      </c>
      <c r="W44" s="41">
        <f t="shared" si="6"/>
        <v>0</v>
      </c>
      <c r="X44" s="41">
        <f t="shared" si="6"/>
        <v>0</v>
      </c>
      <c r="Y44" s="41">
        <f t="shared" si="6"/>
        <v>0</v>
      </c>
      <c r="Z44" s="41">
        <f t="shared" si="6"/>
        <v>0</v>
      </c>
      <c r="AA44" s="41">
        <f t="shared" si="6"/>
        <v>0</v>
      </c>
      <c r="AB44" s="41">
        <f t="shared" si="6"/>
        <v>0</v>
      </c>
      <c r="AC44" s="41">
        <f t="shared" si="6"/>
        <v>0</v>
      </c>
      <c r="AD44" s="41">
        <f t="shared" si="6"/>
        <v>0</v>
      </c>
      <c r="AE44" s="41">
        <f t="shared" si="6"/>
        <v>0</v>
      </c>
      <c r="AF44" s="41">
        <f t="shared" si="6"/>
        <v>0</v>
      </c>
      <c r="AG44" s="41">
        <f t="shared" si="6"/>
        <v>0</v>
      </c>
    </row>
    <row r="45" spans="1:33" ht="15.75" hidden="1" customHeight="1" outlineLevel="1" x14ac:dyDescent="0.25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0</v>
      </c>
      <c r="G46" s="43">
        <f>G44-(G44*D4)</f>
        <v>0</v>
      </c>
      <c r="H46" s="43">
        <f>H44-(H44*D4)</f>
        <v>0</v>
      </c>
      <c r="I46" s="43">
        <f>I44-(I44*D4)</f>
        <v>0</v>
      </c>
      <c r="J46" s="43">
        <f>J44-(J44*D4)</f>
        <v>0</v>
      </c>
      <c r="K46" s="43">
        <f>K44-(K44*D4)</f>
        <v>0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thickBot="1" x14ac:dyDescent="0.3">
      <c r="A48" s="120" t="s">
        <v>36</v>
      </c>
      <c r="B48" s="121"/>
      <c r="C48" s="121"/>
      <c r="D48" s="121"/>
      <c r="E48" s="122"/>
      <c r="F48" s="45">
        <f>F42-F46-C4</f>
        <v>35000000</v>
      </c>
      <c r="G48" s="45">
        <f t="shared" ref="G48:AG48" si="7">(F48+(F48*G40))-G46</f>
        <v>35000000</v>
      </c>
      <c r="H48" s="46">
        <f t="shared" si="7"/>
        <v>35000000</v>
      </c>
      <c r="I48" s="46">
        <f t="shared" si="7"/>
        <v>35000000</v>
      </c>
      <c r="J48" s="45">
        <f t="shared" si="7"/>
        <v>35000000</v>
      </c>
      <c r="K48" s="45">
        <f t="shared" si="7"/>
        <v>35000000</v>
      </c>
      <c r="L48" s="45">
        <f t="shared" si="7"/>
        <v>35000000</v>
      </c>
      <c r="M48" s="45">
        <f t="shared" si="7"/>
        <v>35000000</v>
      </c>
      <c r="N48" s="45">
        <f t="shared" si="7"/>
        <v>35000000</v>
      </c>
      <c r="O48" s="45">
        <f t="shared" si="7"/>
        <v>35000000</v>
      </c>
      <c r="P48" s="45">
        <f t="shared" si="7"/>
        <v>35000000</v>
      </c>
      <c r="Q48" s="45">
        <f t="shared" si="7"/>
        <v>35000000</v>
      </c>
      <c r="R48" s="45">
        <f t="shared" si="7"/>
        <v>35000000</v>
      </c>
      <c r="S48" s="45">
        <f t="shared" si="7"/>
        <v>35000000</v>
      </c>
      <c r="T48" s="45">
        <f t="shared" si="7"/>
        <v>35000000</v>
      </c>
      <c r="U48" s="45">
        <f t="shared" si="7"/>
        <v>35000000</v>
      </c>
      <c r="V48" s="45">
        <f t="shared" si="7"/>
        <v>35000000</v>
      </c>
      <c r="W48" s="45">
        <f t="shared" si="7"/>
        <v>35000000</v>
      </c>
      <c r="X48" s="45">
        <f t="shared" si="7"/>
        <v>35000000</v>
      </c>
      <c r="Y48" s="45">
        <f t="shared" si="7"/>
        <v>35000000</v>
      </c>
      <c r="Z48" s="45">
        <f t="shared" si="7"/>
        <v>35000000</v>
      </c>
      <c r="AA48" s="45">
        <f t="shared" si="7"/>
        <v>35000000</v>
      </c>
      <c r="AB48" s="45">
        <f t="shared" si="7"/>
        <v>35000000</v>
      </c>
      <c r="AC48" s="45">
        <f t="shared" si="7"/>
        <v>35000000</v>
      </c>
      <c r="AD48" s="45">
        <f t="shared" si="7"/>
        <v>35000000</v>
      </c>
      <c r="AE48" s="45">
        <f t="shared" si="7"/>
        <v>35000000</v>
      </c>
      <c r="AF48" s="45">
        <f t="shared" si="7"/>
        <v>35000000</v>
      </c>
      <c r="AG48" s="45">
        <f t="shared" si="7"/>
        <v>35000000</v>
      </c>
    </row>
    <row r="49" spans="6:23" ht="15.75" customHeight="1" x14ac:dyDescent="0.25">
      <c r="L49" s="47"/>
      <c r="M49" s="48"/>
      <c r="N49" s="48"/>
      <c r="O49" s="47"/>
      <c r="P49" s="48"/>
      <c r="Q49" s="48"/>
      <c r="U49" s="48"/>
      <c r="W49" s="47"/>
    </row>
    <row r="50" spans="6:23" ht="15.75" customHeight="1" x14ac:dyDescent="0.25">
      <c r="F50" s="49"/>
      <c r="L50" s="47"/>
      <c r="M50" s="50"/>
      <c r="N50" s="50"/>
      <c r="O50" s="51"/>
      <c r="P50" s="52"/>
    </row>
    <row r="51" spans="6:23" ht="15.75" customHeight="1" x14ac:dyDescent="0.25">
      <c r="G51" s="44"/>
      <c r="H51" s="44"/>
      <c r="V51" s="44"/>
      <c r="W51" s="49"/>
    </row>
    <row r="52" spans="6:23" ht="15.75" customHeight="1" x14ac:dyDescent="0.25">
      <c r="F52" s="53"/>
      <c r="Q52" s="44"/>
      <c r="W52" s="53"/>
    </row>
    <row r="53" spans="6:23" ht="15.75" customHeight="1" x14ac:dyDescent="0.25">
      <c r="G53" s="49"/>
      <c r="H53" s="49"/>
      <c r="I53" s="11"/>
      <c r="J53" s="44"/>
      <c r="K53" s="53"/>
    </row>
    <row r="54" spans="6:23" ht="15.75" customHeight="1" x14ac:dyDescent="0.25">
      <c r="G54" s="54"/>
      <c r="H54" s="54"/>
      <c r="I54" s="11"/>
      <c r="J54" s="44"/>
    </row>
    <row r="55" spans="6:23" ht="15.75" customHeight="1" x14ac:dyDescent="0.25">
      <c r="G55" s="54"/>
      <c r="H55" s="54"/>
    </row>
    <row r="56" spans="6:23" ht="15.75" customHeight="1" x14ac:dyDescent="0.25">
      <c r="G56" s="54"/>
      <c r="H56" s="54"/>
    </row>
    <row r="57" spans="6:23" ht="15.75" customHeight="1" x14ac:dyDescent="0.25">
      <c r="G57" s="54"/>
      <c r="H57" s="54"/>
      <c r="J57" s="53"/>
    </row>
    <row r="58" spans="6:23" ht="15.75" customHeight="1" x14ac:dyDescent="0.25">
      <c r="G58" s="54"/>
      <c r="H58" s="54"/>
    </row>
    <row r="59" spans="6:23" ht="15.75" customHeight="1" x14ac:dyDescent="0.25">
      <c r="G59" s="54"/>
      <c r="H59" s="54"/>
    </row>
    <row r="60" spans="6:23" ht="15.75" customHeight="1" x14ac:dyDescent="0.25">
      <c r="G60" s="54"/>
      <c r="H60" s="54"/>
    </row>
    <row r="61" spans="6:23" ht="15.75" customHeight="1" x14ac:dyDescent="0.25">
      <c r="G61" s="54"/>
      <c r="H61" s="54"/>
    </row>
    <row r="62" spans="6:23" ht="15.75" customHeight="1" x14ac:dyDescent="0.25"/>
    <row r="63" spans="6:23" ht="15.75" customHeight="1" x14ac:dyDescent="0.25"/>
    <row r="64" spans="6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6"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  <mergeCell ref="J6:K6"/>
    <mergeCell ref="L6:M6"/>
    <mergeCell ref="N6:O6"/>
    <mergeCell ref="L5:M5"/>
    <mergeCell ref="N5:O5"/>
    <mergeCell ref="X5:Y5"/>
    <mergeCell ref="Z5:AA5"/>
    <mergeCell ref="AB5:AC5"/>
    <mergeCell ref="AD5:AE5"/>
    <mergeCell ref="AF5:AG5"/>
    <mergeCell ref="A46:E46"/>
    <mergeCell ref="A48:E48"/>
    <mergeCell ref="AB6:AC6"/>
    <mergeCell ref="AD6:AE6"/>
    <mergeCell ref="AF6:AG6"/>
    <mergeCell ref="A40:E40"/>
    <mergeCell ref="A42:E42"/>
    <mergeCell ref="A44:E44"/>
    <mergeCell ref="P6:Q6"/>
    <mergeCell ref="R6:S6"/>
    <mergeCell ref="T6:U6"/>
    <mergeCell ref="V6:W6"/>
    <mergeCell ref="X6:Y6"/>
    <mergeCell ref="Z6:AA6"/>
    <mergeCell ref="F6:G6"/>
    <mergeCell ref="H6:I6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998"/>
  <sheetViews>
    <sheetView tabSelected="1" zoomScaleNormal="100" workbookViewId="0">
      <pane xSplit="3" topLeftCell="D1" activePane="topRight" state="frozen"/>
      <selection pane="topRight" activeCell="B1" sqref="B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74.140625" customWidth="1"/>
    <col min="3" max="3" width="16.85546875" customWidth="1"/>
    <col min="4" max="4" width="14.14062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91" t="s">
        <v>73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18" t="s">
        <v>0</v>
      </c>
      <c r="B2" s="119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18" t="s">
        <v>1</v>
      </c>
      <c r="B3" s="119"/>
      <c r="C3" s="5">
        <v>35000000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18" t="s">
        <v>2</v>
      </c>
      <c r="B4" s="119"/>
      <c r="C4" s="5">
        <v>0</v>
      </c>
      <c r="D4" s="57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05" t="s">
        <v>47</v>
      </c>
      <c r="G5" s="106"/>
      <c r="H5" s="105" t="s">
        <v>48</v>
      </c>
      <c r="I5" s="106"/>
      <c r="J5" s="105" t="s">
        <v>37</v>
      </c>
      <c r="K5" s="106"/>
      <c r="L5" s="105" t="s">
        <v>38</v>
      </c>
      <c r="M5" s="106"/>
      <c r="N5" s="105" t="s">
        <v>39</v>
      </c>
      <c r="O5" s="106"/>
      <c r="P5" s="105" t="s">
        <v>40</v>
      </c>
      <c r="Q5" s="106"/>
      <c r="R5" s="105" t="s">
        <v>41</v>
      </c>
      <c r="S5" s="106"/>
      <c r="T5" s="105" t="s">
        <v>42</v>
      </c>
      <c r="U5" s="106"/>
      <c r="V5" s="105" t="s">
        <v>43</v>
      </c>
      <c r="W5" s="106"/>
      <c r="X5" s="105" t="s">
        <v>44</v>
      </c>
      <c r="Y5" s="106"/>
      <c r="Z5" s="105" t="s">
        <v>45</v>
      </c>
      <c r="AA5" s="106"/>
      <c r="AB5" s="105" t="s">
        <v>46</v>
      </c>
      <c r="AC5" s="106"/>
      <c r="AD5" s="105" t="s">
        <v>47</v>
      </c>
      <c r="AE5" s="106"/>
      <c r="AF5" s="105" t="s">
        <v>48</v>
      </c>
      <c r="AG5" s="10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49</v>
      </c>
      <c r="E6" s="2" t="s">
        <v>6</v>
      </c>
      <c r="F6" s="103" t="s">
        <v>7</v>
      </c>
      <c r="G6" s="104"/>
      <c r="H6" s="103" t="s">
        <v>8</v>
      </c>
      <c r="I6" s="104"/>
      <c r="J6" s="103" t="s">
        <v>9</v>
      </c>
      <c r="K6" s="104"/>
      <c r="L6" s="103" t="s">
        <v>10</v>
      </c>
      <c r="M6" s="104"/>
      <c r="N6" s="103" t="s">
        <v>11</v>
      </c>
      <c r="O6" s="104"/>
      <c r="P6" s="103" t="s">
        <v>12</v>
      </c>
      <c r="Q6" s="104"/>
      <c r="R6" s="103" t="s">
        <v>13</v>
      </c>
      <c r="S6" s="104"/>
      <c r="T6" s="103" t="s">
        <v>14</v>
      </c>
      <c r="U6" s="104"/>
      <c r="V6" s="103" t="s">
        <v>15</v>
      </c>
      <c r="W6" s="104"/>
      <c r="X6" s="103" t="s">
        <v>16</v>
      </c>
      <c r="Y6" s="104"/>
      <c r="Z6" s="103" t="s">
        <v>17</v>
      </c>
      <c r="AA6" s="104"/>
      <c r="AB6" s="103" t="s">
        <v>18</v>
      </c>
      <c r="AC6" s="104"/>
      <c r="AD6" s="103" t="s">
        <v>19</v>
      </c>
      <c r="AE6" s="104"/>
      <c r="AF6" s="103" t="s">
        <v>20</v>
      </c>
      <c r="AG6" s="104"/>
    </row>
    <row r="7" spans="1:33" ht="16.5" thickBot="1" x14ac:dyDescent="0.3">
      <c r="A7" s="7">
        <v>1</v>
      </c>
      <c r="B7" s="7" t="s">
        <v>50</v>
      </c>
      <c r="C7" s="8">
        <f>SUM(C8:C9)</f>
        <v>0.16999999999999998</v>
      </c>
      <c r="D7" s="58">
        <f>C7*C3</f>
        <v>5949999.9999999991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51</v>
      </c>
      <c r="C8" s="22">
        <v>0.12</v>
      </c>
      <c r="D8" s="22"/>
      <c r="E8" s="79">
        <f>SUM(F8:AG8)</f>
        <v>0</v>
      </c>
      <c r="F8" s="65"/>
      <c r="G8" s="66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52</v>
      </c>
      <c r="C9" s="22">
        <v>0.05</v>
      </c>
      <c r="D9" s="22"/>
      <c r="E9" s="79">
        <f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ht="15" customHeight="1" x14ac:dyDescent="0.25">
      <c r="C10" s="22"/>
      <c r="D10" s="22"/>
      <c r="E10" s="13"/>
      <c r="F10" s="21"/>
      <c r="G10" s="23"/>
      <c r="H10" s="21"/>
      <c r="I10" s="21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ht="15.75" x14ac:dyDescent="0.25">
      <c r="A11" s="7">
        <v>2</v>
      </c>
      <c r="B11" s="7" t="s">
        <v>53</v>
      </c>
      <c r="C11" s="8">
        <f>SUM(C12)</f>
        <v>0.15</v>
      </c>
      <c r="D11" s="58">
        <f>C11*C3</f>
        <v>5250000</v>
      </c>
      <c r="E11" s="24"/>
      <c r="F11" s="25"/>
      <c r="G11" s="26"/>
      <c r="H11" s="25"/>
      <c r="I11" s="25"/>
      <c r="J11" s="25"/>
      <c r="K11" s="27"/>
      <c r="L11" s="25"/>
      <c r="M11" s="27"/>
      <c r="N11" s="25"/>
      <c r="O11" s="27"/>
      <c r="P11" s="25"/>
      <c r="Q11" s="27"/>
      <c r="R11" s="25"/>
      <c r="S11" s="27"/>
      <c r="T11" s="25"/>
      <c r="U11" s="27"/>
      <c r="V11" s="25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x14ac:dyDescent="0.25">
      <c r="A12" s="11">
        <v>1</v>
      </c>
      <c r="B12" s="11" t="s">
        <v>54</v>
      </c>
      <c r="C12" s="22">
        <v>0.15</v>
      </c>
      <c r="D12" s="22"/>
      <c r="E12" s="79">
        <f>SUM(F12:AG12)</f>
        <v>0</v>
      </c>
      <c r="F12" s="20"/>
      <c r="G12" s="47"/>
      <c r="H12" s="20"/>
      <c r="I12" s="21"/>
      <c r="J12" s="21"/>
      <c r="K12" s="15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17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3</v>
      </c>
      <c r="B14" s="7" t="s">
        <v>55</v>
      </c>
      <c r="C14" s="8">
        <f>SUM(C15:C16)</f>
        <v>0.12</v>
      </c>
      <c r="D14" s="58">
        <f>C14*C3</f>
        <v>4200000</v>
      </c>
      <c r="E14" s="24"/>
      <c r="F14" s="25"/>
      <c r="G14" s="27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72</v>
      </c>
      <c r="C15" s="22">
        <v>0.06</v>
      </c>
      <c r="D15" s="22"/>
      <c r="E15" s="79">
        <f>SUM(F15:AG15)</f>
        <v>0</v>
      </c>
      <c r="F15" s="21"/>
      <c r="G15" s="67"/>
      <c r="H15" s="21"/>
      <c r="I15" s="21"/>
      <c r="J15" s="21"/>
      <c r="K15" s="17"/>
      <c r="L15" s="21"/>
      <c r="M15" s="15"/>
      <c r="N15" s="21"/>
      <c r="O15" s="17"/>
      <c r="P15" s="21"/>
      <c r="Q15" s="17"/>
      <c r="R15" s="21"/>
      <c r="S15" s="17"/>
      <c r="T15" s="21"/>
      <c r="U15" s="15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71</v>
      </c>
      <c r="C16" s="22">
        <v>0.06</v>
      </c>
      <c r="D16" s="22"/>
      <c r="E16" s="79">
        <f>SUM(F16:AG16)</f>
        <v>0</v>
      </c>
      <c r="F16" s="21"/>
      <c r="G16" s="17"/>
      <c r="H16" s="21"/>
      <c r="I16" s="21"/>
      <c r="J16" s="21"/>
      <c r="K16" s="17"/>
      <c r="L16" s="21"/>
      <c r="M16" s="17"/>
      <c r="N16" s="21"/>
      <c r="O16" s="15"/>
      <c r="P16" s="20"/>
      <c r="Q16" s="17"/>
      <c r="R16" s="20"/>
      <c r="S16" s="15"/>
      <c r="T16" s="20"/>
      <c r="U16" s="15"/>
      <c r="V16" s="20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31"/>
      <c r="C17" s="12"/>
      <c r="D17" s="12"/>
      <c r="E17" s="13"/>
      <c r="F17" s="21"/>
      <c r="G17" s="17"/>
      <c r="H17" s="21"/>
      <c r="I17" s="21"/>
      <c r="J17" s="21"/>
      <c r="K17" s="17"/>
      <c r="L17" s="21"/>
      <c r="M17" s="17"/>
      <c r="N17" s="21"/>
      <c r="O17" s="17"/>
      <c r="P17" s="21"/>
      <c r="Q17" s="17"/>
      <c r="R17" s="21"/>
      <c r="S17" s="17"/>
      <c r="T17" s="21"/>
      <c r="U17" s="17"/>
      <c r="V17" s="21"/>
      <c r="W17" s="30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5.75" x14ac:dyDescent="0.25">
      <c r="A18" s="7">
        <v>4</v>
      </c>
      <c r="B18" s="7" t="s">
        <v>56</v>
      </c>
      <c r="C18" s="8">
        <f>SUM(C19:C20)</f>
        <v>0.18</v>
      </c>
      <c r="D18" s="58">
        <f>C18*C3</f>
        <v>6300000</v>
      </c>
      <c r="E18" s="24"/>
      <c r="F18" s="25"/>
      <c r="G18" s="27"/>
      <c r="H18" s="25"/>
      <c r="I18" s="25"/>
      <c r="J18" s="25"/>
      <c r="K18" s="27"/>
      <c r="L18" s="25"/>
      <c r="M18" s="27"/>
      <c r="N18" s="25"/>
      <c r="O18" s="27"/>
      <c r="P18" s="25"/>
      <c r="Q18" s="27"/>
      <c r="R18" s="25"/>
      <c r="S18" s="27"/>
      <c r="T18" s="25"/>
      <c r="U18" s="27"/>
      <c r="V18" s="25"/>
      <c r="W18" s="27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x14ac:dyDescent="0.25">
      <c r="A19" s="11">
        <v>1</v>
      </c>
      <c r="B19" s="11" t="s">
        <v>57</v>
      </c>
      <c r="C19" s="22">
        <v>0.12</v>
      </c>
      <c r="D19" s="22"/>
      <c r="E19" s="79">
        <f t="shared" ref="E19:E20" si="0">SUM(F19:AG19)</f>
        <v>0</v>
      </c>
      <c r="F19" s="21"/>
      <c r="G19" s="17"/>
      <c r="H19" s="21"/>
      <c r="I19" s="21"/>
      <c r="J19" s="21"/>
      <c r="K19" s="17"/>
      <c r="L19" s="21"/>
      <c r="M19" s="17"/>
      <c r="N19" s="21"/>
      <c r="O19" s="17"/>
      <c r="P19" s="21"/>
      <c r="Q19" s="15"/>
      <c r="R19" s="21"/>
      <c r="S19" s="17"/>
      <c r="T19" s="21"/>
      <c r="U19" s="17"/>
      <c r="V19" s="21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5.75" customHeight="1" x14ac:dyDescent="0.25">
      <c r="A20" s="11">
        <v>2</v>
      </c>
      <c r="B20" s="11" t="s">
        <v>58</v>
      </c>
      <c r="C20" s="22">
        <v>0.06</v>
      </c>
      <c r="D20" s="22"/>
      <c r="E20" s="79">
        <f t="shared" si="0"/>
        <v>0</v>
      </c>
      <c r="F20" s="21"/>
      <c r="G20" s="17"/>
      <c r="H20" s="21"/>
      <c r="I20" s="21"/>
      <c r="J20" s="21"/>
      <c r="K20" s="17"/>
      <c r="L20" s="21"/>
      <c r="M20" s="17"/>
      <c r="N20" s="21"/>
      <c r="O20" s="17"/>
      <c r="P20" s="21"/>
      <c r="Q20" s="17"/>
      <c r="R20" s="21"/>
      <c r="S20" s="15"/>
      <c r="T20" s="21"/>
      <c r="U20" s="17"/>
      <c r="V20" s="21"/>
      <c r="W20" s="30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5.75" customHeight="1" x14ac:dyDescent="0.25">
      <c r="C21" s="12"/>
      <c r="D21" s="12"/>
      <c r="E21" s="13"/>
      <c r="F21" s="21"/>
      <c r="G21" s="17"/>
      <c r="H21" s="21"/>
      <c r="I21" s="21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30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5.75" customHeight="1" x14ac:dyDescent="0.25">
      <c r="A22" s="7">
        <v>5</v>
      </c>
      <c r="B22" s="7" t="s">
        <v>59</v>
      </c>
      <c r="C22" s="8">
        <f>SUM(C23:C23)</f>
        <v>0.06</v>
      </c>
      <c r="D22" s="58">
        <f>C22*C3</f>
        <v>2100000</v>
      </c>
      <c r="E22" s="24"/>
      <c r="F22" s="25"/>
      <c r="G22" s="27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58</v>
      </c>
      <c r="C23" s="22">
        <v>0.06</v>
      </c>
      <c r="D23" s="22"/>
      <c r="E23" s="79">
        <f>SUM(F23:AG23)</f>
        <v>0</v>
      </c>
      <c r="F23" s="21"/>
      <c r="G23" s="17"/>
      <c r="H23" s="21"/>
      <c r="I23" s="21"/>
      <c r="J23" s="21"/>
      <c r="K23" s="17"/>
      <c r="L23" s="21"/>
      <c r="M23" s="17"/>
      <c r="N23" s="21"/>
      <c r="O23" s="17"/>
      <c r="P23" s="21"/>
      <c r="Q23" s="17"/>
      <c r="R23" s="21"/>
      <c r="S23" s="15"/>
      <c r="T23" s="21"/>
      <c r="U23" s="17"/>
      <c r="V23" s="21"/>
      <c r="W23" s="30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5.75" customHeight="1" x14ac:dyDescent="0.25">
      <c r="C24" s="12"/>
      <c r="D24" s="12"/>
      <c r="E24" s="13"/>
      <c r="F24" s="21"/>
      <c r="G24" s="17"/>
      <c r="H24" s="21"/>
      <c r="I24" s="21"/>
      <c r="J24" s="21"/>
      <c r="K24" s="17"/>
      <c r="L24" s="21"/>
      <c r="M24" s="17"/>
      <c r="N24" s="21"/>
      <c r="O24" s="17"/>
      <c r="P24" s="21"/>
      <c r="Q24" s="17"/>
      <c r="R24" s="21"/>
      <c r="S24" s="17"/>
      <c r="T24" s="21"/>
      <c r="U24" s="17"/>
      <c r="V24" s="21"/>
      <c r="W24" s="30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5.75" customHeight="1" x14ac:dyDescent="0.25">
      <c r="A25" s="7">
        <v>6</v>
      </c>
      <c r="B25" s="7" t="s">
        <v>60</v>
      </c>
      <c r="C25" s="8">
        <f>SUM(C26:C30)</f>
        <v>0.16</v>
      </c>
      <c r="D25" s="58">
        <f>C25*C3</f>
        <v>5600000</v>
      </c>
      <c r="E25" s="24"/>
      <c r="F25" s="25"/>
      <c r="G25" s="27"/>
      <c r="H25" s="25"/>
      <c r="I25" s="25"/>
      <c r="J25" s="25"/>
      <c r="K25" s="27"/>
      <c r="L25" s="25"/>
      <c r="M25" s="27"/>
      <c r="N25" s="25"/>
      <c r="O25" s="27"/>
      <c r="P25" s="25"/>
      <c r="Q25" s="27"/>
      <c r="R25" s="25"/>
      <c r="S25" s="27"/>
      <c r="T25" s="25"/>
      <c r="U25" s="27"/>
      <c r="V25" s="25"/>
      <c r="W25" s="27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1:33" ht="15.75" customHeight="1" x14ac:dyDescent="0.25">
      <c r="A26" s="11">
        <v>1</v>
      </c>
      <c r="B26" s="11" t="s">
        <v>61</v>
      </c>
      <c r="C26" s="22">
        <v>0.05</v>
      </c>
      <c r="D26" s="22"/>
      <c r="E26" s="79">
        <f t="shared" ref="E26:E30" si="1">SUM(F26:AG26)</f>
        <v>0</v>
      </c>
      <c r="F26" s="21"/>
      <c r="G26" s="17"/>
      <c r="H26" s="21"/>
      <c r="I26" s="21"/>
      <c r="J26" s="21"/>
      <c r="K26" s="17"/>
      <c r="L26" s="21"/>
      <c r="M26" s="17"/>
      <c r="N26" s="21"/>
      <c r="O26" s="17"/>
      <c r="P26" s="21"/>
      <c r="Q26" s="17"/>
      <c r="R26" s="21"/>
      <c r="S26" s="17"/>
      <c r="T26" s="21"/>
      <c r="U26" s="17"/>
      <c r="V26" s="21"/>
      <c r="W26" s="30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5.75" customHeight="1" x14ac:dyDescent="0.25">
      <c r="A27" s="11">
        <v>2</v>
      </c>
      <c r="B27" s="11" t="s">
        <v>62</v>
      </c>
      <c r="C27" s="22">
        <v>0.05</v>
      </c>
      <c r="D27" s="22"/>
      <c r="E27" s="79">
        <f t="shared" si="1"/>
        <v>0</v>
      </c>
      <c r="F27" s="21"/>
      <c r="G27" s="17"/>
      <c r="H27" s="21"/>
      <c r="I27" s="21"/>
      <c r="J27" s="21"/>
      <c r="K27" s="17"/>
      <c r="L27" s="21"/>
      <c r="M27" s="17"/>
      <c r="N27" s="21"/>
      <c r="O27" s="17"/>
      <c r="P27" s="21"/>
      <c r="Q27" s="17"/>
      <c r="R27" s="21"/>
      <c r="S27" s="17"/>
      <c r="T27" s="21"/>
      <c r="U27" s="17"/>
      <c r="V27" s="21"/>
      <c r="W27" s="30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5.75" customHeight="1" x14ac:dyDescent="0.25">
      <c r="A28" s="11">
        <v>3</v>
      </c>
      <c r="B28" s="11" t="s">
        <v>63</v>
      </c>
      <c r="C28" s="22">
        <v>0.02</v>
      </c>
      <c r="D28" s="22"/>
      <c r="E28" s="79">
        <f t="shared" si="1"/>
        <v>0</v>
      </c>
      <c r="F28" s="21"/>
      <c r="G28" s="17"/>
      <c r="H28" s="21"/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30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5.75" customHeight="1" x14ac:dyDescent="0.25">
      <c r="A29" s="11">
        <v>4</v>
      </c>
      <c r="B29" s="11" t="s">
        <v>64</v>
      </c>
      <c r="C29" s="22">
        <v>0.02</v>
      </c>
      <c r="D29" s="22"/>
      <c r="E29" s="79">
        <f t="shared" si="1"/>
        <v>0</v>
      </c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5.75" customHeight="1" x14ac:dyDescent="0.25">
      <c r="A30" s="11">
        <v>5</v>
      </c>
      <c r="B30" s="11" t="s">
        <v>65</v>
      </c>
      <c r="C30" s="22">
        <v>0.02</v>
      </c>
      <c r="D30" s="22"/>
      <c r="E30" s="79">
        <f t="shared" si="1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7"/>
      <c r="P30" s="21"/>
      <c r="Q30" s="17"/>
      <c r="R30" s="21"/>
      <c r="S30" s="17"/>
      <c r="T30" s="21"/>
      <c r="U30" s="17"/>
      <c r="V30" s="21"/>
      <c r="W30" s="30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5.75" customHeight="1" x14ac:dyDescent="0.25">
      <c r="C31" s="12"/>
      <c r="D31" s="12"/>
      <c r="E31" s="13"/>
      <c r="F31" s="21"/>
      <c r="G31" s="17"/>
      <c r="H31" s="21"/>
      <c r="I31" s="21"/>
      <c r="J31" s="21"/>
      <c r="K31" s="17"/>
      <c r="L31" s="21"/>
      <c r="M31" s="17"/>
      <c r="N31" s="21"/>
      <c r="O31" s="17"/>
      <c r="P31" s="21"/>
      <c r="Q31" s="17"/>
      <c r="R31" s="21"/>
      <c r="S31" s="17"/>
      <c r="T31" s="21"/>
      <c r="U31" s="17"/>
      <c r="V31" s="21"/>
      <c r="W31" s="30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5.75" customHeight="1" x14ac:dyDescent="0.25">
      <c r="A32" s="7">
        <v>7</v>
      </c>
      <c r="B32" s="7" t="s">
        <v>66</v>
      </c>
      <c r="C32" s="8">
        <f>SUM(C33:C36)</f>
        <v>0.16</v>
      </c>
      <c r="D32" s="58">
        <f>C32*C3</f>
        <v>5600000</v>
      </c>
      <c r="E32" s="24"/>
      <c r="F32" s="25"/>
      <c r="G32" s="27"/>
      <c r="H32" s="25"/>
      <c r="I32" s="25"/>
      <c r="J32" s="25"/>
      <c r="K32" s="27"/>
      <c r="L32" s="25"/>
      <c r="M32" s="27"/>
      <c r="N32" s="25"/>
      <c r="O32" s="27"/>
      <c r="P32" s="25"/>
      <c r="Q32" s="27"/>
      <c r="R32" s="25"/>
      <c r="S32" s="27"/>
      <c r="T32" s="25"/>
      <c r="U32" s="27"/>
      <c r="V32" s="25"/>
      <c r="W32" s="27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1:33" ht="15.75" customHeight="1" x14ac:dyDescent="0.25">
      <c r="A33" s="59">
        <v>1</v>
      </c>
      <c r="B33" s="60" t="s">
        <v>67</v>
      </c>
      <c r="C33" s="22">
        <v>0.06</v>
      </c>
      <c r="D33" s="22"/>
      <c r="E33" s="79">
        <f t="shared" ref="E33:E36" si="2">SUM(F33:AG33)</f>
        <v>0</v>
      </c>
      <c r="F33" s="61"/>
      <c r="G33" s="62"/>
      <c r="H33" s="61"/>
      <c r="I33" s="61"/>
      <c r="J33" s="61"/>
      <c r="K33" s="62"/>
      <c r="L33" s="61"/>
      <c r="M33" s="62"/>
      <c r="N33" s="61"/>
      <c r="O33" s="62"/>
      <c r="P33" s="61"/>
      <c r="Q33" s="62"/>
      <c r="R33" s="61"/>
      <c r="S33" s="62"/>
      <c r="T33" s="61"/>
      <c r="U33" s="62"/>
      <c r="V33" s="61"/>
      <c r="W33" s="62"/>
      <c r="X33" s="63"/>
      <c r="Y33" s="63"/>
      <c r="Z33" s="63"/>
      <c r="AA33" s="63"/>
      <c r="AB33" s="63"/>
      <c r="AC33" s="63"/>
      <c r="AD33" s="63"/>
      <c r="AE33" s="63"/>
      <c r="AF33" s="63"/>
      <c r="AG33" s="63"/>
    </row>
    <row r="34" spans="1:33" ht="15.75" customHeight="1" x14ac:dyDescent="0.25">
      <c r="A34" s="59">
        <v>2</v>
      </c>
      <c r="B34" s="60" t="s">
        <v>68</v>
      </c>
      <c r="C34" s="22">
        <v>0.06</v>
      </c>
      <c r="D34" s="22"/>
      <c r="E34" s="79">
        <f t="shared" si="2"/>
        <v>0</v>
      </c>
      <c r="F34" s="61"/>
      <c r="G34" s="62"/>
      <c r="H34" s="61"/>
      <c r="I34" s="61"/>
      <c r="J34" s="61"/>
      <c r="K34" s="62"/>
      <c r="L34" s="61"/>
      <c r="M34" s="62"/>
      <c r="N34" s="61"/>
      <c r="O34" s="62"/>
      <c r="P34" s="61"/>
      <c r="Q34" s="62"/>
      <c r="R34" s="61"/>
      <c r="S34" s="62"/>
      <c r="T34" s="61"/>
      <c r="U34" s="62"/>
      <c r="V34" s="61"/>
      <c r="W34" s="62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5.75" customHeight="1" x14ac:dyDescent="0.25">
      <c r="A35" s="59">
        <v>3</v>
      </c>
      <c r="B35" s="60" t="s">
        <v>69</v>
      </c>
      <c r="C35" s="22">
        <v>0.03</v>
      </c>
      <c r="D35" s="22"/>
      <c r="E35" s="79">
        <f t="shared" si="2"/>
        <v>0</v>
      </c>
      <c r="F35" s="61"/>
      <c r="G35" s="62"/>
      <c r="H35" s="61"/>
      <c r="I35" s="61"/>
      <c r="J35" s="61"/>
      <c r="K35" s="62"/>
      <c r="L35" s="61"/>
      <c r="M35" s="62"/>
      <c r="N35" s="61"/>
      <c r="O35" s="62"/>
      <c r="P35" s="61"/>
      <c r="Q35" s="62"/>
      <c r="R35" s="61"/>
      <c r="S35" s="62"/>
      <c r="T35" s="61"/>
      <c r="U35" s="62"/>
      <c r="V35" s="61"/>
      <c r="W35" s="62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5.75" customHeight="1" x14ac:dyDescent="0.25">
      <c r="A36" s="59">
        <v>4</v>
      </c>
      <c r="B36" s="60" t="s">
        <v>70</v>
      </c>
      <c r="C36" s="22">
        <v>0.01</v>
      </c>
      <c r="D36" s="22"/>
      <c r="E36" s="79">
        <f t="shared" si="2"/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thickBot="1" x14ac:dyDescent="0.3">
      <c r="C37" s="22"/>
      <c r="D37" s="2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7"/>
      <c r="T37" s="21"/>
      <c r="U37" s="17"/>
      <c r="V37" s="21"/>
      <c r="W37" s="17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15.75" customHeight="1" thickBot="1" x14ac:dyDescent="0.35">
      <c r="A38" s="32"/>
      <c r="B38" s="33" t="s">
        <v>31</v>
      </c>
      <c r="C38" s="34">
        <f>SUM(C7+C11+C14+C18+C22+C25+C32)</f>
        <v>1</v>
      </c>
      <c r="D38" s="34"/>
      <c r="E38" s="35">
        <f>SUM(F38:AG38)</f>
        <v>0</v>
      </c>
      <c r="F38" s="55">
        <f t="shared" ref="F38:AG38" si="3">SUM(F8:F37)</f>
        <v>0</v>
      </c>
      <c r="G38" s="55">
        <f t="shared" si="3"/>
        <v>0</v>
      </c>
      <c r="H38" s="55">
        <f t="shared" si="3"/>
        <v>0</v>
      </c>
      <c r="I38" s="55">
        <f t="shared" si="3"/>
        <v>0</v>
      </c>
      <c r="J38" s="55">
        <f t="shared" si="3"/>
        <v>0</v>
      </c>
      <c r="K38" s="55">
        <f t="shared" si="3"/>
        <v>0</v>
      </c>
      <c r="L38" s="55">
        <f t="shared" si="3"/>
        <v>0</v>
      </c>
      <c r="M38" s="55">
        <f t="shared" si="3"/>
        <v>0</v>
      </c>
      <c r="N38" s="55">
        <f t="shared" si="3"/>
        <v>0</v>
      </c>
      <c r="O38" s="55">
        <f t="shared" si="3"/>
        <v>0</v>
      </c>
      <c r="P38" s="55">
        <f t="shared" si="3"/>
        <v>0</v>
      </c>
      <c r="Q38" s="55">
        <f t="shared" si="3"/>
        <v>0</v>
      </c>
      <c r="R38" s="55">
        <f t="shared" si="3"/>
        <v>0</v>
      </c>
      <c r="S38" s="55">
        <f t="shared" si="3"/>
        <v>0</v>
      </c>
      <c r="T38" s="55">
        <f t="shared" si="3"/>
        <v>0</v>
      </c>
      <c r="U38" s="55">
        <f t="shared" si="3"/>
        <v>0</v>
      </c>
      <c r="V38" s="55">
        <f t="shared" si="3"/>
        <v>0</v>
      </c>
      <c r="W38" s="56">
        <f t="shared" si="3"/>
        <v>0</v>
      </c>
      <c r="X38" s="56">
        <f t="shared" si="3"/>
        <v>0</v>
      </c>
      <c r="Y38" s="55">
        <f t="shared" si="3"/>
        <v>0</v>
      </c>
      <c r="Z38" s="56">
        <f t="shared" si="3"/>
        <v>0</v>
      </c>
      <c r="AA38" s="55">
        <f t="shared" si="3"/>
        <v>0</v>
      </c>
      <c r="AB38" s="56">
        <f t="shared" si="3"/>
        <v>0</v>
      </c>
      <c r="AC38" s="55">
        <f t="shared" si="3"/>
        <v>0</v>
      </c>
      <c r="AD38" s="56">
        <f t="shared" si="3"/>
        <v>0</v>
      </c>
      <c r="AE38" s="55">
        <f t="shared" si="3"/>
        <v>0</v>
      </c>
      <c r="AF38" s="56">
        <f t="shared" si="3"/>
        <v>0</v>
      </c>
      <c r="AG38" s="55">
        <f t="shared" si="3"/>
        <v>0</v>
      </c>
    </row>
    <row r="39" spans="1:33" ht="15.75" customHeight="1" thickBot="1" x14ac:dyDescent="0.3">
      <c r="F39" s="36"/>
      <c r="G39" s="36"/>
      <c r="H39" s="36"/>
      <c r="I39" s="36"/>
      <c r="J39" s="37"/>
      <c r="K39" s="37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3" ht="15.75" customHeight="1" thickBot="1" x14ac:dyDescent="0.3">
      <c r="A40" s="120" t="s">
        <v>32</v>
      </c>
      <c r="B40" s="121"/>
      <c r="C40" s="121"/>
      <c r="D40" s="121"/>
      <c r="E40" s="122"/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</row>
    <row r="41" spans="1:33" ht="15.75" customHeight="1" thickBot="1" x14ac:dyDescent="0.3"/>
    <row r="42" spans="1:33" ht="15.75" hidden="1" customHeight="1" outlineLevel="1" x14ac:dyDescent="0.25">
      <c r="A42" s="123" t="s">
        <v>33</v>
      </c>
      <c r="B42" s="121"/>
      <c r="C42" s="121"/>
      <c r="D42" s="121"/>
      <c r="E42" s="122"/>
      <c r="F42" s="40">
        <f>C3+(C3*F40)</f>
        <v>35000000</v>
      </c>
      <c r="G42" s="40">
        <f t="shared" ref="G42:AG42" si="4">F42+(F42*G40)</f>
        <v>35000000</v>
      </c>
      <c r="H42" s="40">
        <f t="shared" si="4"/>
        <v>35000000</v>
      </c>
      <c r="I42" s="40">
        <f t="shared" si="4"/>
        <v>35000000</v>
      </c>
      <c r="J42" s="40">
        <f t="shared" si="4"/>
        <v>35000000</v>
      </c>
      <c r="K42" s="40">
        <f t="shared" si="4"/>
        <v>35000000</v>
      </c>
      <c r="L42" s="40">
        <f t="shared" si="4"/>
        <v>35000000</v>
      </c>
      <c r="M42" s="40">
        <f t="shared" si="4"/>
        <v>35000000</v>
      </c>
      <c r="N42" s="40">
        <f t="shared" si="4"/>
        <v>35000000</v>
      </c>
      <c r="O42" s="40">
        <f t="shared" si="4"/>
        <v>35000000</v>
      </c>
      <c r="P42" s="40">
        <f t="shared" si="4"/>
        <v>35000000</v>
      </c>
      <c r="Q42" s="40">
        <f t="shared" si="4"/>
        <v>35000000</v>
      </c>
      <c r="R42" s="40">
        <f t="shared" si="4"/>
        <v>35000000</v>
      </c>
      <c r="S42" s="40">
        <f t="shared" si="4"/>
        <v>35000000</v>
      </c>
      <c r="T42" s="40">
        <f t="shared" si="4"/>
        <v>35000000</v>
      </c>
      <c r="U42" s="40">
        <f t="shared" si="4"/>
        <v>35000000</v>
      </c>
      <c r="V42" s="40">
        <f t="shared" si="4"/>
        <v>35000000</v>
      </c>
      <c r="W42" s="40">
        <f t="shared" si="4"/>
        <v>35000000</v>
      </c>
      <c r="X42" s="40">
        <f t="shared" si="4"/>
        <v>35000000</v>
      </c>
      <c r="Y42" s="40">
        <f t="shared" si="4"/>
        <v>35000000</v>
      </c>
      <c r="Z42" s="40">
        <f t="shared" si="4"/>
        <v>35000000</v>
      </c>
      <c r="AA42" s="40">
        <f t="shared" si="4"/>
        <v>35000000</v>
      </c>
      <c r="AB42" s="40">
        <f t="shared" si="4"/>
        <v>35000000</v>
      </c>
      <c r="AC42" s="40">
        <f t="shared" si="4"/>
        <v>35000000</v>
      </c>
      <c r="AD42" s="40">
        <f t="shared" si="4"/>
        <v>35000000</v>
      </c>
      <c r="AE42" s="40">
        <f t="shared" si="4"/>
        <v>35000000</v>
      </c>
      <c r="AF42" s="40">
        <f t="shared" si="4"/>
        <v>35000000</v>
      </c>
      <c r="AG42" s="40">
        <f t="shared" si="4"/>
        <v>35000000</v>
      </c>
    </row>
    <row r="43" spans="1:33" ht="15.75" hidden="1" customHeight="1" outlineLevel="1" x14ac:dyDescent="0.25"/>
    <row r="44" spans="1:33" ht="15.75" hidden="1" customHeight="1" outlineLevel="1" x14ac:dyDescent="0.25">
      <c r="A44" s="124" t="s">
        <v>34</v>
      </c>
      <c r="B44" s="121"/>
      <c r="C44" s="121"/>
      <c r="D44" s="121"/>
      <c r="E44" s="122"/>
      <c r="F44" s="41">
        <f t="shared" ref="F44:AG44" si="5">F38*F42</f>
        <v>0</v>
      </c>
      <c r="G44" s="41">
        <f t="shared" si="5"/>
        <v>0</v>
      </c>
      <c r="H44" s="41">
        <f t="shared" si="5"/>
        <v>0</v>
      </c>
      <c r="I44" s="41">
        <f t="shared" si="5"/>
        <v>0</v>
      </c>
      <c r="J44" s="41">
        <f t="shared" si="5"/>
        <v>0</v>
      </c>
      <c r="K44" s="41">
        <f t="shared" si="5"/>
        <v>0</v>
      </c>
      <c r="L44" s="41">
        <f t="shared" si="5"/>
        <v>0</v>
      </c>
      <c r="M44" s="41">
        <f t="shared" si="5"/>
        <v>0</v>
      </c>
      <c r="N44" s="41">
        <f t="shared" si="5"/>
        <v>0</v>
      </c>
      <c r="O44" s="41">
        <f t="shared" si="5"/>
        <v>0</v>
      </c>
      <c r="P44" s="41">
        <f t="shared" si="5"/>
        <v>0</v>
      </c>
      <c r="Q44" s="41">
        <f t="shared" si="5"/>
        <v>0</v>
      </c>
      <c r="R44" s="41">
        <f t="shared" si="5"/>
        <v>0</v>
      </c>
      <c r="S44" s="41">
        <f t="shared" si="5"/>
        <v>0</v>
      </c>
      <c r="T44" s="41">
        <f t="shared" si="5"/>
        <v>0</v>
      </c>
      <c r="U44" s="41">
        <f t="shared" si="5"/>
        <v>0</v>
      </c>
      <c r="V44" s="41">
        <f t="shared" si="5"/>
        <v>0</v>
      </c>
      <c r="W44" s="41">
        <f t="shared" si="5"/>
        <v>0</v>
      </c>
      <c r="X44" s="41">
        <f t="shared" si="5"/>
        <v>0</v>
      </c>
      <c r="Y44" s="41">
        <f t="shared" si="5"/>
        <v>0</v>
      </c>
      <c r="Z44" s="41">
        <f t="shared" si="5"/>
        <v>0</v>
      </c>
      <c r="AA44" s="41">
        <f t="shared" si="5"/>
        <v>0</v>
      </c>
      <c r="AB44" s="41">
        <f t="shared" si="5"/>
        <v>0</v>
      </c>
      <c r="AC44" s="41">
        <f t="shared" si="5"/>
        <v>0</v>
      </c>
      <c r="AD44" s="41">
        <f t="shared" si="5"/>
        <v>0</v>
      </c>
      <c r="AE44" s="41">
        <f t="shared" si="5"/>
        <v>0</v>
      </c>
      <c r="AF44" s="41">
        <f t="shared" si="5"/>
        <v>0</v>
      </c>
      <c r="AG44" s="41">
        <f t="shared" si="5"/>
        <v>0</v>
      </c>
    </row>
    <row r="45" spans="1:33" ht="15.75" hidden="1" customHeight="1" outlineLevel="1" x14ac:dyDescent="0.25"/>
    <row r="46" spans="1:33" ht="15.75" customHeight="1" collapsed="1" thickBot="1" x14ac:dyDescent="0.35">
      <c r="A46" s="125" t="s">
        <v>35</v>
      </c>
      <c r="B46" s="121"/>
      <c r="C46" s="121"/>
      <c r="D46" s="121"/>
      <c r="E46" s="122"/>
      <c r="F46" s="42">
        <f>F44-(F44*D4)</f>
        <v>0</v>
      </c>
      <c r="G46" s="43">
        <f>G44-(G44*D4)</f>
        <v>0</v>
      </c>
      <c r="H46" s="43">
        <f>H44-(H44*D4)</f>
        <v>0</v>
      </c>
      <c r="I46" s="43">
        <f>I44-(I44*D4)</f>
        <v>0</v>
      </c>
      <c r="J46" s="43">
        <f>J44-(J44*D4)</f>
        <v>0</v>
      </c>
      <c r="K46" s="43">
        <f>K44-(K44*D4)</f>
        <v>0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  <c r="AG46" s="43">
        <f>AG44-(AG44*D4)</f>
        <v>0</v>
      </c>
    </row>
    <row r="47" spans="1:33" ht="15.75" customHeight="1" thickBot="1" x14ac:dyDescent="0.3"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33" ht="15.75" customHeight="1" thickBot="1" x14ac:dyDescent="0.3">
      <c r="A48" s="120" t="s">
        <v>36</v>
      </c>
      <c r="B48" s="121"/>
      <c r="C48" s="121"/>
      <c r="D48" s="121"/>
      <c r="E48" s="122"/>
      <c r="F48" s="45">
        <f>F42-F46-C4</f>
        <v>35000000</v>
      </c>
      <c r="G48" s="45">
        <f t="shared" ref="G48:AG48" si="6">(F48+(F48*G40))-G46</f>
        <v>35000000</v>
      </c>
      <c r="H48" s="46">
        <f t="shared" si="6"/>
        <v>35000000</v>
      </c>
      <c r="I48" s="46">
        <f t="shared" si="6"/>
        <v>35000000</v>
      </c>
      <c r="J48" s="45">
        <f t="shared" si="6"/>
        <v>35000000</v>
      </c>
      <c r="K48" s="45">
        <f t="shared" si="6"/>
        <v>35000000</v>
      </c>
      <c r="L48" s="45">
        <f t="shared" si="6"/>
        <v>35000000</v>
      </c>
      <c r="M48" s="45">
        <f t="shared" si="6"/>
        <v>35000000</v>
      </c>
      <c r="N48" s="45">
        <f t="shared" si="6"/>
        <v>35000000</v>
      </c>
      <c r="O48" s="45">
        <f t="shared" si="6"/>
        <v>35000000</v>
      </c>
      <c r="P48" s="45">
        <f t="shared" si="6"/>
        <v>35000000</v>
      </c>
      <c r="Q48" s="45">
        <f t="shared" si="6"/>
        <v>35000000</v>
      </c>
      <c r="R48" s="45">
        <f t="shared" si="6"/>
        <v>35000000</v>
      </c>
      <c r="S48" s="45">
        <f t="shared" si="6"/>
        <v>35000000</v>
      </c>
      <c r="T48" s="45">
        <f t="shared" si="6"/>
        <v>35000000</v>
      </c>
      <c r="U48" s="45">
        <f t="shared" si="6"/>
        <v>35000000</v>
      </c>
      <c r="V48" s="45">
        <f t="shared" si="6"/>
        <v>35000000</v>
      </c>
      <c r="W48" s="45">
        <f t="shared" si="6"/>
        <v>35000000</v>
      </c>
      <c r="X48" s="45">
        <f t="shared" si="6"/>
        <v>35000000</v>
      </c>
      <c r="Y48" s="45">
        <f t="shared" si="6"/>
        <v>35000000</v>
      </c>
      <c r="Z48" s="45">
        <f t="shared" si="6"/>
        <v>35000000</v>
      </c>
      <c r="AA48" s="45">
        <f t="shared" si="6"/>
        <v>35000000</v>
      </c>
      <c r="AB48" s="45">
        <f t="shared" si="6"/>
        <v>35000000</v>
      </c>
      <c r="AC48" s="45">
        <f t="shared" si="6"/>
        <v>35000000</v>
      </c>
      <c r="AD48" s="45">
        <f t="shared" si="6"/>
        <v>35000000</v>
      </c>
      <c r="AE48" s="45">
        <f t="shared" si="6"/>
        <v>35000000</v>
      </c>
      <c r="AF48" s="45">
        <f t="shared" si="6"/>
        <v>35000000</v>
      </c>
      <c r="AG48" s="45">
        <f t="shared" si="6"/>
        <v>35000000</v>
      </c>
    </row>
    <row r="49" spans="6:23" ht="15.75" customHeight="1" x14ac:dyDescent="0.25">
      <c r="L49" s="47"/>
      <c r="M49" s="48"/>
      <c r="N49" s="48"/>
      <c r="O49" s="47"/>
      <c r="P49" s="48"/>
      <c r="Q49" s="48"/>
      <c r="U49" s="48"/>
      <c r="W49" s="47"/>
    </row>
    <row r="50" spans="6:23" ht="15.75" customHeight="1" x14ac:dyDescent="0.25">
      <c r="F50" s="49"/>
      <c r="L50" s="47"/>
      <c r="M50" s="50"/>
      <c r="N50" s="50"/>
      <c r="O50" s="51"/>
      <c r="P50" s="52"/>
    </row>
    <row r="51" spans="6:23" ht="15.75" customHeight="1" x14ac:dyDescent="0.25">
      <c r="G51" s="44"/>
      <c r="H51" s="44"/>
      <c r="V51" s="44"/>
      <c r="W51" s="49"/>
    </row>
    <row r="52" spans="6:23" ht="15.75" customHeight="1" x14ac:dyDescent="0.25">
      <c r="F52" s="53"/>
      <c r="Q52" s="44"/>
      <c r="W52" s="53"/>
    </row>
    <row r="53" spans="6:23" ht="15.75" customHeight="1" x14ac:dyDescent="0.25">
      <c r="G53" s="49"/>
      <c r="H53" s="49"/>
      <c r="I53" s="11"/>
      <c r="J53" s="44"/>
      <c r="K53" s="53"/>
    </row>
    <row r="54" spans="6:23" ht="15.75" customHeight="1" x14ac:dyDescent="0.25">
      <c r="G54" s="54"/>
      <c r="H54" s="54"/>
      <c r="I54" s="11"/>
      <c r="J54" s="44"/>
    </row>
    <row r="55" spans="6:23" ht="15.75" customHeight="1" x14ac:dyDescent="0.25">
      <c r="G55" s="54"/>
      <c r="H55" s="54"/>
    </row>
    <row r="56" spans="6:23" ht="15.75" customHeight="1" x14ac:dyDescent="0.25">
      <c r="G56" s="54"/>
      <c r="H56" s="54"/>
    </row>
    <row r="57" spans="6:23" ht="15.75" customHeight="1" x14ac:dyDescent="0.25">
      <c r="G57" s="54"/>
      <c r="H57" s="54"/>
      <c r="J57" s="53"/>
    </row>
    <row r="58" spans="6:23" ht="15.75" customHeight="1" x14ac:dyDescent="0.25">
      <c r="G58" s="54"/>
      <c r="H58" s="54"/>
    </row>
    <row r="59" spans="6:23" ht="15.75" customHeight="1" x14ac:dyDescent="0.25">
      <c r="G59" s="54"/>
      <c r="H59" s="54"/>
    </row>
    <row r="60" spans="6:23" ht="15.75" customHeight="1" x14ac:dyDescent="0.25">
      <c r="G60" s="54"/>
      <c r="H60" s="54"/>
    </row>
    <row r="61" spans="6:23" ht="15.75" customHeight="1" x14ac:dyDescent="0.25">
      <c r="G61" s="54"/>
      <c r="H61" s="54"/>
    </row>
    <row r="62" spans="6:23" ht="15.75" customHeight="1" x14ac:dyDescent="0.25"/>
    <row r="63" spans="6:23" ht="15.75" customHeight="1" x14ac:dyDescent="0.25"/>
    <row r="64" spans="6:2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6"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  <mergeCell ref="J6:K6"/>
    <mergeCell ref="L6:M6"/>
    <mergeCell ref="N6:O6"/>
    <mergeCell ref="L5:M5"/>
    <mergeCell ref="N5:O5"/>
    <mergeCell ref="X5:Y5"/>
    <mergeCell ref="Z5:AA5"/>
    <mergeCell ref="AB5:AC5"/>
    <mergeCell ref="AD5:AE5"/>
    <mergeCell ref="AF5:AG5"/>
    <mergeCell ref="A46:E46"/>
    <mergeCell ref="A48:E48"/>
    <mergeCell ref="AB6:AC6"/>
    <mergeCell ref="AD6:AE6"/>
    <mergeCell ref="AF6:AG6"/>
    <mergeCell ref="A40:E40"/>
    <mergeCell ref="A42:E42"/>
    <mergeCell ref="A44:E44"/>
    <mergeCell ref="P6:Q6"/>
    <mergeCell ref="R6:S6"/>
    <mergeCell ref="T6:U6"/>
    <mergeCell ref="V6:W6"/>
    <mergeCell ref="X6:Y6"/>
    <mergeCell ref="Z6:AA6"/>
    <mergeCell ref="F6:G6"/>
    <mergeCell ref="H6:I6"/>
  </mergeCells>
  <phoneticPr fontId="24" type="noConversion"/>
  <printOptions horizontalCentered="1" verticalCentered="1" gridLines="1"/>
  <pageMargins left="0.25" right="0.25" top="0.75" bottom="0.75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PAGOS QUINCENALES</vt:lpstr>
      <vt:lpstr>CASH FLOW con anticipo</vt:lpstr>
      <vt:lpstr>CASH FLOW sin anticipo</vt:lpstr>
      <vt:lpstr>M11</vt:lpstr>
      <vt:lpstr>M10</vt:lpstr>
      <vt:lpstr>M08</vt:lpstr>
      <vt:lpstr>M07</vt:lpstr>
      <vt:lpstr>M05</vt:lpstr>
      <vt:lpstr>M04</vt:lpstr>
      <vt:lpstr>M13</vt:lpstr>
      <vt:lpstr>M02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Rossi</cp:lastModifiedBy>
  <cp:lastPrinted>2026-06-30T18:42:11Z</cp:lastPrinted>
  <dcterms:created xsi:type="dcterms:W3CDTF">2015-06-05T18:19:34Z</dcterms:created>
  <dcterms:modified xsi:type="dcterms:W3CDTF">2026-07-04T01:19:22Z</dcterms:modified>
</cp:coreProperties>
</file>