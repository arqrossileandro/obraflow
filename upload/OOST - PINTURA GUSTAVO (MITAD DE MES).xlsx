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CERO\5. PRODUCCION\1. MANO DE OBRA\3. PLANILLA DE AVANCES\2. OOST II\"/>
    </mc:Choice>
  </mc:AlternateContent>
  <bookViews>
    <workbookView xWindow="-120" yWindow="-120" windowWidth="29040" windowHeight="15720" activeTab="2"/>
  </bookViews>
  <sheets>
    <sheet name="RESUMEN" sheetId="10" r:id="rId1"/>
    <sheet name="CASH FLOW" sheetId="9" r:id="rId2"/>
    <sheet name="PINT. Gustavo OOST" sheetId="8" r:id="rId3"/>
  </sheets>
  <definedNames>
    <definedName name="A" localSheetId="1">#REF!</definedName>
    <definedName name="A" localSheetId="2">#REF!</definedName>
    <definedName name="A">#REF!</definedName>
    <definedName name="B" localSheetId="1">#REF!</definedName>
    <definedName name="B" localSheetId="2">#REF!</definedName>
    <definedName name="B">#REF!</definedName>
    <definedName name="FECHAINGRESO" localSheetId="1">#REF!</definedName>
    <definedName name="FECHAINGRESO" localSheetId="2">#REF!</definedName>
    <definedName name="FECHAINGRESO">#REF!</definedName>
    <definedName name="FECHAPAGO_MAT" localSheetId="1">#REF!</definedName>
    <definedName name="FECHAPAGO_MAT" localSheetId="2">#REF!</definedName>
    <definedName name="FECHAPAGO_MAT">#REF!</definedName>
    <definedName name="FECHAPAGO_MO" localSheetId="1">#REF!</definedName>
    <definedName name="FECHAPAGO_MO" localSheetId="2">#REF!</definedName>
    <definedName name="FECHAPAGO_MO">#REF!</definedName>
    <definedName name="GASTOSMAT" localSheetId="1">#REF!</definedName>
    <definedName name="GASTOSMAT" localSheetId="2">#REF!</definedName>
    <definedName name="GASTOSMAT">#REF!</definedName>
    <definedName name="GASTOSMO" localSheetId="1">#REF!</definedName>
    <definedName name="GASTOSMO" localSheetId="2">#REF!</definedName>
    <definedName name="GASTOSMO">#REF!</definedName>
    <definedName name="ITEMMAT" localSheetId="1">#REF!</definedName>
    <definedName name="ITEMMAT" localSheetId="2">#REF!</definedName>
    <definedName name="ITEMMAT">#REF!</definedName>
    <definedName name="ITEMMO" localSheetId="1">#REF!</definedName>
    <definedName name="ITEMMO" localSheetId="2">#REF!</definedName>
    <definedName name="ITEMMO">#REF!</definedName>
    <definedName name="LISTA_DATOS" localSheetId="1">#REF!</definedName>
    <definedName name="LISTA_DATOS" localSheetId="2">#REF!</definedName>
    <definedName name="LISTA_DATOS">#REF!</definedName>
    <definedName name="MESES" localSheetId="1">#REF!</definedName>
    <definedName name="MESES" localSheetId="2">#REF!</definedName>
    <definedName name="MESES">#REF!</definedName>
    <definedName name="PAGO" localSheetId="1">#REF!</definedName>
    <definedName name="PAGO" localSheetId="2">#REF!</definedName>
    <definedName name="PAGO">#REF!</definedName>
    <definedName name="pedrero">#REF!</definedName>
    <definedName name="prueba">#REF!</definedName>
    <definedName name="RUBROMAT" localSheetId="1">#REF!</definedName>
    <definedName name="RUBROMAT" localSheetId="2">#REF!</definedName>
    <definedName name="RUBROMAT">#REF!</definedName>
    <definedName name="RUBROMO" localSheetId="1">#REF!</definedName>
    <definedName name="RUBROMO" localSheetId="2">#REF!</definedName>
    <definedName name="RUBROMO">#REF!</definedName>
    <definedName name="RUBROS_OBRA" localSheetId="1">#REF!</definedName>
    <definedName name="RUBROS_OBRA" localSheetId="2">#REF!</definedName>
    <definedName name="RUBROS_OBRA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yd65Iaia0HgtMSZ0YttLOOy6RWJNWGQhIzjVthwm1EA="/>
    </ext>
  </extLst>
</workbook>
</file>

<file path=xl/calcChain.xml><?xml version="1.0" encoding="utf-8"?>
<calcChain xmlns="http://schemas.openxmlformats.org/spreadsheetml/2006/main">
  <c r="F12" i="10" l="1"/>
  <c r="E38" i="8" l="1"/>
  <c r="F38" i="9"/>
  <c r="G38" i="9"/>
  <c r="H38" i="9"/>
  <c r="I38" i="9"/>
  <c r="N38" i="9"/>
  <c r="E38" i="9"/>
  <c r="D36" i="8"/>
  <c r="D33" i="8"/>
  <c r="D32" i="8"/>
  <c r="D31" i="8"/>
  <c r="D30" i="8"/>
  <c r="D29" i="8"/>
  <c r="D26" i="8"/>
  <c r="D25" i="8"/>
  <c r="D24" i="8"/>
  <c r="D23" i="8"/>
  <c r="D22" i="8"/>
  <c r="D19" i="8"/>
  <c r="D18" i="8"/>
  <c r="D17" i="8"/>
  <c r="D16" i="8"/>
  <c r="D15" i="8"/>
  <c r="D12" i="8"/>
  <c r="D11" i="8"/>
  <c r="D10" i="8"/>
  <c r="D9" i="8"/>
  <c r="D8" i="8"/>
  <c r="D36" i="9"/>
  <c r="D33" i="9"/>
  <c r="D32" i="9"/>
  <c r="D31" i="9"/>
  <c r="D30" i="9"/>
  <c r="D29" i="9"/>
  <c r="D26" i="9"/>
  <c r="D25" i="9"/>
  <c r="D24" i="9"/>
  <c r="D23" i="9"/>
  <c r="D22" i="9"/>
  <c r="D19" i="9"/>
  <c r="D18" i="9"/>
  <c r="D17" i="9"/>
  <c r="D16" i="9"/>
  <c r="D15" i="9"/>
  <c r="D12" i="9"/>
  <c r="D11" i="9"/>
  <c r="D10" i="9"/>
  <c r="D9" i="9"/>
  <c r="D8" i="9"/>
  <c r="D38" i="9" l="1"/>
  <c r="F7" i="10"/>
  <c r="G7" i="10"/>
  <c r="G5" i="10"/>
  <c r="G4" i="10"/>
  <c r="G3" i="10"/>
  <c r="F5" i="10"/>
  <c r="F4" i="10"/>
  <c r="F3" i="10"/>
  <c r="C13" i="10"/>
  <c r="C12" i="10"/>
  <c r="C10" i="10"/>
  <c r="C6" i="10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R38" i="9"/>
  <c r="R44" i="9" s="1"/>
  <c r="S38" i="9"/>
  <c r="S44" i="9" s="1"/>
  <c r="T38" i="9"/>
  <c r="U38" i="9"/>
  <c r="V38" i="9"/>
  <c r="W38" i="9"/>
  <c r="X38" i="9"/>
  <c r="Y38" i="9"/>
  <c r="Y44" i="9" s="1"/>
  <c r="Z38" i="9"/>
  <c r="Z44" i="9" s="1"/>
  <c r="AA38" i="9"/>
  <c r="AB38" i="9"/>
  <c r="AC38" i="9"/>
  <c r="AD38" i="9"/>
  <c r="AE38" i="9"/>
  <c r="AF38" i="9"/>
  <c r="Q38" i="9"/>
  <c r="Q44" i="9" s="1"/>
  <c r="P38" i="9"/>
  <c r="P44" i="9" s="1"/>
  <c r="O38" i="9"/>
  <c r="O44" i="9" s="1"/>
  <c r="N44" i="9"/>
  <c r="M38" i="9"/>
  <c r="M44" i="9" s="1"/>
  <c r="L38" i="9"/>
  <c r="L44" i="9" s="1"/>
  <c r="L46" i="9" s="1"/>
  <c r="K38" i="9"/>
  <c r="K44" i="9" s="1"/>
  <c r="K46" i="9" s="1"/>
  <c r="J38" i="9"/>
  <c r="J44" i="9" s="1"/>
  <c r="J46" i="9" s="1"/>
  <c r="I44" i="9"/>
  <c r="H44" i="9"/>
  <c r="C35" i="8"/>
  <c r="C35" i="9"/>
  <c r="E42" i="9"/>
  <c r="F42" i="9" s="1"/>
  <c r="G42" i="9" s="1"/>
  <c r="H42" i="9" s="1"/>
  <c r="I42" i="9" s="1"/>
  <c r="J42" i="9" s="1"/>
  <c r="K42" i="9" s="1"/>
  <c r="L42" i="9" s="1"/>
  <c r="M42" i="9" s="1"/>
  <c r="N42" i="9" s="1"/>
  <c r="O42" i="9" s="1"/>
  <c r="P42" i="9" s="1"/>
  <c r="Q42" i="9" s="1"/>
  <c r="R42" i="9" s="1"/>
  <c r="S42" i="9" s="1"/>
  <c r="T42" i="9" s="1"/>
  <c r="U42" i="9" s="1"/>
  <c r="V42" i="9" s="1"/>
  <c r="W42" i="9" s="1"/>
  <c r="X42" i="9" s="1"/>
  <c r="Y42" i="9" s="1"/>
  <c r="Z42" i="9" s="1"/>
  <c r="AA42" i="9" s="1"/>
  <c r="AB42" i="9" s="1"/>
  <c r="AC42" i="9" s="1"/>
  <c r="AD42" i="9" s="1"/>
  <c r="AE42" i="9" s="1"/>
  <c r="AF42" i="9" s="1"/>
  <c r="X44" i="9"/>
  <c r="W44" i="9"/>
  <c r="W46" i="9" s="1"/>
  <c r="V44" i="9"/>
  <c r="V46" i="9" s="1"/>
  <c r="U44" i="9"/>
  <c r="G44" i="9"/>
  <c r="F44" i="9"/>
  <c r="E44" i="9"/>
  <c r="C28" i="9"/>
  <c r="C21" i="9"/>
  <c r="C14" i="9"/>
  <c r="C7" i="9"/>
  <c r="D4" i="9"/>
  <c r="E42" i="8"/>
  <c r="C28" i="8"/>
  <c r="C38" i="8" s="1"/>
  <c r="C21" i="8"/>
  <c r="C14" i="8"/>
  <c r="C7" i="8"/>
  <c r="D4" i="8"/>
  <c r="D38" i="8" l="1"/>
  <c r="C38" i="9"/>
  <c r="AA44" i="9"/>
  <c r="AA46" i="9" s="1"/>
  <c r="G46" i="9"/>
  <c r="I46" i="9"/>
  <c r="Y46" i="9"/>
  <c r="X46" i="9"/>
  <c r="M46" i="9"/>
  <c r="N46" i="9"/>
  <c r="Z46" i="9"/>
  <c r="AB44" i="9"/>
  <c r="AB46" i="9" s="1"/>
  <c r="AC44" i="9"/>
  <c r="AC46" i="9" s="1"/>
  <c r="O46" i="9"/>
  <c r="P46" i="9"/>
  <c r="E46" i="9"/>
  <c r="E48" i="9" s="1"/>
  <c r="Q46" i="9"/>
  <c r="F46" i="9"/>
  <c r="R46" i="9"/>
  <c r="S46" i="9"/>
  <c r="H46" i="9"/>
  <c r="U46" i="9"/>
  <c r="AD44" i="9"/>
  <c r="AD46" i="9" s="1"/>
  <c r="AE44" i="9"/>
  <c r="AE46" i="9" s="1"/>
  <c r="T44" i="9"/>
  <c r="T46" i="9" s="1"/>
  <c r="AF44" i="9"/>
  <c r="AF46" i="9" s="1"/>
  <c r="F42" i="8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E44" i="8"/>
  <c r="E46" i="8" s="1"/>
  <c r="E48" i="8" s="1"/>
  <c r="F48" i="9" l="1"/>
  <c r="G48" i="9" s="1"/>
  <c r="H48" i="9"/>
  <c r="I48" i="9" s="1"/>
  <c r="J48" i="9" s="1"/>
  <c r="K48" i="9" s="1"/>
  <c r="L48" i="9" s="1"/>
  <c r="M48" i="9" s="1"/>
  <c r="N48" i="9" s="1"/>
  <c r="O48" i="9" s="1"/>
  <c r="P48" i="9" s="1"/>
  <c r="Q48" i="9" s="1"/>
  <c r="R48" i="9" s="1"/>
  <c r="S48" i="9" s="1"/>
  <c r="T48" i="9" s="1"/>
  <c r="U48" i="9" s="1"/>
  <c r="V48" i="9" s="1"/>
  <c r="W48" i="9" s="1"/>
  <c r="X48" i="9" s="1"/>
  <c r="Y48" i="9" s="1"/>
  <c r="Z48" i="9" s="1"/>
  <c r="AA48" i="9" s="1"/>
  <c r="AB48" i="9" s="1"/>
  <c r="AC48" i="9" s="1"/>
  <c r="AD48" i="9" s="1"/>
  <c r="AE48" i="9" s="1"/>
  <c r="AF48" i="9" s="1"/>
  <c r="Z42" i="8"/>
  <c r="Y44" i="8"/>
  <c r="Y46" i="8" s="1"/>
  <c r="X44" i="8"/>
  <c r="X46" i="8" s="1"/>
  <c r="V44" i="8"/>
  <c r="V46" i="8" s="1"/>
  <c r="R44" i="8"/>
  <c r="R46" i="8" s="1"/>
  <c r="P44" i="8"/>
  <c r="P46" i="8" s="1"/>
  <c r="N44" i="8"/>
  <c r="N46" i="8" s="1"/>
  <c r="J44" i="8"/>
  <c r="J46" i="8" s="1"/>
  <c r="H44" i="8"/>
  <c r="H46" i="8" s="1"/>
  <c r="L44" i="8"/>
  <c r="L46" i="8" s="1"/>
  <c r="F44" i="8"/>
  <c r="F46" i="8" s="1"/>
  <c r="F48" i="8" s="1"/>
  <c r="W44" i="8"/>
  <c r="W46" i="8" s="1"/>
  <c r="U44" i="8"/>
  <c r="U46" i="8" s="1"/>
  <c r="S44" i="8"/>
  <c r="S46" i="8" s="1"/>
  <c r="O44" i="8"/>
  <c r="O46" i="8" s="1"/>
  <c r="Q44" i="8"/>
  <c r="Q46" i="8" s="1"/>
  <c r="M44" i="8"/>
  <c r="M46" i="8" s="1"/>
  <c r="K44" i="8"/>
  <c r="K46" i="8" s="1"/>
  <c r="G44" i="8"/>
  <c r="G46" i="8" s="1"/>
  <c r="I44" i="8"/>
  <c r="I46" i="8" s="1"/>
  <c r="T44" i="8"/>
  <c r="T46" i="8" s="1"/>
  <c r="G48" i="8" l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AA42" i="8"/>
  <c r="Z44" i="8"/>
  <c r="Z46" i="8" s="1"/>
  <c r="Z48" i="8" l="1"/>
  <c r="AB42" i="8"/>
  <c r="AA44" i="8"/>
  <c r="AA46" i="8" s="1"/>
  <c r="AA48" i="8" l="1"/>
  <c r="AC42" i="8"/>
  <c r="AB44" i="8"/>
  <c r="AB46" i="8" s="1"/>
  <c r="AB48" i="8" l="1"/>
  <c r="AD42" i="8"/>
  <c r="AC44" i="8"/>
  <c r="AC46" i="8" s="1"/>
  <c r="AC48" i="8" l="1"/>
  <c r="AE42" i="8"/>
  <c r="AD44" i="8"/>
  <c r="AD46" i="8" s="1"/>
  <c r="AD48" i="8" l="1"/>
  <c r="AF42" i="8"/>
  <c r="AF44" i="8" s="1"/>
  <c r="AF46" i="8" s="1"/>
  <c r="AE44" i="8"/>
  <c r="AE46" i="8" s="1"/>
  <c r="AE48" i="8" l="1"/>
  <c r="AF48" i="8" s="1"/>
</calcChain>
</file>

<file path=xl/sharedStrings.xml><?xml version="1.0" encoding="utf-8"?>
<sst xmlns="http://schemas.openxmlformats.org/spreadsheetml/2006/main" count="209" uniqueCount="71">
  <si>
    <t>MES BASE ACTUALIZACIÓN</t>
  </si>
  <si>
    <t>MONTO DE OBRA INICIAL</t>
  </si>
  <si>
    <t>ANTICIPO</t>
  </si>
  <si>
    <t>ITEM</t>
  </si>
  <si>
    <t>DESCRIPCIÓN</t>
  </si>
  <si>
    <t>% ITEM</t>
  </si>
  <si>
    <t>FINALIZADO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</si>
  <si>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</si>
  <si>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</si>
  <si>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</si>
  <si>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</si>
  <si>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</si>
  <si>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</si>
  <si>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</si>
  <si>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</si>
  <si>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</si>
  <si>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</si>
  <si>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</si>
  <si>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</si>
  <si>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</si>
  <si>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</si>
  <si>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</si>
  <si>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</si>
  <si>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</si>
  <si>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</si>
  <si>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</si>
  <si>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</si>
  <si>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</si>
  <si>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</si>
  <si>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</si>
  <si>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</si>
  <si>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OBRA</t>
  </si>
  <si>
    <t>AJUSTE</t>
  </si>
  <si>
    <t>MONTO DE OBRA ACTUALIZADO</t>
  </si>
  <si>
    <t>MONTO CERTIFICADO</t>
  </si>
  <si>
    <t>MONTO A PAGAR (con descuento por adelanto)</t>
  </si>
  <si>
    <t>SALDO DE OBRA ACTUALIZADO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</si>
  <si>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</si>
  <si>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</si>
  <si>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</si>
  <si>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</si>
  <si>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</si>
  <si>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</si>
  <si>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</si>
  <si>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</si>
  <si>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</si>
  <si>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</si>
  <si>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</si>
  <si>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</si>
  <si>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P.B.</t>
  </si>
  <si>
    <t>1° PISO</t>
  </si>
  <si>
    <t>2° PISO</t>
  </si>
  <si>
    <t>3° PISO</t>
  </si>
  <si>
    <t>4° PISO</t>
  </si>
  <si>
    <t>MASILLADO PAREDES</t>
  </si>
  <si>
    <t>PINTURA PAREDES</t>
  </si>
  <si>
    <t>MASILLADO DURLOCK</t>
  </si>
  <si>
    <t>PINTURA DURLOCK</t>
  </si>
  <si>
    <t>PINTURA SUBSUELO</t>
  </si>
  <si>
    <t>PINTURA DIRECTO SOBRE PARED</t>
  </si>
  <si>
    <t>RESTA COBRAR</t>
  </si>
  <si>
    <t>4to PISO</t>
  </si>
  <si>
    <t>PASILLOS</t>
  </si>
  <si>
    <t>ASCENSOR Y PLENO</t>
  </si>
  <si>
    <t>M2</t>
  </si>
  <si>
    <t>TOTAL</t>
  </si>
  <si>
    <t>ESTRUCTURA + EMPLACADO</t>
  </si>
  <si>
    <t>MASILLADO</t>
  </si>
  <si>
    <t>PRECIO TERMINADO</t>
  </si>
  <si>
    <t>ESTR. + EMPLACADO</t>
  </si>
  <si>
    <t>OOST II - PINTURA GUSTAVO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</si>
</sst>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%"/>
    <numFmt numFmtId="166" formatCode="_-&quot;$&quot;\ * #,##0_-;\-&quot;$&quot;\ * #,##0_-;_-&quot;$&quot;\ * &quot;-&quot;??_-;_-@"/>
    <numFmt numFmtId="167" formatCode="_-[$$-2C0A]\ * #,##0_-;\-[$$-2C0A]\ * #,##0_-;_-[$$-2C0A]\ * &quot;-&quot;??_-;_-@"/>
    <numFmt numFmtId="168" formatCode="_-[$$-2C0A]\ * #,##0.00_-;\-[$$-2C0A]\ * #,##0.00_-;_-[$$-2C0A]\ * &quot;-&quot;??_-;_-@"/>
    <numFmt numFmtId="169" formatCode="_-[$$-2C0A]\ * #,##0.000_-;\-[$$-2C0A]\ * #,##0.000_-;_-[$$-2C0A]\ * &quot;-&quot;??_-;_-@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name val="Calibri"/>
    </font>
    <font>
      <b/>
      <sz val="12"/>
      <color theme="1"/>
      <name val="Calibri"/>
    </font>
    <font>
      <b/>
      <sz val="12"/>
      <color rgb="FFBFBFBF"/>
      <name val="Calibri"/>
    </font>
    <font>
      <b/>
      <sz val="11"/>
      <color rgb="FFBFBFBF"/>
      <name val="Calibri"/>
    </font>
    <font>
      <sz val="11"/>
      <color rgb="FF7F7F7F"/>
      <name val="Calibri"/>
    </font>
    <font>
      <b/>
      <sz val="14"/>
      <color rgb="FFBFBFBF"/>
      <name val="Calibri"/>
    </font>
    <font>
      <b/>
      <sz val="11"/>
      <color theme="0"/>
      <name val="Calibri"/>
    </font>
    <font>
      <b/>
      <sz val="12"/>
      <color theme="5"/>
      <name val="Calibri"/>
    </font>
    <font>
      <b/>
      <sz val="11"/>
      <color theme="5"/>
      <name val="Calibri"/>
    </font>
    <font>
      <sz val="11"/>
      <color rgb="FFBFBFBF"/>
      <name val="Calibri"/>
    </font>
    <font>
      <b/>
      <sz val="14"/>
      <color theme="9"/>
      <name val="Calibri"/>
    </font>
    <font>
      <b/>
      <sz val="14"/>
      <color rgb="FF00B050"/>
      <name val="Calibri"/>
    </font>
    <font>
      <b/>
      <sz val="11"/>
      <color rgb="FF00B050"/>
      <name val="Calibri"/>
    </font>
    <font>
      <b/>
      <sz val="11"/>
      <color rgb="FFC00000"/>
      <name val="Calibri"/>
    </font>
    <font>
      <b/>
      <sz val="12"/>
      <color theme="0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BFBFBF"/>
      <name val="Calibri"/>
      <family val="2"/>
      <scheme val="minor"/>
    </font>
    <font>
      <b/>
      <sz val="11"/>
      <color rgb="FFBFBFBF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BFBFBF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53333"/>
        <bgColor rgb="FF353333"/>
      </patternFill>
    </fill>
    <fill>
      <patternFill patternType="solid">
        <fgColor rgb="FF3533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0" xfId="0" applyFont="1"/>
    <xf numFmtId="165" fontId="3" fillId="0" borderId="0" xfId="0" applyNumberFormat="1" applyFont="1" applyAlignment="1">
      <alignment horizontal="right"/>
    </xf>
    <xf numFmtId="0" fontId="3" fillId="0" borderId="7" xfId="0" applyFont="1" applyBorder="1" applyAlignment="1">
      <alignment horizontal="center"/>
    </xf>
    <xf numFmtId="10" fontId="3" fillId="0" borderId="8" xfId="0" applyNumberFormat="1" applyFont="1" applyBorder="1"/>
    <xf numFmtId="10" fontId="3" fillId="0" borderId="0" xfId="0" applyNumberFormat="1" applyFont="1"/>
    <xf numFmtId="10" fontId="2" fillId="0" borderId="8" xfId="0" applyNumberFormat="1" applyFont="1" applyBorder="1"/>
    <xf numFmtId="10" fontId="2" fillId="0" borderId="0" xfId="0" applyNumberFormat="1" applyFont="1"/>
    <xf numFmtId="9" fontId="2" fillId="0" borderId="8" xfId="0" applyNumberFormat="1" applyFont="1" applyBorder="1"/>
    <xf numFmtId="9" fontId="2" fillId="0" borderId="7" xfId="0" applyNumberFormat="1" applyFont="1" applyBorder="1"/>
    <xf numFmtId="10" fontId="3" fillId="0" borderId="7" xfId="0" applyNumberFormat="1" applyFont="1" applyBorder="1"/>
    <xf numFmtId="10" fontId="2" fillId="0" borderId="7" xfId="0" applyNumberFormat="1" applyFont="1" applyBorder="1"/>
    <xf numFmtId="165" fontId="2" fillId="0" borderId="0" xfId="0" applyNumberFormat="1" applyFont="1" applyAlignment="1">
      <alignment horizontal="right"/>
    </xf>
    <xf numFmtId="10" fontId="9" fillId="0" borderId="0" xfId="0" applyNumberFormat="1" applyFont="1"/>
    <xf numFmtId="165" fontId="8" fillId="2" borderId="9" xfId="0" applyNumberFormat="1" applyFont="1" applyFill="1" applyBorder="1" applyAlignment="1">
      <alignment horizontal="center"/>
    </xf>
    <xf numFmtId="10" fontId="2" fillId="2" borderId="9" xfId="0" applyNumberFormat="1" applyFont="1" applyFill="1" applyBorder="1"/>
    <xf numFmtId="10" fontId="9" fillId="2" borderId="1" xfId="0" applyNumberFormat="1" applyFont="1" applyFill="1" applyBorder="1"/>
    <xf numFmtId="10" fontId="2" fillId="2" borderId="1" xfId="0" applyNumberFormat="1" applyFont="1" applyFill="1" applyBorder="1"/>
    <xf numFmtId="9" fontId="2" fillId="2" borderId="9" xfId="0" applyNumberFormat="1" applyFont="1" applyFill="1" applyBorder="1"/>
    <xf numFmtId="9" fontId="3" fillId="0" borderId="7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 vertical="center"/>
    </xf>
    <xf numFmtId="10" fontId="7" fillId="2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9" fontId="4" fillId="0" borderId="0" xfId="0" applyNumberFormat="1" applyFont="1"/>
    <xf numFmtId="10" fontId="11" fillId="2" borderId="1" xfId="0" applyNumberFormat="1" applyFont="1" applyFill="1" applyBorder="1"/>
    <xf numFmtId="166" fontId="13" fillId="2" borderId="1" xfId="0" applyNumberFormat="1" applyFont="1" applyFill="1" applyBorder="1"/>
    <xf numFmtId="166" fontId="4" fillId="2" borderId="1" xfId="0" applyNumberFormat="1" applyFont="1" applyFill="1" applyBorder="1"/>
    <xf numFmtId="167" fontId="16" fillId="2" borderId="11" xfId="0" applyNumberFormat="1" applyFont="1" applyFill="1" applyBorder="1"/>
    <xf numFmtId="167" fontId="16" fillId="2" borderId="6" xfId="0" applyNumberFormat="1" applyFont="1" applyFill="1" applyBorder="1"/>
    <xf numFmtId="167" fontId="2" fillId="0" borderId="0" xfId="0" applyNumberFormat="1" applyFont="1"/>
    <xf numFmtId="167" fontId="11" fillId="2" borderId="1" xfId="0" applyNumberFormat="1" applyFont="1" applyFill="1" applyBorder="1"/>
    <xf numFmtId="168" fontId="11" fillId="2" borderId="1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7" fontId="17" fillId="0" borderId="0" xfId="0" applyNumberFormat="1" applyFont="1"/>
    <xf numFmtId="167" fontId="3" fillId="0" borderId="0" xfId="0" applyNumberFormat="1" applyFont="1"/>
    <xf numFmtId="167" fontId="18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5" fontId="3" fillId="0" borderId="0" xfId="0" applyNumberFormat="1" applyFont="1" applyAlignment="1">
      <alignment horizontal="center"/>
    </xf>
    <xf numFmtId="10" fontId="19" fillId="3" borderId="6" xfId="0" applyNumberFormat="1" applyFont="1" applyFill="1" applyBorder="1"/>
    <xf numFmtId="10" fontId="23" fillId="0" borderId="0" xfId="0" applyNumberFormat="1" applyFont="1"/>
    <xf numFmtId="10" fontId="23" fillId="0" borderId="7" xfId="0" applyNumberFormat="1" applyFont="1" applyBorder="1"/>
    <xf numFmtId="10" fontId="22" fillId="0" borderId="7" xfId="0" applyNumberFormat="1" applyFont="1" applyBorder="1"/>
    <xf numFmtId="10" fontId="22" fillId="0" borderId="0" xfId="0" applyNumberFormat="1" applyFont="1"/>
    <xf numFmtId="0" fontId="3" fillId="0" borderId="9" xfId="0" applyFont="1" applyBorder="1" applyAlignment="1">
      <alignment horizontal="center"/>
    </xf>
    <xf numFmtId="10" fontId="2" fillId="0" borderId="9" xfId="0" applyNumberFormat="1" applyFont="1" applyBorder="1"/>
    <xf numFmtId="9" fontId="2" fillId="0" borderId="15" xfId="0" applyNumberFormat="1" applyFont="1" applyBorder="1"/>
    <xf numFmtId="9" fontId="2" fillId="0" borderId="9" xfId="0" applyNumberFormat="1" applyFont="1" applyBorder="1"/>
    <xf numFmtId="10" fontId="2" fillId="3" borderId="9" xfId="0" applyNumberFormat="1" applyFont="1" applyFill="1" applyBorder="1"/>
    <xf numFmtId="10" fontId="2" fillId="3" borderId="0" xfId="0" applyNumberFormat="1" applyFont="1" applyFill="1"/>
    <xf numFmtId="9" fontId="2" fillId="3" borderId="15" xfId="0" applyNumberFormat="1" applyFont="1" applyFill="1" applyBorder="1"/>
    <xf numFmtId="9" fontId="2" fillId="3" borderId="9" xfId="0" applyNumberFormat="1" applyFont="1" applyFill="1" applyBorder="1"/>
    <xf numFmtId="0" fontId="24" fillId="3" borderId="0" xfId="0" applyFont="1" applyFill="1" applyAlignment="1">
      <alignment horizontal="center"/>
    </xf>
    <xf numFmtId="0" fontId="25" fillId="3" borderId="9" xfId="0" applyFont="1" applyFill="1" applyBorder="1" applyAlignment="1">
      <alignment horizontal="center"/>
    </xf>
    <xf numFmtId="0" fontId="1" fillId="0" borderId="0" xfId="0" applyFont="1"/>
    <xf numFmtId="10" fontId="2" fillId="4" borderId="0" xfId="0" applyNumberFormat="1" applyFont="1" applyFill="1"/>
    <xf numFmtId="10" fontId="3" fillId="4" borderId="0" xfId="0" applyNumberFormat="1" applyFont="1" applyFill="1"/>
    <xf numFmtId="10" fontId="23" fillId="4" borderId="0" xfId="0" applyNumberFormat="1" applyFont="1" applyFill="1"/>
    <xf numFmtId="0" fontId="21" fillId="0" borderId="0" xfId="0" applyFont="1"/>
    <xf numFmtId="0" fontId="26" fillId="0" borderId="0" xfId="0" applyFont="1"/>
    <xf numFmtId="0" fontId="26" fillId="0" borderId="16" xfId="0" applyFont="1" applyBorder="1"/>
    <xf numFmtId="44" fontId="21" fillId="0" borderId="0" xfId="1" applyFont="1" applyAlignment="1">
      <alignment horizontal="right"/>
    </xf>
    <xf numFmtId="44" fontId="0" fillId="0" borderId="0" xfId="0" applyNumberFormat="1"/>
    <xf numFmtId="0" fontId="21" fillId="0" borderId="0" xfId="0" applyFont="1" applyAlignment="1">
      <alignment horizontal="right"/>
    </xf>
    <xf numFmtId="10" fontId="2" fillId="4" borderId="7" xfId="0" applyNumberFormat="1" applyFont="1" applyFill="1" applyBorder="1"/>
    <xf numFmtId="10" fontId="3" fillId="5" borderId="8" xfId="0" applyNumberFormat="1" applyFont="1" applyFill="1" applyBorder="1"/>
    <xf numFmtId="10" fontId="3" fillId="5" borderId="7" xfId="0" applyNumberFormat="1" applyFont="1" applyFill="1" applyBorder="1"/>
    <xf numFmtId="10" fontId="22" fillId="5" borderId="7" xfId="0" applyNumberFormat="1" applyFont="1" applyFill="1" applyBorder="1"/>
    <xf numFmtId="10" fontId="2" fillId="5" borderId="7" xfId="0" applyNumberFormat="1" applyFont="1" applyFill="1" applyBorder="1"/>
    <xf numFmtId="10" fontId="22" fillId="5" borderId="0" xfId="0" applyNumberFormat="1" applyFont="1" applyFill="1"/>
    <xf numFmtId="10" fontId="3" fillId="5" borderId="0" xfId="0" applyNumberFormat="1" applyFont="1" applyFill="1"/>
    <xf numFmtId="10" fontId="23" fillId="5" borderId="0" xfId="0" applyNumberFormat="1" applyFont="1" applyFill="1"/>
    <xf numFmtId="10" fontId="2" fillId="5" borderId="0" xfId="0" applyNumberFormat="1" applyFont="1" applyFill="1"/>
    <xf numFmtId="10" fontId="23" fillId="5" borderId="7" xfId="0" applyNumberFormat="1" applyFont="1" applyFill="1" applyBorder="1"/>
    <xf numFmtId="10" fontId="3" fillId="0" borderId="7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right"/>
    </xf>
    <xf numFmtId="165" fontId="27" fillId="3" borderId="0" xfId="0" applyNumberFormat="1" applyFont="1" applyFill="1" applyAlignment="1">
      <alignment horizontal="center"/>
    </xf>
    <xf numFmtId="0" fontId="28" fillId="2" borderId="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8" fillId="2" borderId="1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/>
    <xf numFmtId="0" fontId="12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BFBFBF"/>
      <color rgb="FF35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3"/>
  <sheetViews>
    <sheetView workbookViewId="0">
      <selection activeCell="E15" sqref="E15"/>
    </sheetView>
  </sheetViews>
  <sheetFormatPr baseColWidth="10" defaultRowHeight="15"/>
  <cols>
    <col min="1" max="1" width="26.42578125" bestFit="1" customWidth="1"/>
    <col min="3" max="3" width="14.5703125" bestFit="1" customWidth="1"/>
    <col min="6" max="6" width="20.42578125" customWidth="1"/>
    <col min="7" max="7" width="14.5703125" bestFit="1" customWidth="1"/>
    <col min="9" max="9" width="14.5703125" bestFit="1" customWidth="1"/>
  </cols>
  <sheetData>
    <row r="1" spans="1:9" ht="18.75">
      <c r="A1" s="76" t="s">
        <v>60</v>
      </c>
      <c r="C1" s="78">
        <v>9006000</v>
      </c>
      <c r="F1" s="75" t="s">
        <v>69</v>
      </c>
      <c r="G1" s="75" t="s">
        <v>67</v>
      </c>
    </row>
    <row r="2" spans="1:9" ht="18.75">
      <c r="A2" s="76"/>
    </row>
    <row r="3" spans="1:9" ht="18.75">
      <c r="A3" s="76" t="s">
        <v>61</v>
      </c>
      <c r="C3">
        <v>327</v>
      </c>
      <c r="D3" s="71" t="s">
        <v>64</v>
      </c>
      <c r="F3" s="79">
        <f>C3*C12</f>
        <v>2267847.5247524749</v>
      </c>
      <c r="G3" s="79">
        <f>C3*C13</f>
        <v>971934.65346534643</v>
      </c>
    </row>
    <row r="4" spans="1:9" ht="18.75">
      <c r="A4" s="76" t="s">
        <v>62</v>
      </c>
      <c r="C4">
        <v>565</v>
      </c>
      <c r="D4" s="71" t="s">
        <v>64</v>
      </c>
      <c r="F4" s="79">
        <f>C4*C12</f>
        <v>3918452.1452145213</v>
      </c>
      <c r="G4" s="79">
        <f>C4*C13</f>
        <v>1679336.6336633661</v>
      </c>
    </row>
    <row r="5" spans="1:9" ht="18.75">
      <c r="A5" s="76" t="s">
        <v>63</v>
      </c>
      <c r="C5">
        <v>17</v>
      </c>
      <c r="D5" s="71" t="s">
        <v>64</v>
      </c>
      <c r="F5" s="79">
        <f>C5*C12</f>
        <v>117900.33003300329</v>
      </c>
      <c r="G5" s="79">
        <f>C5*C13</f>
        <v>50528.71287128712</v>
      </c>
    </row>
    <row r="6" spans="1:9" ht="18.75">
      <c r="B6" s="76" t="s">
        <v>65</v>
      </c>
      <c r="C6" s="77">
        <f>SUM(C3:C5)</f>
        <v>909</v>
      </c>
      <c r="D6" s="77" t="s">
        <v>64</v>
      </c>
    </row>
    <row r="7" spans="1:9">
      <c r="F7" s="79">
        <f>SUM(F3:F6)</f>
        <v>6304199.9999999991</v>
      </c>
      <c r="G7" s="79">
        <f>SUM(G3:G6)</f>
        <v>2701799.9999999995</v>
      </c>
      <c r="I7" s="79"/>
    </row>
    <row r="10" spans="1:9">
      <c r="A10" s="75" t="s">
        <v>68</v>
      </c>
      <c r="C10" s="79">
        <f>C1/C6</f>
        <v>9907.590759075907</v>
      </c>
      <c r="D10" s="71" t="s">
        <v>64</v>
      </c>
    </row>
    <row r="11" spans="1:9">
      <c r="A11" s="75"/>
    </row>
    <row r="12" spans="1:9">
      <c r="A12" s="80" t="s">
        <v>66</v>
      </c>
      <c r="C12" s="79">
        <f>C10*0.7</f>
        <v>6935.3135313531347</v>
      </c>
      <c r="D12" s="71" t="s">
        <v>64</v>
      </c>
      <c r="F12" s="79">
        <f>F4+F5</f>
        <v>4036352.4752475247</v>
      </c>
    </row>
    <row r="13" spans="1:9">
      <c r="A13" s="80" t="s">
        <v>67</v>
      </c>
      <c r="C13" s="79">
        <f>C10*0.3</f>
        <v>2972.2772277227718</v>
      </c>
      <c r="D13" s="7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F1002"/>
  <sheetViews>
    <sheetView zoomScale="85" zoomScaleNormal="85" workbookViewId="0">
      <pane xSplit="3" topLeftCell="D1" activePane="topRight" state="frozen"/>
      <selection pane="topRight" activeCell="K18" sqref="K18"/>
    </sheetView>
  </sheetViews>
  <sheetFormatPr baseColWidth="10" defaultColWidth="14.42578125" defaultRowHeight="15" customHeight="1" outlineLevelRow="1"/>
  <cols>
    <col min="1" max="1" width="10.7109375" customWidth="1"/>
    <col min="2" max="2" width="36.5703125" customWidth="1"/>
    <col min="3" max="3" width="16.85546875" customWidth="1"/>
    <col min="4" max="4" width="13" customWidth="1"/>
    <col min="5" max="5" width="18.7109375" customWidth="1"/>
    <col min="6" max="7" width="18.28515625" customWidth="1"/>
    <col min="8" max="9" width="20.28515625" customWidth="1"/>
    <col min="10" max="14" width="18.7109375" customWidth="1"/>
    <col min="15" max="15" width="18.5703125" customWidth="1"/>
    <col min="16" max="16" width="18.7109375" customWidth="1"/>
    <col min="17" max="17" width="16.5703125" customWidth="1"/>
    <col min="18" max="21" width="18.7109375" customWidth="1"/>
    <col min="22" max="22" width="18.5703125" customWidth="1"/>
    <col min="23" max="32" width="18.7109375" customWidth="1"/>
  </cols>
  <sheetData>
    <row r="1" spans="1:32" ht="30" customHeight="1">
      <c r="A1" s="1"/>
      <c r="B1" s="94" t="s">
        <v>70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05" t="s">
        <v>0</v>
      </c>
      <c r="B2" s="106"/>
      <c r="C2" s="3">
        <v>46113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32">
      <c r="A3" s="105" t="s">
        <v>1</v>
      </c>
      <c r="B3" s="106"/>
      <c r="C3" s="5">
        <v>64500000</v>
      </c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32">
      <c r="A4" s="105" t="s">
        <v>2</v>
      </c>
      <c r="B4" s="106"/>
      <c r="C4" s="5">
        <v>6000000</v>
      </c>
      <c r="D4" s="55">
        <f>C4/C3</f>
        <v>9.3023255813953487E-2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32">
      <c r="A5" s="6"/>
      <c r="B5" s="6"/>
      <c r="C5" s="6"/>
      <c r="D5" s="6"/>
      <c r="E5" s="103" t="s">
        <v>37</v>
      </c>
      <c r="F5" s="104"/>
      <c r="G5" s="103" t="s">
        <v>38</v>
      </c>
      <c r="H5" s="104"/>
      <c r="I5" s="103" t="s">
        <v>39</v>
      </c>
      <c r="J5" s="104"/>
      <c r="K5" s="103" t="s">
        <v>40</v>
      </c>
      <c r="L5" s="104"/>
      <c r="M5" s="103" t="s">
        <v>41</v>
      </c>
      <c r="N5" s="104"/>
      <c r="O5" s="103" t="s">
        <v>42</v>
      </c>
      <c r="P5" s="104"/>
      <c r="Q5" s="103" t="s">
        <v>43</v>
      </c>
      <c r="R5" s="104"/>
      <c r="S5" s="103" t="s">
        <v>44</v>
      </c>
      <c r="T5" s="104"/>
      <c r="U5" s="103" t="s">
        <v>45</v>
      </c>
      <c r="V5" s="104"/>
      <c r="W5" s="103" t="s">
        <v>46</v>
      </c>
      <c r="X5" s="104"/>
      <c r="Y5" s="103" t="s">
        <v>47</v>
      </c>
      <c r="Z5" s="104"/>
      <c r="AA5" s="103" t="s">
        <v>48</v>
      </c>
      <c r="AB5" s="104"/>
      <c r="AC5" s="103" t="s">
        <v>37</v>
      </c>
      <c r="AD5" s="104"/>
      <c r="AE5" s="103" t="s">
        <v>38</v>
      </c>
      <c r="AF5" s="104"/>
    </row>
    <row r="6" spans="1:32" ht="16.5" thickBot="1">
      <c r="A6" s="2" t="s">
        <v>3</v>
      </c>
      <c r="B6" s="2" t="s">
        <v>4</v>
      </c>
      <c r="C6" s="2" t="s">
        <v>5</v>
      </c>
      <c r="D6" s="2" t="s">
        <v>6</v>
      </c>
      <c r="E6" s="99" t="s">
        <v>7</v>
      </c>
      <c r="F6" s="100"/>
      <c r="G6" s="99" t="s">
        <v>8</v>
      </c>
      <c r="H6" s="100"/>
      <c r="I6" s="99" t="s">
        <v>9</v>
      </c>
      <c r="J6" s="100"/>
      <c r="K6" s="99" t="s">
        <v>10</v>
      </c>
      <c r="L6" s="100"/>
      <c r="M6" s="99" t="s">
        <v>11</v>
      </c>
      <c r="N6" s="100"/>
      <c r="O6" s="99" t="s">
        <v>12</v>
      </c>
      <c r="P6" s="100"/>
      <c r="Q6" s="99" t="s">
        <v>13</v>
      </c>
      <c r="R6" s="100"/>
      <c r="S6" s="99" t="s">
        <v>14</v>
      </c>
      <c r="T6" s="100"/>
      <c r="U6" s="99" t="s">
        <v>15</v>
      </c>
      <c r="V6" s="100"/>
      <c r="W6" s="99" t="s">
        <v>16</v>
      </c>
      <c r="X6" s="100"/>
      <c r="Y6" s="99" t="s">
        <v>17</v>
      </c>
      <c r="Z6" s="100"/>
      <c r="AA6" s="99" t="s">
        <v>18</v>
      </c>
      <c r="AB6" s="100"/>
      <c r="AC6" s="99" t="s">
        <v>19</v>
      </c>
      <c r="AD6" s="100"/>
      <c r="AE6" s="99" t="s">
        <v>20</v>
      </c>
      <c r="AF6" s="100"/>
    </row>
    <row r="7" spans="1:32" ht="16.5" thickBot="1">
      <c r="A7" s="7">
        <v>1</v>
      </c>
      <c r="B7" s="7" t="s">
        <v>54</v>
      </c>
      <c r="C7" s="8">
        <f>SUM(C8:C12)</f>
        <v>0.25</v>
      </c>
      <c r="D7" s="9"/>
      <c r="E7" s="10" t="s">
        <v>21</v>
      </c>
      <c r="F7" s="10" t="s">
        <v>22</v>
      </c>
      <c r="G7" s="10" t="s">
        <v>21</v>
      </c>
      <c r="H7" s="10" t="s">
        <v>22</v>
      </c>
      <c r="I7" s="10" t="s">
        <v>21</v>
      </c>
      <c r="J7" s="10" t="s">
        <v>22</v>
      </c>
      <c r="K7" s="10" t="s">
        <v>21</v>
      </c>
      <c r="L7" s="10" t="s">
        <v>22</v>
      </c>
      <c r="M7" s="10" t="s">
        <v>21</v>
      </c>
      <c r="N7" s="10" t="s">
        <v>22</v>
      </c>
      <c r="O7" s="10" t="s">
        <v>21</v>
      </c>
      <c r="P7" s="10" t="s">
        <v>22</v>
      </c>
      <c r="Q7" s="10" t="s">
        <v>21</v>
      </c>
      <c r="R7" s="10" t="s">
        <v>22</v>
      </c>
      <c r="S7" s="10" t="s">
        <v>21</v>
      </c>
      <c r="T7" s="10" t="s">
        <v>22</v>
      </c>
      <c r="U7" s="10" t="s">
        <v>21</v>
      </c>
      <c r="V7" s="10" t="s">
        <v>22</v>
      </c>
      <c r="W7" s="10" t="s">
        <v>21</v>
      </c>
      <c r="X7" s="10" t="s">
        <v>22</v>
      </c>
      <c r="Y7" s="10" t="s">
        <v>23</v>
      </c>
      <c r="Z7" s="10" t="s">
        <v>24</v>
      </c>
      <c r="AA7" s="10" t="s">
        <v>25</v>
      </c>
      <c r="AB7" s="10" t="s">
        <v>26</v>
      </c>
      <c r="AC7" s="10" t="s">
        <v>27</v>
      </c>
      <c r="AD7" s="10" t="s">
        <v>28</v>
      </c>
      <c r="AE7" s="10" t="s">
        <v>29</v>
      </c>
      <c r="AF7" s="10" t="s">
        <v>30</v>
      </c>
    </row>
    <row r="8" spans="1:32">
      <c r="A8" s="11">
        <v>1</v>
      </c>
      <c r="B8" s="11" t="s">
        <v>49</v>
      </c>
      <c r="C8" s="12">
        <v>0.05</v>
      </c>
      <c r="D8" s="91">
        <f>SUM(E8:AF8)</f>
        <v>0.05</v>
      </c>
      <c r="E8" s="14"/>
      <c r="F8" s="86">
        <v>2.5000000000000001E-2</v>
      </c>
      <c r="G8" s="82">
        <v>2.5000000000000001E-2</v>
      </c>
      <c r="H8" s="16"/>
      <c r="I8" s="16"/>
      <c r="J8" s="17"/>
      <c r="K8" s="16"/>
      <c r="L8" s="17"/>
      <c r="M8" s="16"/>
      <c r="N8" s="17"/>
      <c r="O8" s="16"/>
      <c r="P8" s="17"/>
      <c r="Q8" s="16"/>
      <c r="R8" s="17"/>
      <c r="S8" s="16"/>
      <c r="T8" s="17"/>
      <c r="U8" s="16"/>
      <c r="V8" s="17"/>
      <c r="W8" s="18"/>
      <c r="X8" s="19"/>
      <c r="Y8" s="18"/>
      <c r="Z8" s="19"/>
      <c r="AA8" s="18"/>
      <c r="AB8" s="19"/>
      <c r="AC8" s="18"/>
      <c r="AD8" s="19"/>
      <c r="AE8" s="18"/>
      <c r="AF8" s="19"/>
    </row>
    <row r="9" spans="1:32">
      <c r="A9" s="11">
        <v>2</v>
      </c>
      <c r="B9" s="11" t="s">
        <v>50</v>
      </c>
      <c r="C9" s="12">
        <v>0.05</v>
      </c>
      <c r="D9" s="91">
        <f>SUM(E9:AF9)</f>
        <v>0.05</v>
      </c>
      <c r="E9" s="20"/>
      <c r="F9" s="86">
        <v>2.5000000000000001E-2</v>
      </c>
      <c r="G9" s="83">
        <v>2.5000000000000001E-2</v>
      </c>
      <c r="H9" s="21"/>
      <c r="I9" s="21"/>
      <c r="J9" s="17"/>
      <c r="K9" s="21"/>
      <c r="L9" s="17"/>
      <c r="M9" s="21"/>
      <c r="N9" s="17"/>
      <c r="O9" s="21"/>
      <c r="P9" s="17"/>
      <c r="Q9" s="21"/>
      <c r="R9" s="17"/>
      <c r="S9" s="21"/>
      <c r="T9" s="17"/>
      <c r="U9" s="21"/>
      <c r="V9" s="17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>
      <c r="A10" s="11">
        <v>3</v>
      </c>
      <c r="B10" s="11" t="s">
        <v>51</v>
      </c>
      <c r="C10" s="12">
        <v>0.05</v>
      </c>
      <c r="D10" s="91">
        <f>SUM(E10:AF10)</f>
        <v>0.05</v>
      </c>
      <c r="E10" s="20"/>
      <c r="F10" s="15"/>
      <c r="G10" s="84">
        <v>2.5000000000000001E-2</v>
      </c>
      <c r="H10" s="83">
        <v>2.5000000000000001E-2</v>
      </c>
      <c r="I10" s="21"/>
      <c r="J10" s="17"/>
      <c r="K10" s="21"/>
      <c r="L10" s="17"/>
      <c r="M10" s="21"/>
      <c r="N10" s="17"/>
      <c r="O10" s="21"/>
      <c r="P10" s="17"/>
      <c r="Q10" s="21"/>
      <c r="R10" s="17"/>
      <c r="S10" s="21"/>
      <c r="T10" s="17"/>
      <c r="U10" s="21"/>
      <c r="V10" s="17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>
      <c r="A11" s="11">
        <v>4</v>
      </c>
      <c r="B11" s="11" t="s">
        <v>52</v>
      </c>
      <c r="C11" s="12">
        <v>0.05</v>
      </c>
      <c r="D11" s="91">
        <f>SUM(E11:AF11)</f>
        <v>0.05</v>
      </c>
      <c r="E11" s="20"/>
      <c r="F11" s="15"/>
      <c r="G11" s="84">
        <v>2.5000000000000001E-2</v>
      </c>
      <c r="H11" s="83">
        <v>2.5000000000000001E-2</v>
      </c>
      <c r="I11" s="21"/>
      <c r="J11" s="17"/>
      <c r="K11" s="21"/>
      <c r="L11" s="17"/>
      <c r="M11" s="21"/>
      <c r="N11" s="17"/>
      <c r="O11" s="21"/>
      <c r="P11" s="17"/>
      <c r="Q11" s="21"/>
      <c r="R11" s="17"/>
      <c r="S11" s="21"/>
      <c r="T11" s="17"/>
      <c r="U11" s="21"/>
      <c r="V11" s="17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>
      <c r="A12" s="11">
        <v>5</v>
      </c>
      <c r="B12" s="11" t="s">
        <v>53</v>
      </c>
      <c r="C12" s="12">
        <v>0.05</v>
      </c>
      <c r="D12" s="91">
        <f>SUM(E12:AF12)</f>
        <v>0.05</v>
      </c>
      <c r="E12" s="20"/>
      <c r="F12" s="15"/>
      <c r="G12" s="84">
        <v>1.2500000000000001E-2</v>
      </c>
      <c r="H12" s="83">
        <v>3.7499999999999999E-2</v>
      </c>
      <c r="I12" s="21"/>
      <c r="J12" s="17"/>
      <c r="K12" s="21"/>
      <c r="L12" s="17"/>
      <c r="M12" s="21"/>
      <c r="N12" s="17"/>
      <c r="O12" s="21"/>
      <c r="P12" s="17"/>
      <c r="Q12" s="21"/>
      <c r="R12" s="17"/>
      <c r="S12" s="21"/>
      <c r="T12" s="17"/>
      <c r="U12" s="21"/>
      <c r="V12" s="17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>
      <c r="C13" s="22"/>
      <c r="D13" s="13"/>
      <c r="E13" s="21"/>
      <c r="F13" s="23"/>
      <c r="G13" s="21"/>
      <c r="H13" s="21"/>
      <c r="I13" s="21"/>
      <c r="J13" s="17"/>
      <c r="K13" s="21"/>
      <c r="L13" s="17"/>
      <c r="M13" s="21"/>
      <c r="N13" s="17"/>
      <c r="O13" s="21"/>
      <c r="P13" s="17"/>
      <c r="Q13" s="21"/>
      <c r="R13" s="17"/>
      <c r="S13" s="21"/>
      <c r="T13" s="17"/>
      <c r="U13" s="21"/>
      <c r="V13" s="17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ht="15.75">
      <c r="A14" s="7">
        <v>2</v>
      </c>
      <c r="B14" s="7" t="s">
        <v>55</v>
      </c>
      <c r="C14" s="8">
        <f>SUM(C15:C19)</f>
        <v>0.25</v>
      </c>
      <c r="D14" s="24"/>
      <c r="E14" s="25"/>
      <c r="F14" s="26"/>
      <c r="G14" s="25"/>
      <c r="H14" s="25"/>
      <c r="I14" s="25"/>
      <c r="J14" s="27"/>
      <c r="K14" s="25"/>
      <c r="L14" s="27"/>
      <c r="M14" s="25"/>
      <c r="N14" s="27"/>
      <c r="O14" s="25"/>
      <c r="P14" s="27"/>
      <c r="Q14" s="25"/>
      <c r="R14" s="27"/>
      <c r="S14" s="25"/>
      <c r="T14" s="27"/>
      <c r="U14" s="25"/>
      <c r="V14" s="27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>
      <c r="A15" s="11">
        <v>1</v>
      </c>
      <c r="B15" s="11" t="s">
        <v>49</v>
      </c>
      <c r="C15" s="12">
        <v>0.05</v>
      </c>
      <c r="D15" s="91">
        <f t="shared" ref="D15:D19" si="0">SUM(E15:AF15)</f>
        <v>0.05</v>
      </c>
      <c r="E15" s="20"/>
      <c r="F15" s="15"/>
      <c r="G15" s="20"/>
      <c r="H15" s="21"/>
      <c r="I15" s="21"/>
      <c r="J15" s="15"/>
      <c r="K15" s="85">
        <v>2.5000000000000001E-2</v>
      </c>
      <c r="L15" s="17"/>
      <c r="M15" s="21"/>
      <c r="N15" s="17"/>
      <c r="O15" s="21"/>
      <c r="P15" s="88">
        <v>2.5000000000000001E-2</v>
      </c>
      <c r="Q15" s="58"/>
      <c r="R15" s="17"/>
      <c r="S15" s="21"/>
      <c r="T15" s="17"/>
      <c r="U15" s="21"/>
      <c r="V15" s="17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>
      <c r="A16" s="11">
        <v>2</v>
      </c>
      <c r="B16" s="11" t="s">
        <v>50</v>
      </c>
      <c r="C16" s="12">
        <v>0.05</v>
      </c>
      <c r="D16" s="91">
        <f t="shared" si="0"/>
        <v>0.05</v>
      </c>
      <c r="E16" s="21"/>
      <c r="F16" s="15"/>
      <c r="G16" s="21"/>
      <c r="H16" s="20"/>
      <c r="I16" s="21"/>
      <c r="J16" s="57"/>
      <c r="K16" s="85">
        <v>2.5000000000000001E-2</v>
      </c>
      <c r="L16" s="15"/>
      <c r="M16" s="21"/>
      <c r="N16" s="17"/>
      <c r="O16" s="21"/>
      <c r="P16" s="88">
        <v>2.5000000000000001E-2</v>
      </c>
      <c r="Q16" s="58"/>
      <c r="R16" s="17"/>
      <c r="S16" s="21"/>
      <c r="T16" s="17"/>
      <c r="U16" s="21"/>
      <c r="V16" s="17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>
      <c r="A17" s="11">
        <v>3</v>
      </c>
      <c r="B17" s="11" t="s">
        <v>51</v>
      </c>
      <c r="C17" s="12">
        <v>0.05</v>
      </c>
      <c r="D17" s="91">
        <f t="shared" si="0"/>
        <v>0.05</v>
      </c>
      <c r="E17" s="21"/>
      <c r="F17" s="17"/>
      <c r="G17" s="21"/>
      <c r="H17" s="20"/>
      <c r="I17" s="59"/>
      <c r="J17" s="57"/>
      <c r="K17" s="85">
        <v>2.5000000000000001E-2</v>
      </c>
      <c r="L17" s="17"/>
      <c r="M17" s="21"/>
      <c r="N17" s="17"/>
      <c r="O17" s="20"/>
      <c r="P17" s="88">
        <v>2.5000000000000001E-2</v>
      </c>
      <c r="Q17" s="20"/>
      <c r="R17" s="17"/>
      <c r="S17" s="20"/>
      <c r="T17" s="17"/>
      <c r="U17" s="20"/>
      <c r="V17" s="17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>
      <c r="A18" s="11">
        <v>4</v>
      </c>
      <c r="B18" s="11" t="s">
        <v>52</v>
      </c>
      <c r="C18" s="12">
        <v>0.05</v>
      </c>
      <c r="D18" s="91">
        <f t="shared" si="0"/>
        <v>0.05</v>
      </c>
      <c r="E18" s="21"/>
      <c r="F18" s="17"/>
      <c r="G18" s="21"/>
      <c r="H18" s="21"/>
      <c r="I18" s="21"/>
      <c r="J18" s="60"/>
      <c r="K18" s="58"/>
      <c r="L18" s="87">
        <v>2.5000000000000001E-2</v>
      </c>
      <c r="M18" s="21"/>
      <c r="N18" s="17"/>
      <c r="O18" s="21"/>
      <c r="P18" s="17"/>
      <c r="Q18" s="90">
        <v>2.5000000000000001E-2</v>
      </c>
      <c r="R18" s="57"/>
      <c r="S18" s="21"/>
      <c r="T18" s="17"/>
      <c r="U18" s="21"/>
      <c r="V18" s="17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>
      <c r="A19" s="11">
        <v>5</v>
      </c>
      <c r="B19" s="11" t="s">
        <v>53</v>
      </c>
      <c r="C19" s="12">
        <v>0.05</v>
      </c>
      <c r="D19" s="91">
        <f t="shared" si="0"/>
        <v>0.05</v>
      </c>
      <c r="E19" s="21"/>
      <c r="F19" s="17"/>
      <c r="G19" s="21"/>
      <c r="H19" s="21"/>
      <c r="I19" s="21"/>
      <c r="J19" s="60"/>
      <c r="K19" s="58"/>
      <c r="L19" s="88">
        <v>2.5000000000000001E-2</v>
      </c>
      <c r="M19" s="21"/>
      <c r="N19" s="15"/>
      <c r="O19" s="21"/>
      <c r="P19" s="17"/>
      <c r="Q19" s="90">
        <v>2.5000000000000001E-2</v>
      </c>
      <c r="R19" s="57"/>
      <c r="S19" s="21"/>
      <c r="T19" s="17"/>
      <c r="U19" s="21"/>
      <c r="V19" s="17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ht="15.75" customHeight="1">
      <c r="C20" s="22"/>
      <c r="D20" s="13"/>
      <c r="E20" s="21"/>
      <c r="F20" s="17"/>
      <c r="G20" s="21"/>
      <c r="H20" s="21"/>
      <c r="I20" s="21"/>
      <c r="J20" s="17"/>
      <c r="K20" s="21"/>
      <c r="L20" s="17"/>
      <c r="M20" s="21"/>
      <c r="N20" s="17"/>
      <c r="O20" s="21"/>
      <c r="P20" s="17"/>
      <c r="Q20" s="21"/>
      <c r="R20" s="17"/>
      <c r="S20" s="21"/>
      <c r="T20" s="17"/>
      <c r="U20" s="21"/>
      <c r="V20" s="17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ht="15.75" customHeight="1">
      <c r="A21" s="7">
        <v>3</v>
      </c>
      <c r="B21" s="7" t="s">
        <v>56</v>
      </c>
      <c r="C21" s="8">
        <f>SUM(C22:C26)</f>
        <v>0.25</v>
      </c>
      <c r="D21" s="24"/>
      <c r="E21" s="25"/>
      <c r="F21" s="27"/>
      <c r="G21" s="25"/>
      <c r="H21" s="25"/>
      <c r="I21" s="25"/>
      <c r="J21" s="27"/>
      <c r="K21" s="25"/>
      <c r="L21" s="27"/>
      <c r="M21" s="25"/>
      <c r="N21" s="27"/>
      <c r="O21" s="25"/>
      <c r="P21" s="27"/>
      <c r="Q21" s="25"/>
      <c r="R21" s="27"/>
      <c r="S21" s="25"/>
      <c r="T21" s="27"/>
      <c r="U21" s="25"/>
      <c r="V21" s="27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15.75" customHeight="1">
      <c r="A22" s="11">
        <v>1</v>
      </c>
      <c r="B22" s="11" t="s">
        <v>49</v>
      </c>
      <c r="C22" s="12">
        <v>0.05</v>
      </c>
      <c r="D22" s="91">
        <f t="shared" ref="D22:D26" si="1">SUM(E22:AF22)</f>
        <v>0.05</v>
      </c>
      <c r="E22" s="21"/>
      <c r="F22" s="17"/>
      <c r="G22" s="21"/>
      <c r="H22" s="21"/>
      <c r="I22" s="85">
        <v>0.02</v>
      </c>
      <c r="J22" s="86">
        <v>0.02</v>
      </c>
      <c r="K22" s="58"/>
      <c r="L22" s="15"/>
      <c r="M22" s="21"/>
      <c r="N22" s="72"/>
      <c r="O22" s="90">
        <v>0.01</v>
      </c>
      <c r="P22" s="17"/>
      <c r="Q22" s="21"/>
      <c r="R22" s="17"/>
      <c r="S22" s="21"/>
      <c r="T22" s="15"/>
      <c r="U22" s="21"/>
      <c r="V22" s="17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ht="15.75" customHeight="1">
      <c r="A23" s="11">
        <v>2</v>
      </c>
      <c r="B23" s="11" t="s">
        <v>50</v>
      </c>
      <c r="C23" s="12">
        <v>0.05</v>
      </c>
      <c r="D23" s="91">
        <f t="shared" si="1"/>
        <v>0.05</v>
      </c>
      <c r="E23" s="21"/>
      <c r="F23" s="17"/>
      <c r="G23" s="21"/>
      <c r="H23" s="21"/>
      <c r="I23" s="85">
        <v>0.02</v>
      </c>
      <c r="J23" s="86">
        <v>0.02</v>
      </c>
      <c r="K23" s="21"/>
      <c r="L23" s="17"/>
      <c r="M23" s="58"/>
      <c r="N23" s="73"/>
      <c r="O23" s="90">
        <v>0.01</v>
      </c>
      <c r="P23" s="17"/>
      <c r="Q23" s="20"/>
      <c r="R23" s="15"/>
      <c r="S23" s="20"/>
      <c r="T23" s="15"/>
      <c r="U23" s="20"/>
      <c r="V23" s="17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ht="15.75" customHeight="1">
      <c r="A24" s="11">
        <v>3</v>
      </c>
      <c r="B24" s="11" t="s">
        <v>51</v>
      </c>
      <c r="C24" s="12">
        <v>0.05</v>
      </c>
      <c r="D24" s="91">
        <f t="shared" si="1"/>
        <v>0.05</v>
      </c>
      <c r="E24" s="21"/>
      <c r="F24" s="17"/>
      <c r="G24" s="21"/>
      <c r="H24" s="21"/>
      <c r="I24" s="85">
        <v>0.02</v>
      </c>
      <c r="J24" s="86">
        <v>0.02</v>
      </c>
      <c r="K24" s="59"/>
      <c r="L24" s="17"/>
      <c r="M24" s="58"/>
      <c r="N24" s="73"/>
      <c r="O24" s="90">
        <v>0.01</v>
      </c>
      <c r="P24" s="17"/>
      <c r="Q24" s="20"/>
      <c r="R24" s="17"/>
      <c r="S24" s="20"/>
      <c r="T24" s="15"/>
      <c r="U24" s="20"/>
      <c r="V24" s="17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15.75" customHeight="1">
      <c r="A25" s="11">
        <v>4</v>
      </c>
      <c r="B25" s="11" t="s">
        <v>52</v>
      </c>
      <c r="C25" s="12">
        <v>0.05</v>
      </c>
      <c r="D25" s="91">
        <f t="shared" si="1"/>
        <v>0.05</v>
      </c>
      <c r="E25" s="21"/>
      <c r="F25" s="17"/>
      <c r="G25" s="21"/>
      <c r="H25" s="21"/>
      <c r="I25" s="85">
        <v>0.02</v>
      </c>
      <c r="J25" s="86">
        <v>0.02</v>
      </c>
      <c r="K25" s="21"/>
      <c r="L25" s="17"/>
      <c r="M25" s="58"/>
      <c r="N25" s="72"/>
      <c r="O25" s="90">
        <v>0.01</v>
      </c>
      <c r="P25" s="17"/>
      <c r="Q25" s="20"/>
      <c r="R25" s="17"/>
      <c r="S25" s="20"/>
      <c r="T25" s="17"/>
      <c r="U25" s="20"/>
      <c r="V25" s="15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15.75" customHeight="1">
      <c r="A26" s="11">
        <v>5</v>
      </c>
      <c r="B26" s="11" t="s">
        <v>53</v>
      </c>
      <c r="C26" s="12">
        <v>0.05</v>
      </c>
      <c r="D26" s="91">
        <f t="shared" si="1"/>
        <v>0.05</v>
      </c>
      <c r="E26" s="21"/>
      <c r="F26" s="17"/>
      <c r="G26" s="21"/>
      <c r="H26" s="21"/>
      <c r="I26" s="81"/>
      <c r="J26" s="86">
        <v>0.02</v>
      </c>
      <c r="K26" s="84">
        <v>0.02</v>
      </c>
      <c r="L26" s="17"/>
      <c r="M26" s="21"/>
      <c r="N26" s="74"/>
      <c r="O26" s="90">
        <v>0.01</v>
      </c>
      <c r="P26" s="17"/>
      <c r="Q26" s="21"/>
      <c r="R26" s="17"/>
      <c r="S26" s="21"/>
      <c r="T26" s="17"/>
      <c r="U26" s="20"/>
      <c r="V26" s="15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5.75" customHeight="1">
      <c r="A27" s="31"/>
      <c r="C27" s="12"/>
      <c r="D27" s="13"/>
      <c r="E27" s="21"/>
      <c r="F27" s="17"/>
      <c r="G27" s="21"/>
      <c r="H27" s="21"/>
      <c r="I27" s="21"/>
      <c r="J27" s="17"/>
      <c r="K27" s="21"/>
      <c r="L27" s="17"/>
      <c r="M27" s="21"/>
      <c r="N27" s="17"/>
      <c r="O27" s="21"/>
      <c r="P27" s="17"/>
      <c r="Q27" s="21"/>
      <c r="R27" s="17"/>
      <c r="S27" s="21"/>
      <c r="T27" s="17"/>
      <c r="U27" s="21"/>
      <c r="V27" s="30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 ht="15.75" customHeight="1">
      <c r="A28" s="7">
        <v>4</v>
      </c>
      <c r="B28" s="7" t="s">
        <v>57</v>
      </c>
      <c r="C28" s="8">
        <f>SUM(C29:C33)</f>
        <v>0.2</v>
      </c>
      <c r="D28" s="24"/>
      <c r="E28" s="25"/>
      <c r="F28" s="27"/>
      <c r="G28" s="25"/>
      <c r="H28" s="25"/>
      <c r="I28" s="25"/>
      <c r="J28" s="27"/>
      <c r="K28" s="25"/>
      <c r="L28" s="27"/>
      <c r="M28" s="25"/>
      <c r="N28" s="27"/>
      <c r="O28" s="25"/>
      <c r="P28" s="27"/>
      <c r="Q28" s="25"/>
      <c r="R28" s="27"/>
      <c r="S28" s="25"/>
      <c r="T28" s="27"/>
      <c r="U28" s="25"/>
      <c r="V28" s="27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15.75" customHeight="1">
      <c r="A29" s="11">
        <v>1</v>
      </c>
      <c r="B29" s="11" t="s">
        <v>49</v>
      </c>
      <c r="C29" s="12">
        <v>0.04</v>
      </c>
      <c r="D29" s="91">
        <f t="shared" ref="D29:D33" si="2">SUM(E29:AF29)</f>
        <v>0.04</v>
      </c>
      <c r="E29" s="21"/>
      <c r="F29" s="17"/>
      <c r="G29" s="21"/>
      <c r="H29" s="21"/>
      <c r="I29" s="21"/>
      <c r="J29" s="17"/>
      <c r="K29" s="21"/>
      <c r="L29" s="89">
        <v>1.4999999999999999E-2</v>
      </c>
      <c r="M29" s="21"/>
      <c r="N29" s="17"/>
      <c r="O29" s="58"/>
      <c r="P29" s="15"/>
      <c r="Q29" s="85">
        <v>2.5000000000000001E-2</v>
      </c>
      <c r="R29" s="17"/>
      <c r="S29" s="21"/>
      <c r="T29" s="17"/>
      <c r="U29" s="21"/>
      <c r="V29" s="30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 ht="15.75" customHeight="1">
      <c r="A30" s="11">
        <v>2</v>
      </c>
      <c r="B30" s="11" t="s">
        <v>50</v>
      </c>
      <c r="C30" s="12">
        <v>0.04</v>
      </c>
      <c r="D30" s="91">
        <f t="shared" si="2"/>
        <v>0.04</v>
      </c>
      <c r="E30" s="21"/>
      <c r="F30" s="17"/>
      <c r="G30" s="21"/>
      <c r="H30" s="21"/>
      <c r="I30" s="21"/>
      <c r="J30" s="17"/>
      <c r="K30" s="21"/>
      <c r="L30" s="89">
        <v>1.4999999999999999E-2</v>
      </c>
      <c r="M30" s="21"/>
      <c r="N30" s="17"/>
      <c r="O30" s="58"/>
      <c r="P30" s="17"/>
      <c r="Q30" s="21"/>
      <c r="R30" s="87">
        <v>2.5000000000000001E-2</v>
      </c>
      <c r="S30" s="21"/>
      <c r="T30" s="17"/>
      <c r="U30" s="21"/>
      <c r="V30" s="30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5.75" customHeight="1">
      <c r="A31" s="11">
        <v>3</v>
      </c>
      <c r="B31" s="11" t="s">
        <v>51</v>
      </c>
      <c r="C31" s="12">
        <v>0.04</v>
      </c>
      <c r="D31" s="91">
        <f t="shared" si="2"/>
        <v>0.04</v>
      </c>
      <c r="E31" s="21"/>
      <c r="F31" s="17"/>
      <c r="G31" s="21"/>
      <c r="H31" s="21"/>
      <c r="I31" s="21"/>
      <c r="J31" s="17"/>
      <c r="K31" s="21"/>
      <c r="L31" s="89">
        <v>1.4999999999999999E-2</v>
      </c>
      <c r="M31" s="21"/>
      <c r="N31" s="17"/>
      <c r="O31" s="21"/>
      <c r="P31" s="57"/>
      <c r="Q31" s="21"/>
      <c r="R31" s="88">
        <v>2.5000000000000001E-2</v>
      </c>
      <c r="S31" s="21"/>
      <c r="T31" s="17"/>
      <c r="U31" s="21"/>
      <c r="V31" s="30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5.75" customHeight="1">
      <c r="A32" s="11">
        <v>4</v>
      </c>
      <c r="B32" s="11" t="s">
        <v>52</v>
      </c>
      <c r="C32" s="12">
        <v>0.04</v>
      </c>
      <c r="D32" s="91">
        <f t="shared" si="2"/>
        <v>0.04</v>
      </c>
      <c r="E32" s="21"/>
      <c r="F32" s="17"/>
      <c r="G32" s="21"/>
      <c r="H32" s="21"/>
      <c r="I32" s="21"/>
      <c r="J32" s="17"/>
      <c r="K32" s="21"/>
      <c r="L32" s="17"/>
      <c r="M32" s="84">
        <v>1.4999999999999999E-2</v>
      </c>
      <c r="N32" s="17"/>
      <c r="O32" s="21"/>
      <c r="P32" s="57"/>
      <c r="Q32" s="21"/>
      <c r="R32" s="88">
        <v>2.5000000000000001E-2</v>
      </c>
      <c r="S32" s="21"/>
      <c r="T32" s="17"/>
      <c r="U32" s="21"/>
      <c r="V32" s="30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15.75" customHeight="1">
      <c r="A33" s="11">
        <v>5</v>
      </c>
      <c r="B33" s="11" t="s">
        <v>53</v>
      </c>
      <c r="C33" s="12">
        <v>0.04</v>
      </c>
      <c r="D33" s="91">
        <f t="shared" si="2"/>
        <v>0.04</v>
      </c>
      <c r="E33" s="21"/>
      <c r="F33" s="17"/>
      <c r="G33" s="21"/>
      <c r="H33" s="21"/>
      <c r="I33" s="21"/>
      <c r="J33" s="17"/>
      <c r="K33" s="21"/>
      <c r="L33" s="17"/>
      <c r="M33" s="84">
        <v>1.4999999999999999E-2</v>
      </c>
      <c r="N33" s="17"/>
      <c r="O33" s="21"/>
      <c r="P33" s="57"/>
      <c r="Q33" s="21"/>
      <c r="R33" s="88">
        <v>2.5000000000000001E-2</v>
      </c>
      <c r="S33" s="21"/>
      <c r="T33" s="17"/>
      <c r="U33" s="21"/>
      <c r="V33" s="30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ht="15.75" customHeight="1">
      <c r="C34" s="22"/>
      <c r="D34" s="13"/>
      <c r="E34" s="21"/>
      <c r="F34" s="17"/>
      <c r="G34" s="21"/>
      <c r="H34" s="21"/>
      <c r="I34" s="21"/>
      <c r="J34" s="17"/>
      <c r="K34" s="21"/>
      <c r="L34" s="17"/>
      <c r="M34" s="21"/>
      <c r="N34" s="17"/>
      <c r="O34" s="21"/>
      <c r="P34" s="17"/>
      <c r="Q34" s="21"/>
      <c r="R34" s="17"/>
      <c r="S34" s="21"/>
      <c r="T34" s="17"/>
      <c r="U34" s="21"/>
      <c r="V34" s="17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ht="15.75" customHeight="1">
      <c r="A35" s="69">
        <v>5</v>
      </c>
      <c r="B35" s="69" t="s">
        <v>58</v>
      </c>
      <c r="C35" s="93">
        <f>C36</f>
        <v>0.05</v>
      </c>
      <c r="D35" s="70"/>
      <c r="E35" s="65"/>
      <c r="F35" s="66"/>
      <c r="G35" s="65"/>
      <c r="H35" s="65"/>
      <c r="I35" s="65"/>
      <c r="J35" s="66"/>
      <c r="K35" s="65"/>
      <c r="L35" s="66"/>
      <c r="M35" s="65"/>
      <c r="N35" s="66"/>
      <c r="O35" s="65"/>
      <c r="P35" s="66"/>
      <c r="Q35" s="65"/>
      <c r="R35" s="66"/>
      <c r="S35" s="65"/>
      <c r="T35" s="66"/>
      <c r="U35" s="65"/>
      <c r="V35" s="66"/>
      <c r="W35" s="67"/>
      <c r="X35" s="68"/>
      <c r="Y35" s="67"/>
      <c r="Z35" s="68"/>
      <c r="AA35" s="67"/>
      <c r="AB35" s="68"/>
      <c r="AC35" s="67"/>
      <c r="AD35" s="68"/>
      <c r="AE35" s="67"/>
      <c r="AF35" s="68"/>
    </row>
    <row r="36" spans="1:32" ht="15.75" customHeight="1">
      <c r="A36">
        <v>1</v>
      </c>
      <c r="B36" s="71" t="s">
        <v>59</v>
      </c>
      <c r="C36" s="92">
        <v>0.05</v>
      </c>
      <c r="D36" s="91">
        <f>SUM(E36:AF36)</f>
        <v>0.05</v>
      </c>
      <c r="E36" s="62"/>
      <c r="F36" s="17"/>
      <c r="G36" s="62"/>
      <c r="H36" s="62"/>
      <c r="I36" s="62"/>
      <c r="J36" s="17"/>
      <c r="K36" s="62"/>
      <c r="L36" s="17"/>
      <c r="M36" s="62"/>
      <c r="N36" s="88">
        <v>0.05</v>
      </c>
      <c r="O36" s="62"/>
      <c r="P36" s="17"/>
      <c r="Q36" s="62"/>
      <c r="R36" s="17"/>
      <c r="S36" s="62"/>
      <c r="T36" s="17"/>
      <c r="U36" s="62"/>
      <c r="V36" s="17"/>
      <c r="W36" s="63"/>
      <c r="X36" s="64"/>
      <c r="Y36" s="63"/>
      <c r="Z36" s="64"/>
      <c r="AA36" s="63"/>
      <c r="AB36" s="64"/>
      <c r="AC36" s="63"/>
      <c r="AD36" s="64"/>
      <c r="AE36" s="63"/>
      <c r="AF36" s="64"/>
    </row>
    <row r="37" spans="1:32" ht="15.75" customHeight="1" thickBot="1">
      <c r="C37" s="22"/>
      <c r="D37" s="61"/>
      <c r="E37" s="62"/>
      <c r="F37" s="17"/>
      <c r="G37" s="62"/>
      <c r="H37" s="62"/>
      <c r="I37" s="62"/>
      <c r="J37" s="17"/>
      <c r="K37" s="62"/>
      <c r="L37" s="17"/>
      <c r="M37" s="62"/>
      <c r="N37" s="17"/>
      <c r="O37" s="62"/>
      <c r="P37" s="17"/>
      <c r="Q37" s="62"/>
      <c r="R37" s="17"/>
      <c r="S37" s="62"/>
      <c r="T37" s="17"/>
      <c r="U37" s="62"/>
      <c r="V37" s="17"/>
      <c r="W37" s="63"/>
      <c r="X37" s="64"/>
      <c r="Y37" s="63"/>
      <c r="Z37" s="64"/>
      <c r="AA37" s="63"/>
      <c r="AB37" s="64"/>
      <c r="AC37" s="63"/>
      <c r="AD37" s="64"/>
      <c r="AE37" s="63"/>
      <c r="AF37" s="64"/>
    </row>
    <row r="38" spans="1:32" ht="15.75" customHeight="1" thickBot="1">
      <c r="A38" s="32"/>
      <c r="B38" s="33" t="s">
        <v>31</v>
      </c>
      <c r="C38" s="34">
        <f>SUM(C7+C14+C21+C28+C35)</f>
        <v>1</v>
      </c>
      <c r="D38" s="35">
        <f>SUM(E38:AF38)</f>
        <v>1.0000000000000002</v>
      </c>
      <c r="E38" s="56">
        <f>SUM(E8:E37)</f>
        <v>0</v>
      </c>
      <c r="F38" s="56">
        <f t="shared" ref="F38:I38" si="3">SUM(F8:F37)</f>
        <v>0.05</v>
      </c>
      <c r="G38" s="56">
        <f t="shared" si="3"/>
        <v>0.1125</v>
      </c>
      <c r="H38" s="56">
        <f t="shared" si="3"/>
        <v>8.7499999999999994E-2</v>
      </c>
      <c r="I38" s="56">
        <f t="shared" si="3"/>
        <v>0.08</v>
      </c>
      <c r="J38" s="56">
        <f t="shared" ref="J38:Q38" si="4">SUM(J8:J37)</f>
        <v>0.1</v>
      </c>
      <c r="K38" s="56">
        <f t="shared" si="4"/>
        <v>9.5000000000000015E-2</v>
      </c>
      <c r="L38" s="56">
        <f t="shared" si="4"/>
        <v>9.5000000000000001E-2</v>
      </c>
      <c r="M38" s="56">
        <f t="shared" si="4"/>
        <v>0.03</v>
      </c>
      <c r="N38" s="56">
        <f>SUM(N8:N37)</f>
        <v>0.05</v>
      </c>
      <c r="O38" s="56">
        <f t="shared" si="4"/>
        <v>0.05</v>
      </c>
      <c r="P38" s="56">
        <f t="shared" si="4"/>
        <v>7.5000000000000011E-2</v>
      </c>
      <c r="Q38" s="56">
        <f t="shared" si="4"/>
        <v>7.5000000000000011E-2</v>
      </c>
      <c r="R38" s="56">
        <f t="shared" ref="R38:AF38" si="5">SUM(R8:R37)</f>
        <v>0.1</v>
      </c>
      <c r="S38" s="56">
        <f t="shared" si="5"/>
        <v>0</v>
      </c>
      <c r="T38" s="56">
        <f t="shared" si="5"/>
        <v>0</v>
      </c>
      <c r="U38" s="56">
        <f t="shared" si="5"/>
        <v>0</v>
      </c>
      <c r="V38" s="56">
        <f t="shared" si="5"/>
        <v>0</v>
      </c>
      <c r="W38" s="56">
        <f t="shared" si="5"/>
        <v>0</v>
      </c>
      <c r="X38" s="56">
        <f t="shared" si="5"/>
        <v>0</v>
      </c>
      <c r="Y38" s="56">
        <f t="shared" si="5"/>
        <v>0</v>
      </c>
      <c r="Z38" s="56">
        <f t="shared" si="5"/>
        <v>0</v>
      </c>
      <c r="AA38" s="56">
        <f t="shared" si="5"/>
        <v>0</v>
      </c>
      <c r="AB38" s="56">
        <f t="shared" si="5"/>
        <v>0</v>
      </c>
      <c r="AC38" s="56">
        <f t="shared" si="5"/>
        <v>0</v>
      </c>
      <c r="AD38" s="56">
        <f t="shared" si="5"/>
        <v>0</v>
      </c>
      <c r="AE38" s="56">
        <f t="shared" si="5"/>
        <v>0</v>
      </c>
      <c r="AF38" s="56">
        <f t="shared" si="5"/>
        <v>0</v>
      </c>
    </row>
    <row r="39" spans="1:32" ht="15.75" customHeight="1" thickBot="1">
      <c r="E39" s="36"/>
      <c r="F39" s="36"/>
      <c r="G39" s="36"/>
      <c r="H39" s="36"/>
      <c r="I39" s="37"/>
      <c r="J39" s="37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15.75" customHeight="1" thickBot="1">
      <c r="A40" s="98" t="s">
        <v>32</v>
      </c>
      <c r="B40" s="96"/>
      <c r="C40" s="96"/>
      <c r="D40" s="97"/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</row>
    <row r="41" spans="1:32" ht="15.75" customHeight="1" thickBot="1"/>
    <row r="42" spans="1:32" ht="15.75" hidden="1" customHeight="1" outlineLevel="1">
      <c r="A42" s="101" t="s">
        <v>33</v>
      </c>
      <c r="B42" s="96"/>
      <c r="C42" s="96"/>
      <c r="D42" s="97"/>
      <c r="E42" s="40">
        <f>C3+(C3*E40)</f>
        <v>64500000</v>
      </c>
      <c r="F42" s="40">
        <f t="shared" ref="F42:AF42" si="6">E42+(E42*F40)</f>
        <v>64500000</v>
      </c>
      <c r="G42" s="40">
        <f t="shared" si="6"/>
        <v>64500000</v>
      </c>
      <c r="H42" s="40">
        <f t="shared" si="6"/>
        <v>64500000</v>
      </c>
      <c r="I42" s="40">
        <f t="shared" si="6"/>
        <v>64500000</v>
      </c>
      <c r="J42" s="40">
        <f t="shared" si="6"/>
        <v>64500000</v>
      </c>
      <c r="K42" s="40">
        <f t="shared" si="6"/>
        <v>64500000</v>
      </c>
      <c r="L42" s="40">
        <f t="shared" si="6"/>
        <v>64500000</v>
      </c>
      <c r="M42" s="40">
        <f t="shared" si="6"/>
        <v>64500000</v>
      </c>
      <c r="N42" s="40">
        <f t="shared" si="6"/>
        <v>64500000</v>
      </c>
      <c r="O42" s="40">
        <f t="shared" si="6"/>
        <v>64500000</v>
      </c>
      <c r="P42" s="40">
        <f t="shared" si="6"/>
        <v>64500000</v>
      </c>
      <c r="Q42" s="40">
        <f t="shared" si="6"/>
        <v>64500000</v>
      </c>
      <c r="R42" s="40">
        <f t="shared" si="6"/>
        <v>64500000</v>
      </c>
      <c r="S42" s="40">
        <f t="shared" si="6"/>
        <v>64500000</v>
      </c>
      <c r="T42" s="40">
        <f t="shared" si="6"/>
        <v>64500000</v>
      </c>
      <c r="U42" s="40">
        <f t="shared" si="6"/>
        <v>64500000</v>
      </c>
      <c r="V42" s="40">
        <f t="shared" si="6"/>
        <v>64500000</v>
      </c>
      <c r="W42" s="40">
        <f t="shared" si="6"/>
        <v>64500000</v>
      </c>
      <c r="X42" s="40">
        <f t="shared" si="6"/>
        <v>64500000</v>
      </c>
      <c r="Y42" s="40">
        <f t="shared" si="6"/>
        <v>64500000</v>
      </c>
      <c r="Z42" s="40">
        <f t="shared" si="6"/>
        <v>64500000</v>
      </c>
      <c r="AA42" s="40">
        <f t="shared" si="6"/>
        <v>64500000</v>
      </c>
      <c r="AB42" s="40">
        <f t="shared" si="6"/>
        <v>64500000</v>
      </c>
      <c r="AC42" s="40">
        <f t="shared" si="6"/>
        <v>64500000</v>
      </c>
      <c r="AD42" s="40">
        <f t="shared" si="6"/>
        <v>64500000</v>
      </c>
      <c r="AE42" s="40">
        <f t="shared" si="6"/>
        <v>64500000</v>
      </c>
      <c r="AF42" s="40">
        <f t="shared" si="6"/>
        <v>64500000</v>
      </c>
    </row>
    <row r="43" spans="1:32" ht="15.75" hidden="1" customHeight="1" outlineLevel="1"/>
    <row r="44" spans="1:32" ht="15.75" hidden="1" customHeight="1" outlineLevel="1">
      <c r="A44" s="102" t="s">
        <v>34</v>
      </c>
      <c r="B44" s="96"/>
      <c r="C44" s="96"/>
      <c r="D44" s="97"/>
      <c r="E44" s="41">
        <f t="shared" ref="E44:AF44" si="7">E38*E42</f>
        <v>0</v>
      </c>
      <c r="F44" s="41">
        <f t="shared" si="7"/>
        <v>3225000</v>
      </c>
      <c r="G44" s="41">
        <f t="shared" si="7"/>
        <v>7256250</v>
      </c>
      <c r="H44" s="41">
        <f t="shared" si="7"/>
        <v>5643750</v>
      </c>
      <c r="I44" s="41">
        <f t="shared" si="7"/>
        <v>5160000</v>
      </c>
      <c r="J44" s="41">
        <f t="shared" si="7"/>
        <v>6450000</v>
      </c>
      <c r="K44" s="41">
        <f t="shared" si="7"/>
        <v>6127500.0000000009</v>
      </c>
      <c r="L44" s="41">
        <f t="shared" si="7"/>
        <v>6127500</v>
      </c>
      <c r="M44" s="41">
        <f t="shared" si="7"/>
        <v>1935000</v>
      </c>
      <c r="N44" s="41">
        <f t="shared" si="7"/>
        <v>3225000</v>
      </c>
      <c r="O44" s="41">
        <f t="shared" si="7"/>
        <v>3225000</v>
      </c>
      <c r="P44" s="41">
        <f t="shared" si="7"/>
        <v>4837500.0000000009</v>
      </c>
      <c r="Q44" s="41">
        <f t="shared" si="7"/>
        <v>4837500.0000000009</v>
      </c>
      <c r="R44" s="41">
        <f t="shared" si="7"/>
        <v>6450000</v>
      </c>
      <c r="S44" s="41">
        <f t="shared" si="7"/>
        <v>0</v>
      </c>
      <c r="T44" s="41">
        <f t="shared" si="7"/>
        <v>0</v>
      </c>
      <c r="U44" s="41">
        <f t="shared" si="7"/>
        <v>0</v>
      </c>
      <c r="V44" s="41">
        <f t="shared" si="7"/>
        <v>0</v>
      </c>
      <c r="W44" s="41">
        <f t="shared" si="7"/>
        <v>0</v>
      </c>
      <c r="X44" s="41">
        <f t="shared" si="7"/>
        <v>0</v>
      </c>
      <c r="Y44" s="41">
        <f t="shared" si="7"/>
        <v>0</v>
      </c>
      <c r="Z44" s="41">
        <f t="shared" si="7"/>
        <v>0</v>
      </c>
      <c r="AA44" s="41">
        <f t="shared" si="7"/>
        <v>0</v>
      </c>
      <c r="AB44" s="41">
        <f t="shared" si="7"/>
        <v>0</v>
      </c>
      <c r="AC44" s="41">
        <f t="shared" si="7"/>
        <v>0</v>
      </c>
      <c r="AD44" s="41">
        <f t="shared" si="7"/>
        <v>0</v>
      </c>
      <c r="AE44" s="41">
        <f t="shared" si="7"/>
        <v>0</v>
      </c>
      <c r="AF44" s="41">
        <f t="shared" si="7"/>
        <v>0</v>
      </c>
    </row>
    <row r="45" spans="1:32" ht="15.75" hidden="1" customHeight="1" outlineLevel="1"/>
    <row r="46" spans="1:32" ht="15.75" customHeight="1" collapsed="1" thickBot="1">
      <c r="A46" s="95" t="s">
        <v>35</v>
      </c>
      <c r="B46" s="96"/>
      <c r="C46" s="96"/>
      <c r="D46" s="97"/>
      <c r="E46" s="42">
        <f>E44-(E44*D4)</f>
        <v>0</v>
      </c>
      <c r="F46" s="43">
        <f>F44-(F44*D4)</f>
        <v>2925000</v>
      </c>
      <c r="G46" s="43">
        <f>G44-(G44*D4)</f>
        <v>6581250</v>
      </c>
      <c r="H46" s="43">
        <f>H44-(H44*D4)</f>
        <v>5118750</v>
      </c>
      <c r="I46" s="43">
        <f>I44-(I44*D4)</f>
        <v>4680000</v>
      </c>
      <c r="J46" s="43">
        <f>J44-(J44*D4)</f>
        <v>5850000</v>
      </c>
      <c r="K46" s="43">
        <f>K44-(K44*D4)</f>
        <v>5557500.0000000009</v>
      </c>
      <c r="L46" s="43">
        <f>L44-(L44*D4)</f>
        <v>5557500</v>
      </c>
      <c r="M46" s="43">
        <f>M44-(M44*D4)</f>
        <v>1755000</v>
      </c>
      <c r="N46" s="43">
        <f>N44-(N44*D4)</f>
        <v>2925000</v>
      </c>
      <c r="O46" s="43">
        <f>O44-(O44*D4)</f>
        <v>2925000</v>
      </c>
      <c r="P46" s="43">
        <f>P44-(P44*D4)</f>
        <v>4387500.0000000009</v>
      </c>
      <c r="Q46" s="43">
        <f>Q44-(Q44*D4)</f>
        <v>4387500.0000000009</v>
      </c>
      <c r="R46" s="43">
        <f>R44-(R44*D4)</f>
        <v>5850000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</row>
    <row r="47" spans="1:32" ht="15.75" customHeight="1" thickBot="1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spans="1:32" ht="15.75" customHeight="1" thickBot="1">
      <c r="A48" s="98" t="s">
        <v>36</v>
      </c>
      <c r="B48" s="96"/>
      <c r="C48" s="96"/>
      <c r="D48" s="97"/>
      <c r="E48" s="45">
        <f>E42-E46-C4</f>
        <v>58500000</v>
      </c>
      <c r="F48" s="45">
        <f t="shared" ref="F48:AF48" si="8">(E48+(E48*F40))-F46</f>
        <v>55575000</v>
      </c>
      <c r="G48" s="46">
        <f t="shared" si="8"/>
        <v>48993750</v>
      </c>
      <c r="H48" s="46">
        <f t="shared" si="8"/>
        <v>43875000</v>
      </c>
      <c r="I48" s="45">
        <f t="shared" si="8"/>
        <v>39195000</v>
      </c>
      <c r="J48" s="45">
        <f t="shared" si="8"/>
        <v>33345000</v>
      </c>
      <c r="K48" s="45">
        <f t="shared" si="8"/>
        <v>27787500</v>
      </c>
      <c r="L48" s="45">
        <f t="shared" si="8"/>
        <v>22230000</v>
      </c>
      <c r="M48" s="45">
        <f t="shared" si="8"/>
        <v>20475000</v>
      </c>
      <c r="N48" s="45">
        <f t="shared" si="8"/>
        <v>17550000</v>
      </c>
      <c r="O48" s="45">
        <f t="shared" si="8"/>
        <v>14625000</v>
      </c>
      <c r="P48" s="45">
        <f t="shared" si="8"/>
        <v>10237500</v>
      </c>
      <c r="Q48" s="45">
        <f t="shared" si="8"/>
        <v>5849999.9999999991</v>
      </c>
      <c r="R48" s="45">
        <f t="shared" si="8"/>
        <v>0</v>
      </c>
      <c r="S48" s="45">
        <f t="shared" si="8"/>
        <v>0</v>
      </c>
      <c r="T48" s="45">
        <f t="shared" si="8"/>
        <v>0</v>
      </c>
      <c r="U48" s="45">
        <f t="shared" si="8"/>
        <v>0</v>
      </c>
      <c r="V48" s="45">
        <f t="shared" si="8"/>
        <v>0</v>
      </c>
      <c r="W48" s="45">
        <f t="shared" si="8"/>
        <v>0</v>
      </c>
      <c r="X48" s="45">
        <f t="shared" si="8"/>
        <v>0</v>
      </c>
      <c r="Y48" s="45">
        <f t="shared" si="8"/>
        <v>0</v>
      </c>
      <c r="Z48" s="45">
        <f t="shared" si="8"/>
        <v>0</v>
      </c>
      <c r="AA48" s="45">
        <f t="shared" si="8"/>
        <v>0</v>
      </c>
      <c r="AB48" s="45">
        <f t="shared" si="8"/>
        <v>0</v>
      </c>
      <c r="AC48" s="45">
        <f t="shared" si="8"/>
        <v>0</v>
      </c>
      <c r="AD48" s="45">
        <f t="shared" si="8"/>
        <v>0</v>
      </c>
      <c r="AE48" s="45">
        <f t="shared" si="8"/>
        <v>0</v>
      </c>
      <c r="AF48" s="45">
        <f t="shared" si="8"/>
        <v>0</v>
      </c>
    </row>
    <row r="49" spans="5:22" ht="15.75" customHeight="1">
      <c r="K49" s="47"/>
      <c r="L49" s="48"/>
      <c r="M49" s="48"/>
      <c r="N49" s="47"/>
      <c r="O49" s="48"/>
      <c r="P49" s="48"/>
      <c r="T49" s="48"/>
      <c r="V49" s="47"/>
    </row>
    <row r="50" spans="5:22" ht="15.75" customHeight="1">
      <c r="E50" s="49"/>
      <c r="K50" s="47"/>
      <c r="L50" s="50"/>
      <c r="M50" s="50"/>
      <c r="N50" s="51"/>
      <c r="O50" s="52"/>
    </row>
    <row r="51" spans="5:22" ht="15.75" customHeight="1">
      <c r="F51" s="44"/>
      <c r="G51" s="44"/>
      <c r="U51" s="44"/>
      <c r="V51" s="49"/>
    </row>
    <row r="52" spans="5:22" ht="15.75" customHeight="1">
      <c r="E52" s="53"/>
      <c r="P52" s="44"/>
      <c r="V52" s="53"/>
    </row>
    <row r="53" spans="5:22" ht="15.75" customHeight="1">
      <c r="F53" s="49"/>
      <c r="G53" s="49"/>
      <c r="H53" s="11"/>
      <c r="I53" s="44"/>
      <c r="J53" s="53"/>
    </row>
    <row r="54" spans="5:22" ht="15.75" customHeight="1">
      <c r="F54" s="54"/>
      <c r="G54" s="54"/>
      <c r="H54" s="11"/>
      <c r="I54" s="44"/>
    </row>
    <row r="55" spans="5:22" ht="15.75" customHeight="1">
      <c r="F55" s="54"/>
      <c r="G55" s="54"/>
    </row>
    <row r="56" spans="5:22" ht="15.75" customHeight="1">
      <c r="F56" s="54"/>
      <c r="G56" s="54"/>
    </row>
    <row r="57" spans="5:22" ht="15.75" customHeight="1">
      <c r="F57" s="54"/>
      <c r="G57" s="54"/>
      <c r="I57" s="53"/>
    </row>
    <row r="58" spans="5:22" ht="15.75" customHeight="1">
      <c r="F58" s="54"/>
      <c r="G58" s="54"/>
    </row>
    <row r="59" spans="5:22" ht="15.75" customHeight="1">
      <c r="F59" s="54"/>
      <c r="G59" s="54"/>
    </row>
    <row r="60" spans="5:22" ht="15.75" customHeight="1">
      <c r="F60" s="54"/>
      <c r="G60" s="54"/>
    </row>
    <row r="61" spans="5:22" ht="15.75" customHeight="1">
      <c r="F61" s="54"/>
      <c r="G61" s="54"/>
    </row>
    <row r="62" spans="5:22" ht="15.75" customHeight="1"/>
    <row r="63" spans="5:22" ht="15.75" customHeight="1"/>
    <row r="64" spans="5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6">
    <mergeCell ref="O5:P5"/>
    <mergeCell ref="Q5:R5"/>
    <mergeCell ref="S5:T5"/>
    <mergeCell ref="U5:V5"/>
    <mergeCell ref="A2:B2"/>
    <mergeCell ref="A3:B3"/>
    <mergeCell ref="A4:B4"/>
    <mergeCell ref="E5:F5"/>
    <mergeCell ref="G5:H5"/>
    <mergeCell ref="I5:J5"/>
    <mergeCell ref="I6:J6"/>
    <mergeCell ref="K6:L6"/>
    <mergeCell ref="M6:N6"/>
    <mergeCell ref="K5:L5"/>
    <mergeCell ref="M5:N5"/>
    <mergeCell ref="W5:X5"/>
    <mergeCell ref="Y5:Z5"/>
    <mergeCell ref="AA5:AB5"/>
    <mergeCell ref="AC5:AD5"/>
    <mergeCell ref="AE5:AF5"/>
    <mergeCell ref="A46:D46"/>
    <mergeCell ref="A48:D48"/>
    <mergeCell ref="AA6:AB6"/>
    <mergeCell ref="AC6:AD6"/>
    <mergeCell ref="AE6:AF6"/>
    <mergeCell ref="A40:D40"/>
    <mergeCell ref="A42:D42"/>
    <mergeCell ref="A44:D44"/>
    <mergeCell ref="O6:P6"/>
    <mergeCell ref="Q6:R6"/>
    <mergeCell ref="S6:T6"/>
    <mergeCell ref="U6:V6"/>
    <mergeCell ref="W6:X6"/>
    <mergeCell ref="Y6:Z6"/>
    <mergeCell ref="E6:F6"/>
    <mergeCell ref="G6:H6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F1002"/>
  <sheetViews>
    <sheetView tabSelected="1" zoomScale="85" zoomScaleNormal="85" workbookViewId="0">
      <pane xSplit="3" topLeftCell="G1" activePane="topRight" state="frozen"/>
      <selection pane="topRight" activeCell="J1" sqref="J1"/>
    </sheetView>
  </sheetViews>
  <sheetFormatPr baseColWidth="10" defaultColWidth="14.42578125" defaultRowHeight="15" customHeight="1" outlineLevelRow="1"/>
  <cols>
    <col min="1" max="1" width="10.7109375" customWidth="1"/>
    <col min="2" max="2" width="36.5703125" customWidth="1"/>
    <col min="3" max="3" width="16.85546875" customWidth="1"/>
    <col min="4" max="4" width="13" customWidth="1"/>
    <col min="5" max="5" width="18.7109375" customWidth="1"/>
    <col min="6" max="7" width="18.28515625" customWidth="1"/>
    <col min="8" max="9" width="20.28515625" customWidth="1"/>
    <col min="10" max="14" width="18.7109375" customWidth="1"/>
    <col min="15" max="15" width="18.5703125" customWidth="1"/>
    <col min="16" max="16" width="18.7109375" customWidth="1"/>
    <col min="17" max="17" width="16.5703125" customWidth="1"/>
    <col min="18" max="21" width="18.7109375" customWidth="1"/>
    <col min="22" max="22" width="18.5703125" customWidth="1"/>
    <col min="23" max="32" width="18.7109375" customWidth="1"/>
  </cols>
  <sheetData>
    <row r="1" spans="1:32" ht="30" customHeight="1">
      <c r="A1" s="1"/>
      <c r="B1" s="94" t="s">
        <v>70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05" t="s">
        <v>0</v>
      </c>
      <c r="B2" s="106"/>
      <c r="C2" s="3">
        <v>46113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32">
      <c r="A3" s="105" t="s">
        <v>1</v>
      </c>
      <c r="B3" s="106"/>
      <c r="C3" s="5">
        <v>64500000</v>
      </c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32">
      <c r="A4" s="105" t="s">
        <v>2</v>
      </c>
      <c r="B4" s="106"/>
      <c r="C4" s="5">
        <v>6000000</v>
      </c>
      <c r="D4" s="55">
        <f>C4/C3</f>
        <v>9.3023255813953487E-2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32">
      <c r="A5" s="6"/>
      <c r="B5" s="6"/>
      <c r="C5" s="6"/>
      <c r="D5" s="6"/>
      <c r="E5" s="103" t="s">
        <v>37</v>
      </c>
      <c r="F5" s="104"/>
      <c r="G5" s="103" t="s">
        <v>38</v>
      </c>
      <c r="H5" s="104"/>
      <c r="I5" s="103" t="s">
        <v>39</v>
      </c>
      <c r="J5" s="104"/>
      <c r="K5" s="103" t="s">
        <v>40</v>
      </c>
      <c r="L5" s="104"/>
      <c r="M5" s="103" t="s">
        <v>41</v>
      </c>
      <c r="N5" s="104"/>
      <c r="O5" s="103" t="s">
        <v>42</v>
      </c>
      <c r="P5" s="104"/>
      <c r="Q5" s="103" t="s">
        <v>43</v>
      </c>
      <c r="R5" s="104"/>
      <c r="S5" s="103" t="s">
        <v>44</v>
      </c>
      <c r="T5" s="104"/>
      <c r="U5" s="103" t="s">
        <v>45</v>
      </c>
      <c r="V5" s="104"/>
      <c r="W5" s="103" t="s">
        <v>46</v>
      </c>
      <c r="X5" s="104"/>
      <c r="Y5" s="103" t="s">
        <v>47</v>
      </c>
      <c r="Z5" s="104"/>
      <c r="AA5" s="103" t="s">
        <v>48</v>
      </c>
      <c r="AB5" s="104"/>
      <c r="AC5" s="103" t="s">
        <v>37</v>
      </c>
      <c r="AD5" s="104"/>
      <c r="AE5" s="103" t="s">
        <v>38</v>
      </c>
      <c r="AF5" s="104"/>
    </row>
    <row r="6" spans="1:32" ht="15.75">
      <c r="A6" s="2" t="s">
        <v>3</v>
      </c>
      <c r="B6" s="2" t="s">
        <v>4</v>
      </c>
      <c r="C6" s="2" t="s">
        <v>5</v>
      </c>
      <c r="D6" s="2" t="s">
        <v>6</v>
      </c>
      <c r="E6" s="99" t="s">
        <v>7</v>
      </c>
      <c r="F6" s="100"/>
      <c r="G6" s="99" t="s">
        <v>8</v>
      </c>
      <c r="H6" s="100"/>
      <c r="I6" s="99" t="s">
        <v>9</v>
      </c>
      <c r="J6" s="100"/>
      <c r="K6" s="99" t="s">
        <v>10</v>
      </c>
      <c r="L6" s="100"/>
      <c r="M6" s="99" t="s">
        <v>11</v>
      </c>
      <c r="N6" s="100"/>
      <c r="O6" s="99" t="s">
        <v>12</v>
      </c>
      <c r="P6" s="100"/>
      <c r="Q6" s="99" t="s">
        <v>13</v>
      </c>
      <c r="R6" s="100"/>
      <c r="S6" s="99" t="s">
        <v>14</v>
      </c>
      <c r="T6" s="100"/>
      <c r="U6" s="99" t="s">
        <v>15</v>
      </c>
      <c r="V6" s="100"/>
      <c r="W6" s="99" t="s">
        <v>16</v>
      </c>
      <c r="X6" s="100"/>
      <c r="Y6" s="99" t="s">
        <v>17</v>
      </c>
      <c r="Z6" s="100"/>
      <c r="AA6" s="99" t="s">
        <v>18</v>
      </c>
      <c r="AB6" s="100"/>
      <c r="AC6" s="99" t="s">
        <v>19</v>
      </c>
      <c r="AD6" s="100"/>
      <c r="AE6" s="99" t="s">
        <v>20</v>
      </c>
      <c r="AF6" s="100"/>
    </row>
    <row r="7" spans="1:32" ht="15.75">
      <c r="A7" s="7">
        <v>1</v>
      </c>
      <c r="B7" s="7" t="s">
        <v>54</v>
      </c>
      <c r="C7" s="8">
        <f>SUM(C8:C12)</f>
        <v>0.25</v>
      </c>
      <c r="D7" s="9"/>
      <c r="E7" s="10" t="s">
        <v>21</v>
      </c>
      <c r="F7" s="10" t="s">
        <v>22</v>
      </c>
      <c r="G7" s="10" t="s">
        <v>21</v>
      </c>
      <c r="H7" s="10" t="s">
        <v>22</v>
      </c>
      <c r="I7" s="10" t="s">
        <v>21</v>
      </c>
      <c r="J7" s="10" t="s">
        <v>22</v>
      </c>
      <c r="K7" s="10" t="s">
        <v>21</v>
      </c>
      <c r="L7" s="10" t="s">
        <v>22</v>
      </c>
      <c r="M7" s="10" t="s">
        <v>21</v>
      </c>
      <c r="N7" s="10" t="s">
        <v>22</v>
      </c>
      <c r="O7" s="10" t="s">
        <v>21</v>
      </c>
      <c r="P7" s="10" t="s">
        <v>22</v>
      </c>
      <c r="Q7" s="10" t="s">
        <v>21</v>
      </c>
      <c r="R7" s="10" t="s">
        <v>22</v>
      </c>
      <c r="S7" s="10" t="s">
        <v>21</v>
      </c>
      <c r="T7" s="10" t="s">
        <v>22</v>
      </c>
      <c r="U7" s="10" t="s">
        <v>21</v>
      </c>
      <c r="V7" s="10" t="s">
        <v>22</v>
      </c>
      <c r="W7" s="10" t="s">
        <v>21</v>
      </c>
      <c r="X7" s="10" t="s">
        <v>22</v>
      </c>
      <c r="Y7" s="10" t="s">
        <v>23</v>
      </c>
      <c r="Z7" s="10" t="s">
        <v>24</v>
      </c>
      <c r="AA7" s="10" t="s">
        <v>25</v>
      </c>
      <c r="AB7" s="10" t="s">
        <v>26</v>
      </c>
      <c r="AC7" s="10" t="s">
        <v>27</v>
      </c>
      <c r="AD7" s="10" t="s">
        <v>28</v>
      </c>
      <c r="AE7" s="10" t="s">
        <v>29</v>
      </c>
      <c r="AF7" s="10" t="s">
        <v>30</v>
      </c>
    </row>
    <row r="8" spans="1:32">
      <c r="A8" s="11">
        <v>1</v>
      </c>
      <c r="B8" s="11" t="s">
        <v>49</v>
      </c>
      <c r="C8" s="12">
        <v>0.05</v>
      </c>
      <c r="D8" s="91">
        <f>SUM(E8:AF8)</f>
        <v>0.05</v>
      </c>
      <c r="E8" s="14"/>
      <c r="F8" s="60">
        <v>2.5000000000000001E-2</v>
      </c>
      <c r="G8" s="14">
        <v>2.5000000000000001E-2</v>
      </c>
      <c r="H8" s="16"/>
      <c r="I8" s="16"/>
      <c r="J8" s="17"/>
      <c r="K8" s="16"/>
      <c r="L8" s="17"/>
      <c r="M8" s="16"/>
      <c r="N8" s="17"/>
      <c r="O8" s="16"/>
      <c r="P8" s="17"/>
      <c r="Q8" s="16"/>
      <c r="R8" s="17"/>
      <c r="S8" s="16"/>
      <c r="T8" s="17"/>
      <c r="U8" s="16"/>
      <c r="V8" s="17"/>
      <c r="W8" s="18"/>
      <c r="X8" s="19"/>
      <c r="Y8" s="18"/>
      <c r="Z8" s="19"/>
      <c r="AA8" s="18"/>
      <c r="AB8" s="19"/>
      <c r="AC8" s="18"/>
      <c r="AD8" s="19"/>
      <c r="AE8" s="18"/>
      <c r="AF8" s="19"/>
    </row>
    <row r="9" spans="1:32">
      <c r="A9" s="11">
        <v>2</v>
      </c>
      <c r="B9" s="11" t="s">
        <v>50</v>
      </c>
      <c r="C9" s="12">
        <v>0.05</v>
      </c>
      <c r="D9" s="91">
        <f t="shared" ref="D9:D12" si="0">SUM(E9:AF9)</f>
        <v>0.05</v>
      </c>
      <c r="E9" s="20"/>
      <c r="F9" s="60">
        <v>2.5000000000000001E-2</v>
      </c>
      <c r="G9" s="20">
        <v>2.5000000000000001E-2</v>
      </c>
      <c r="H9" s="21"/>
      <c r="I9" s="21"/>
      <c r="J9" s="17"/>
      <c r="K9" s="21"/>
      <c r="L9" s="17"/>
      <c r="M9" s="21"/>
      <c r="N9" s="17"/>
      <c r="O9" s="21"/>
      <c r="P9" s="17"/>
      <c r="Q9" s="21"/>
      <c r="R9" s="17"/>
      <c r="S9" s="21"/>
      <c r="T9" s="17"/>
      <c r="U9" s="21"/>
      <c r="V9" s="17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>
      <c r="A10" s="11">
        <v>3</v>
      </c>
      <c r="B10" s="11" t="s">
        <v>51</v>
      </c>
      <c r="C10" s="12">
        <v>0.05</v>
      </c>
      <c r="D10" s="91">
        <f t="shared" si="0"/>
        <v>0.05</v>
      </c>
      <c r="E10" s="20"/>
      <c r="F10" s="15"/>
      <c r="G10" s="59">
        <v>2.5000000000000001E-2</v>
      </c>
      <c r="H10" s="20">
        <v>2.5000000000000001E-2</v>
      </c>
      <c r="I10" s="21"/>
      <c r="J10" s="17"/>
      <c r="K10" s="21"/>
      <c r="L10" s="17"/>
      <c r="M10" s="21"/>
      <c r="N10" s="17"/>
      <c r="O10" s="21"/>
      <c r="P10" s="17"/>
      <c r="Q10" s="21"/>
      <c r="R10" s="17"/>
      <c r="S10" s="21"/>
      <c r="T10" s="17"/>
      <c r="U10" s="21"/>
      <c r="V10" s="17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>
      <c r="A11" s="11">
        <v>4</v>
      </c>
      <c r="B11" s="11" t="s">
        <v>52</v>
      </c>
      <c r="C11" s="12">
        <v>0.05</v>
      </c>
      <c r="D11" s="91">
        <f t="shared" si="0"/>
        <v>0.05</v>
      </c>
      <c r="E11" s="20"/>
      <c r="F11" s="15"/>
      <c r="G11" s="59">
        <v>2.5000000000000001E-2</v>
      </c>
      <c r="H11" s="20">
        <v>2.5000000000000001E-2</v>
      </c>
      <c r="I11" s="21"/>
      <c r="J11" s="17"/>
      <c r="K11" s="21"/>
      <c r="L11" s="17"/>
      <c r="M11" s="21"/>
      <c r="N11" s="17"/>
      <c r="O11" s="21"/>
      <c r="P11" s="17"/>
      <c r="Q11" s="21"/>
      <c r="R11" s="17"/>
      <c r="S11" s="21"/>
      <c r="T11" s="17"/>
      <c r="U11" s="21"/>
      <c r="V11" s="17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>
      <c r="A12" s="11">
        <v>5</v>
      </c>
      <c r="B12" s="11" t="s">
        <v>53</v>
      </c>
      <c r="C12" s="12">
        <v>0.05</v>
      </c>
      <c r="D12" s="91">
        <f t="shared" si="0"/>
        <v>0.05</v>
      </c>
      <c r="E12" s="20"/>
      <c r="F12" s="15"/>
      <c r="G12" s="59">
        <v>1.2500000000000001E-2</v>
      </c>
      <c r="H12" s="59">
        <v>2.5000000000000001E-2</v>
      </c>
      <c r="I12" s="58">
        <v>1.2500000000000001E-2</v>
      </c>
      <c r="J12" s="17"/>
      <c r="K12" s="21"/>
      <c r="L12" s="17"/>
      <c r="M12" s="21"/>
      <c r="N12" s="17"/>
      <c r="O12" s="21"/>
      <c r="P12" s="17"/>
      <c r="Q12" s="21"/>
      <c r="R12" s="17"/>
      <c r="S12" s="21"/>
      <c r="T12" s="17"/>
      <c r="U12" s="21"/>
      <c r="V12" s="17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>
      <c r="C13" s="22"/>
      <c r="D13" s="13"/>
      <c r="E13" s="21"/>
      <c r="F13" s="23"/>
      <c r="G13" s="21"/>
      <c r="H13" s="21"/>
      <c r="I13" s="21"/>
      <c r="J13" s="17"/>
      <c r="K13" s="21"/>
      <c r="L13" s="17"/>
      <c r="M13" s="21"/>
      <c r="N13" s="17"/>
      <c r="O13" s="21"/>
      <c r="P13" s="17"/>
      <c r="Q13" s="21"/>
      <c r="R13" s="17"/>
      <c r="S13" s="21"/>
      <c r="T13" s="17"/>
      <c r="U13" s="21"/>
      <c r="V13" s="17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ht="15.75">
      <c r="A14" s="7">
        <v>2</v>
      </c>
      <c r="B14" s="7" t="s">
        <v>55</v>
      </c>
      <c r="C14" s="8">
        <f>SUM(C15:C19)</f>
        <v>0.25</v>
      </c>
      <c r="D14" s="24"/>
      <c r="E14" s="25"/>
      <c r="F14" s="26"/>
      <c r="G14" s="25"/>
      <c r="H14" s="25"/>
      <c r="I14" s="25"/>
      <c r="J14" s="27"/>
      <c r="K14" s="25"/>
      <c r="L14" s="27"/>
      <c r="M14" s="25"/>
      <c r="N14" s="27"/>
      <c r="O14" s="25"/>
      <c r="P14" s="27"/>
      <c r="Q14" s="25"/>
      <c r="R14" s="27"/>
      <c r="S14" s="25"/>
      <c r="T14" s="27"/>
      <c r="U14" s="25"/>
      <c r="V14" s="27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>
      <c r="A15" s="11">
        <v>1</v>
      </c>
      <c r="B15" s="11" t="s">
        <v>49</v>
      </c>
      <c r="C15" s="12">
        <v>0.05</v>
      </c>
      <c r="D15" s="91">
        <f t="shared" ref="D15:D19" si="1">SUM(E15:AF15)</f>
        <v>0</v>
      </c>
      <c r="E15" s="20"/>
      <c r="F15" s="15"/>
      <c r="G15" s="20"/>
      <c r="H15" s="21"/>
      <c r="I15" s="21"/>
      <c r="J15" s="15"/>
      <c r="K15" s="21"/>
      <c r="L15" s="17"/>
      <c r="M15" s="21"/>
      <c r="N15" s="17"/>
      <c r="O15" s="21"/>
      <c r="P15" s="17"/>
      <c r="Q15" s="21"/>
      <c r="R15" s="17"/>
      <c r="S15" s="21"/>
      <c r="T15" s="17"/>
      <c r="U15" s="21"/>
      <c r="V15" s="17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>
      <c r="A16" s="11">
        <v>2</v>
      </c>
      <c r="B16" s="11" t="s">
        <v>50</v>
      </c>
      <c r="C16" s="12">
        <v>0.05</v>
      </c>
      <c r="D16" s="91">
        <f t="shared" si="1"/>
        <v>0</v>
      </c>
      <c r="E16" s="21"/>
      <c r="F16" s="15"/>
      <c r="G16" s="21"/>
      <c r="H16" s="20"/>
      <c r="I16" s="21"/>
      <c r="J16" s="17"/>
      <c r="K16" s="21"/>
      <c r="L16" s="15"/>
      <c r="M16" s="21"/>
      <c r="N16" s="17"/>
      <c r="O16" s="21"/>
      <c r="P16" s="17"/>
      <c r="Q16" s="21"/>
      <c r="R16" s="17"/>
      <c r="S16" s="21"/>
      <c r="T16" s="17"/>
      <c r="U16" s="21"/>
      <c r="V16" s="17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>
      <c r="A17" s="11">
        <v>3</v>
      </c>
      <c r="B17" s="11" t="s">
        <v>51</v>
      </c>
      <c r="C17" s="12">
        <v>0.05</v>
      </c>
      <c r="D17" s="91">
        <f t="shared" si="1"/>
        <v>0</v>
      </c>
      <c r="E17" s="21"/>
      <c r="F17" s="17"/>
      <c r="G17" s="21"/>
      <c r="H17" s="20"/>
      <c r="I17" s="20"/>
      <c r="J17" s="17"/>
      <c r="K17" s="21"/>
      <c r="L17" s="17"/>
      <c r="M17" s="21"/>
      <c r="N17" s="17"/>
      <c r="O17" s="20"/>
      <c r="P17" s="17"/>
      <c r="Q17" s="20"/>
      <c r="R17" s="17"/>
      <c r="S17" s="20"/>
      <c r="T17" s="17"/>
      <c r="U17" s="20"/>
      <c r="V17" s="17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>
      <c r="A18" s="11">
        <v>4</v>
      </c>
      <c r="B18" s="11" t="s">
        <v>52</v>
      </c>
      <c r="C18" s="12">
        <v>0.05</v>
      </c>
      <c r="D18" s="91">
        <f t="shared" si="1"/>
        <v>0</v>
      </c>
      <c r="E18" s="21"/>
      <c r="F18" s="17"/>
      <c r="G18" s="21"/>
      <c r="H18" s="21"/>
      <c r="I18" s="21"/>
      <c r="J18" s="17"/>
      <c r="K18" s="21"/>
      <c r="L18" s="15"/>
      <c r="M18" s="21"/>
      <c r="N18" s="17"/>
      <c r="O18" s="21"/>
      <c r="P18" s="17"/>
      <c r="Q18" s="21"/>
      <c r="R18" s="17"/>
      <c r="S18" s="21"/>
      <c r="T18" s="17"/>
      <c r="U18" s="21"/>
      <c r="V18" s="17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>
      <c r="A19" s="11">
        <v>5</v>
      </c>
      <c r="B19" s="11" t="s">
        <v>53</v>
      </c>
      <c r="C19" s="12">
        <v>0.05</v>
      </c>
      <c r="D19" s="91">
        <f t="shared" si="1"/>
        <v>0</v>
      </c>
      <c r="E19" s="21"/>
      <c r="F19" s="17"/>
      <c r="G19" s="21"/>
      <c r="H19" s="21"/>
      <c r="I19" s="21"/>
      <c r="J19" s="15"/>
      <c r="K19" s="21"/>
      <c r="L19" s="17"/>
      <c r="M19" s="21"/>
      <c r="N19" s="15"/>
      <c r="O19" s="21"/>
      <c r="P19" s="17"/>
      <c r="Q19" s="21"/>
      <c r="R19" s="17"/>
      <c r="S19" s="21"/>
      <c r="T19" s="17"/>
      <c r="U19" s="21"/>
      <c r="V19" s="17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ht="15.75" customHeight="1">
      <c r="C20" s="22"/>
      <c r="D20" s="13"/>
      <c r="E20" s="21"/>
      <c r="F20" s="17"/>
      <c r="G20" s="21"/>
      <c r="H20" s="21"/>
      <c r="I20" s="21"/>
      <c r="J20" s="17"/>
      <c r="K20" s="21"/>
      <c r="L20" s="17"/>
      <c r="M20" s="21"/>
      <c r="N20" s="17"/>
      <c r="O20" s="21"/>
      <c r="P20" s="17"/>
      <c r="Q20" s="21"/>
      <c r="R20" s="17"/>
      <c r="S20" s="21"/>
      <c r="T20" s="17"/>
      <c r="U20" s="21"/>
      <c r="V20" s="17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ht="15.75" customHeight="1">
      <c r="A21" s="7">
        <v>3</v>
      </c>
      <c r="B21" s="7" t="s">
        <v>56</v>
      </c>
      <c r="C21" s="8">
        <f>SUM(C22:C26)</f>
        <v>0.25</v>
      </c>
      <c r="D21" s="24"/>
      <c r="E21" s="25"/>
      <c r="F21" s="27"/>
      <c r="G21" s="25"/>
      <c r="H21" s="25"/>
      <c r="I21" s="25"/>
      <c r="J21" s="27"/>
      <c r="K21" s="25"/>
      <c r="L21" s="27"/>
      <c r="M21" s="25"/>
      <c r="N21" s="27"/>
      <c r="O21" s="25"/>
      <c r="P21" s="27"/>
      <c r="Q21" s="25"/>
      <c r="R21" s="27"/>
      <c r="S21" s="25"/>
      <c r="T21" s="27"/>
      <c r="U21" s="25"/>
      <c r="V21" s="27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15.75" customHeight="1">
      <c r="A22" s="11">
        <v>1</v>
      </c>
      <c r="B22" s="11" t="s">
        <v>49</v>
      </c>
      <c r="C22" s="12">
        <v>0.05</v>
      </c>
      <c r="D22" s="91">
        <f t="shared" ref="D22:D26" si="2">SUM(E22:AF22)</f>
        <v>0.05</v>
      </c>
      <c r="E22" s="21"/>
      <c r="F22" s="17"/>
      <c r="G22" s="21"/>
      <c r="H22" s="21"/>
      <c r="I22" s="21">
        <v>2.5000000000000001E-2</v>
      </c>
      <c r="J22" s="17">
        <v>2.5000000000000001E-2</v>
      </c>
      <c r="K22" s="21"/>
      <c r="L22" s="15"/>
      <c r="M22" s="21"/>
      <c r="N22" s="17"/>
      <c r="O22" s="21"/>
      <c r="P22" s="17"/>
      <c r="Q22" s="21"/>
      <c r="R22" s="17"/>
      <c r="S22" s="21"/>
      <c r="T22" s="15"/>
      <c r="U22" s="21"/>
      <c r="V22" s="17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ht="15.75" customHeight="1">
      <c r="A23" s="11">
        <v>2</v>
      </c>
      <c r="B23" s="11" t="s">
        <v>50</v>
      </c>
      <c r="C23" s="12">
        <v>0.05</v>
      </c>
      <c r="D23" s="91">
        <f t="shared" si="2"/>
        <v>0.05</v>
      </c>
      <c r="E23" s="21"/>
      <c r="F23" s="17"/>
      <c r="G23" s="21"/>
      <c r="H23" s="21"/>
      <c r="I23" s="21">
        <v>2.5000000000000001E-2</v>
      </c>
      <c r="J23" s="17">
        <v>2.5000000000000001E-2</v>
      </c>
      <c r="K23" s="21"/>
      <c r="L23" s="17"/>
      <c r="M23" s="21"/>
      <c r="N23" s="15"/>
      <c r="O23" s="20"/>
      <c r="P23" s="17"/>
      <c r="Q23" s="20"/>
      <c r="R23" s="15"/>
      <c r="S23" s="20"/>
      <c r="T23" s="15"/>
      <c r="U23" s="20"/>
      <c r="V23" s="17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ht="15.75" customHeight="1">
      <c r="A24" s="11">
        <v>3</v>
      </c>
      <c r="B24" s="11" t="s">
        <v>51</v>
      </c>
      <c r="C24" s="12">
        <v>0.05</v>
      </c>
      <c r="D24" s="91">
        <f t="shared" si="2"/>
        <v>0.05</v>
      </c>
      <c r="E24" s="21"/>
      <c r="F24" s="17"/>
      <c r="G24" s="21"/>
      <c r="H24" s="21"/>
      <c r="I24" s="21">
        <v>2.5000000000000001E-2</v>
      </c>
      <c r="J24" s="17">
        <v>2.5000000000000001E-2</v>
      </c>
      <c r="K24" s="21"/>
      <c r="L24" s="17"/>
      <c r="M24" s="21"/>
      <c r="N24" s="15"/>
      <c r="O24" s="20"/>
      <c r="P24" s="17"/>
      <c r="Q24" s="20"/>
      <c r="R24" s="17"/>
      <c r="S24" s="20"/>
      <c r="T24" s="15"/>
      <c r="U24" s="20"/>
      <c r="V24" s="17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ht="15.75" customHeight="1">
      <c r="A25" s="11">
        <v>4</v>
      </c>
      <c r="B25" s="11" t="s">
        <v>52</v>
      </c>
      <c r="C25" s="12">
        <v>0.05</v>
      </c>
      <c r="D25" s="91">
        <f t="shared" si="2"/>
        <v>0.05</v>
      </c>
      <c r="E25" s="21"/>
      <c r="F25" s="17"/>
      <c r="G25" s="21"/>
      <c r="H25" s="21"/>
      <c r="I25" s="21"/>
      <c r="J25" s="17">
        <v>0.05</v>
      </c>
      <c r="K25" s="21"/>
      <c r="L25" s="17"/>
      <c r="M25" s="21"/>
      <c r="N25" s="17"/>
      <c r="O25" s="20"/>
      <c r="P25" s="17"/>
      <c r="Q25" s="20"/>
      <c r="R25" s="17"/>
      <c r="S25" s="20"/>
      <c r="T25" s="17"/>
      <c r="U25" s="20"/>
      <c r="V25" s="15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15.75" customHeight="1">
      <c r="A26" s="11">
        <v>5</v>
      </c>
      <c r="B26" s="11" t="s">
        <v>53</v>
      </c>
      <c r="C26" s="12">
        <v>0.05</v>
      </c>
      <c r="D26" s="91">
        <f t="shared" si="2"/>
        <v>0.05</v>
      </c>
      <c r="E26" s="21"/>
      <c r="F26" s="17"/>
      <c r="G26" s="21"/>
      <c r="H26" s="21"/>
      <c r="I26" s="21"/>
      <c r="J26" s="17">
        <v>0.05</v>
      </c>
      <c r="K26" s="21"/>
      <c r="L26" s="17"/>
      <c r="M26" s="21"/>
      <c r="N26" s="17"/>
      <c r="O26" s="21"/>
      <c r="P26" s="17"/>
      <c r="Q26" s="21"/>
      <c r="R26" s="17"/>
      <c r="S26" s="21"/>
      <c r="T26" s="17"/>
      <c r="U26" s="20"/>
      <c r="V26" s="15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5.75" customHeight="1">
      <c r="A27" s="31"/>
      <c r="C27" s="12"/>
      <c r="D27" s="13"/>
      <c r="E27" s="21"/>
      <c r="F27" s="17"/>
      <c r="G27" s="21"/>
      <c r="H27" s="21"/>
      <c r="I27" s="21"/>
      <c r="J27" s="17"/>
      <c r="K27" s="21"/>
      <c r="L27" s="17"/>
      <c r="M27" s="21"/>
      <c r="N27" s="17"/>
      <c r="O27" s="21"/>
      <c r="P27" s="17"/>
      <c r="Q27" s="21"/>
      <c r="R27" s="17"/>
      <c r="S27" s="21"/>
      <c r="T27" s="17"/>
      <c r="U27" s="21"/>
      <c r="V27" s="30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 ht="15.75" customHeight="1">
      <c r="A28" s="7">
        <v>4</v>
      </c>
      <c r="B28" s="7" t="s">
        <v>57</v>
      </c>
      <c r="C28" s="8">
        <f>SUM(C29:C33)</f>
        <v>0.2</v>
      </c>
      <c r="D28" s="24"/>
      <c r="E28" s="25"/>
      <c r="F28" s="27"/>
      <c r="G28" s="25"/>
      <c r="H28" s="25"/>
      <c r="I28" s="25"/>
      <c r="J28" s="27"/>
      <c r="K28" s="25"/>
      <c r="L28" s="27"/>
      <c r="M28" s="25"/>
      <c r="N28" s="27"/>
      <c r="O28" s="25"/>
      <c r="P28" s="27"/>
      <c r="Q28" s="25"/>
      <c r="R28" s="27"/>
      <c r="S28" s="25"/>
      <c r="T28" s="27"/>
      <c r="U28" s="25"/>
      <c r="V28" s="27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15.75" customHeight="1">
      <c r="A29" s="11">
        <v>1</v>
      </c>
      <c r="B29" s="11" t="s">
        <v>49</v>
      </c>
      <c r="C29" s="12">
        <v>0.04</v>
      </c>
      <c r="D29" s="91">
        <f t="shared" ref="D29:D33" si="3">SUM(E29:AF29)</f>
        <v>0</v>
      </c>
      <c r="E29" s="21"/>
      <c r="F29" s="17"/>
      <c r="G29" s="21"/>
      <c r="H29" s="21"/>
      <c r="I29" s="21"/>
      <c r="J29" s="17"/>
      <c r="K29" s="21"/>
      <c r="L29" s="17"/>
      <c r="M29" s="21"/>
      <c r="N29" s="17"/>
      <c r="O29" s="21"/>
      <c r="P29" s="15"/>
      <c r="Q29" s="21"/>
      <c r="R29" s="17"/>
      <c r="S29" s="21"/>
      <c r="T29" s="17"/>
      <c r="U29" s="21"/>
      <c r="V29" s="30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 ht="15.75" customHeight="1">
      <c r="A30" s="11">
        <v>2</v>
      </c>
      <c r="B30" s="11" t="s">
        <v>50</v>
      </c>
      <c r="C30" s="12">
        <v>0.04</v>
      </c>
      <c r="D30" s="91">
        <f t="shared" si="3"/>
        <v>0</v>
      </c>
      <c r="E30" s="21"/>
      <c r="F30" s="17"/>
      <c r="G30" s="21"/>
      <c r="H30" s="21"/>
      <c r="I30" s="21"/>
      <c r="J30" s="17"/>
      <c r="K30" s="21"/>
      <c r="L30" s="17"/>
      <c r="M30" s="21"/>
      <c r="N30" s="17"/>
      <c r="O30" s="21"/>
      <c r="P30" s="17"/>
      <c r="Q30" s="21"/>
      <c r="R30" s="15"/>
      <c r="S30" s="21"/>
      <c r="T30" s="17"/>
      <c r="U30" s="21"/>
      <c r="V30" s="30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5.75" customHeight="1">
      <c r="A31" s="11">
        <v>3</v>
      </c>
      <c r="B31" s="11" t="s">
        <v>51</v>
      </c>
      <c r="C31" s="12">
        <v>0.04</v>
      </c>
      <c r="D31" s="91">
        <f t="shared" si="3"/>
        <v>0</v>
      </c>
      <c r="E31" s="21"/>
      <c r="F31" s="17"/>
      <c r="G31" s="21"/>
      <c r="H31" s="21"/>
      <c r="I31" s="21"/>
      <c r="J31" s="17"/>
      <c r="K31" s="21"/>
      <c r="L31" s="17"/>
      <c r="M31" s="21"/>
      <c r="N31" s="17"/>
      <c r="O31" s="21"/>
      <c r="P31" s="17"/>
      <c r="Q31" s="21"/>
      <c r="R31" s="17"/>
      <c r="S31" s="21"/>
      <c r="T31" s="17"/>
      <c r="U31" s="21"/>
      <c r="V31" s="30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5.75" customHeight="1">
      <c r="A32" s="11">
        <v>4</v>
      </c>
      <c r="B32" s="11" t="s">
        <v>52</v>
      </c>
      <c r="C32" s="12">
        <v>0.04</v>
      </c>
      <c r="D32" s="91">
        <f t="shared" si="3"/>
        <v>0</v>
      </c>
      <c r="E32" s="21"/>
      <c r="F32" s="17"/>
      <c r="G32" s="21"/>
      <c r="H32" s="21"/>
      <c r="I32" s="21"/>
      <c r="J32" s="17"/>
      <c r="K32" s="21"/>
      <c r="L32" s="17"/>
      <c r="M32" s="21"/>
      <c r="N32" s="17"/>
      <c r="O32" s="21"/>
      <c r="P32" s="17"/>
      <c r="Q32" s="21"/>
      <c r="R32" s="17"/>
      <c r="S32" s="21"/>
      <c r="T32" s="17"/>
      <c r="U32" s="21"/>
      <c r="V32" s="30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15.75" customHeight="1">
      <c r="A33" s="11">
        <v>5</v>
      </c>
      <c r="B33" s="11" t="s">
        <v>53</v>
      </c>
      <c r="C33" s="12">
        <v>0.04</v>
      </c>
      <c r="D33" s="91">
        <f t="shared" si="3"/>
        <v>0</v>
      </c>
      <c r="E33" s="21"/>
      <c r="F33" s="17"/>
      <c r="G33" s="21"/>
      <c r="H33" s="21"/>
      <c r="I33" s="21"/>
      <c r="J33" s="17"/>
      <c r="K33" s="21"/>
      <c r="L33" s="17"/>
      <c r="M33" s="21"/>
      <c r="N33" s="17"/>
      <c r="O33" s="21"/>
      <c r="P33" s="17"/>
      <c r="Q33" s="21"/>
      <c r="R33" s="17"/>
      <c r="S33" s="21"/>
      <c r="T33" s="17"/>
      <c r="U33" s="21"/>
      <c r="V33" s="30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ht="15.75" customHeight="1">
      <c r="C34" s="22"/>
      <c r="D34" s="13"/>
      <c r="E34" s="21"/>
      <c r="F34" s="17"/>
      <c r="G34" s="21"/>
      <c r="H34" s="21"/>
      <c r="I34" s="21"/>
      <c r="J34" s="17"/>
      <c r="K34" s="21"/>
      <c r="L34" s="17"/>
      <c r="M34" s="21"/>
      <c r="N34" s="17"/>
      <c r="O34" s="21"/>
      <c r="P34" s="17"/>
      <c r="Q34" s="21"/>
      <c r="R34" s="17"/>
      <c r="S34" s="21"/>
      <c r="T34" s="17"/>
      <c r="U34" s="21"/>
      <c r="V34" s="17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ht="15.75" customHeight="1">
      <c r="A35" s="69">
        <v>5</v>
      </c>
      <c r="B35" s="69" t="s">
        <v>58</v>
      </c>
      <c r="C35" s="93">
        <f>C36</f>
        <v>0.05</v>
      </c>
      <c r="D35" s="70"/>
      <c r="E35" s="65"/>
      <c r="F35" s="66"/>
      <c r="G35" s="65"/>
      <c r="H35" s="65"/>
      <c r="I35" s="65"/>
      <c r="J35" s="66"/>
      <c r="K35" s="65"/>
      <c r="L35" s="66"/>
      <c r="M35" s="65"/>
      <c r="N35" s="66"/>
      <c r="O35" s="65"/>
      <c r="P35" s="66"/>
      <c r="Q35" s="65"/>
      <c r="R35" s="66"/>
      <c r="S35" s="65"/>
      <c r="T35" s="66"/>
      <c r="U35" s="65"/>
      <c r="V35" s="66"/>
      <c r="W35" s="67"/>
      <c r="X35" s="68"/>
      <c r="Y35" s="67"/>
      <c r="Z35" s="68"/>
      <c r="AA35" s="67"/>
      <c r="AB35" s="68"/>
      <c r="AC35" s="67"/>
      <c r="AD35" s="68"/>
      <c r="AE35" s="67"/>
      <c r="AF35" s="68"/>
    </row>
    <row r="36" spans="1:32" ht="15.75" customHeight="1">
      <c r="A36">
        <v>1</v>
      </c>
      <c r="B36" s="71" t="s">
        <v>59</v>
      </c>
      <c r="C36" s="92">
        <v>0.05</v>
      </c>
      <c r="D36" s="91">
        <f>SUM(E36:AF36)</f>
        <v>0</v>
      </c>
      <c r="E36" s="62"/>
      <c r="F36" s="17"/>
      <c r="G36" s="62"/>
      <c r="H36" s="62"/>
      <c r="I36" s="62"/>
      <c r="J36" s="17"/>
      <c r="K36" s="62"/>
      <c r="L36" s="17"/>
      <c r="M36" s="62"/>
      <c r="N36" s="17"/>
      <c r="O36" s="62"/>
      <c r="P36" s="17"/>
      <c r="Q36" s="62"/>
      <c r="R36" s="17"/>
      <c r="S36" s="62"/>
      <c r="T36" s="17"/>
      <c r="U36" s="62"/>
      <c r="V36" s="17"/>
      <c r="W36" s="63"/>
      <c r="X36" s="64"/>
      <c r="Y36" s="63"/>
      <c r="Z36" s="64"/>
      <c r="AA36" s="63"/>
      <c r="AB36" s="64"/>
      <c r="AC36" s="63"/>
      <c r="AD36" s="64"/>
      <c r="AE36" s="63"/>
      <c r="AF36" s="64"/>
    </row>
    <row r="37" spans="1:32" ht="15.75" customHeight="1">
      <c r="C37" s="22"/>
      <c r="D37" s="61"/>
      <c r="E37" s="62"/>
      <c r="F37" s="17"/>
      <c r="G37" s="62"/>
      <c r="H37" s="62"/>
      <c r="I37" s="62"/>
      <c r="J37" s="17"/>
      <c r="K37" s="62"/>
      <c r="L37" s="17"/>
      <c r="M37" s="62"/>
      <c r="N37" s="17"/>
      <c r="O37" s="62"/>
      <c r="P37" s="17"/>
      <c r="Q37" s="62"/>
      <c r="R37" s="17"/>
      <c r="S37" s="62"/>
      <c r="T37" s="17"/>
      <c r="U37" s="62"/>
      <c r="V37" s="17"/>
      <c r="W37" s="63"/>
      <c r="X37" s="64"/>
      <c r="Y37" s="63"/>
      <c r="Z37" s="64"/>
      <c r="AA37" s="63"/>
      <c r="AB37" s="64"/>
      <c r="AC37" s="63"/>
      <c r="AD37" s="64"/>
      <c r="AE37" s="63"/>
      <c r="AF37" s="64"/>
    </row>
    <row r="38" spans="1:32" ht="15.75" customHeight="1">
      <c r="A38" s="32"/>
      <c r="B38" s="33" t="s">
        <v>31</v>
      </c>
      <c r="C38" s="34">
        <f>SUM(C7+C14+C21+C28+C35)</f>
        <v>1</v>
      </c>
      <c r="D38" s="35">
        <f>SUM(E38:AF38)</f>
        <v>0.5</v>
      </c>
      <c r="E38" s="56">
        <f>SUM(E8:E37)</f>
        <v>0</v>
      </c>
      <c r="F38" s="56">
        <f>SUM(F8:F37)</f>
        <v>0.05</v>
      </c>
      <c r="G38" s="56">
        <f t="shared" ref="G38:AF38" si="4">SUM(G8:G37)</f>
        <v>0.1125</v>
      </c>
      <c r="H38" s="56">
        <f t="shared" si="4"/>
        <v>7.5000000000000011E-2</v>
      </c>
      <c r="I38" s="56">
        <f t="shared" si="4"/>
        <v>8.7499999999999994E-2</v>
      </c>
      <c r="J38" s="56">
        <f t="shared" si="4"/>
        <v>0.17499999999999999</v>
      </c>
      <c r="K38" s="56">
        <f t="shared" si="4"/>
        <v>0</v>
      </c>
      <c r="L38" s="56">
        <f t="shared" si="4"/>
        <v>0</v>
      </c>
      <c r="M38" s="56">
        <f t="shared" si="4"/>
        <v>0</v>
      </c>
      <c r="N38" s="56">
        <f t="shared" si="4"/>
        <v>0</v>
      </c>
      <c r="O38" s="56">
        <f t="shared" si="4"/>
        <v>0</v>
      </c>
      <c r="P38" s="56">
        <f t="shared" si="4"/>
        <v>0</v>
      </c>
      <c r="Q38" s="56">
        <f t="shared" si="4"/>
        <v>0</v>
      </c>
      <c r="R38" s="56">
        <f t="shared" si="4"/>
        <v>0</v>
      </c>
      <c r="S38" s="56">
        <f t="shared" si="4"/>
        <v>0</v>
      </c>
      <c r="T38" s="56">
        <f t="shared" si="4"/>
        <v>0</v>
      </c>
      <c r="U38" s="56">
        <f t="shared" si="4"/>
        <v>0</v>
      </c>
      <c r="V38" s="56">
        <f t="shared" si="4"/>
        <v>0</v>
      </c>
      <c r="W38" s="56">
        <f t="shared" si="4"/>
        <v>0</v>
      </c>
      <c r="X38" s="56">
        <f t="shared" si="4"/>
        <v>0</v>
      </c>
      <c r="Y38" s="56">
        <f t="shared" si="4"/>
        <v>0</v>
      </c>
      <c r="Z38" s="56">
        <f t="shared" si="4"/>
        <v>0</v>
      </c>
      <c r="AA38" s="56">
        <f t="shared" si="4"/>
        <v>0</v>
      </c>
      <c r="AB38" s="56">
        <f t="shared" si="4"/>
        <v>0</v>
      </c>
      <c r="AC38" s="56">
        <f t="shared" si="4"/>
        <v>0</v>
      </c>
      <c r="AD38" s="56">
        <f t="shared" si="4"/>
        <v>0</v>
      </c>
      <c r="AE38" s="56">
        <f t="shared" si="4"/>
        <v>0</v>
      </c>
      <c r="AF38" s="56">
        <f t="shared" si="4"/>
        <v>0</v>
      </c>
    </row>
    <row r="39" spans="1:32" ht="15.75" customHeight="1">
      <c r="E39" s="36"/>
      <c r="F39" s="36"/>
      <c r="G39" s="36"/>
      <c r="H39" s="36"/>
      <c r="I39" s="37"/>
      <c r="J39" s="37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ht="15.75" customHeight="1">
      <c r="A40" s="98" t="s">
        <v>32</v>
      </c>
      <c r="B40" s="96"/>
      <c r="C40" s="96"/>
      <c r="D40" s="97"/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</row>
    <row r="41" spans="1:32" ht="15.75" customHeight="1"/>
    <row r="42" spans="1:32" ht="15.75" hidden="1" customHeight="1" outlineLevel="1">
      <c r="A42" s="101" t="s">
        <v>33</v>
      </c>
      <c r="B42" s="96"/>
      <c r="C42" s="96"/>
      <c r="D42" s="97"/>
      <c r="E42" s="40">
        <f>C3+(C3*E40)</f>
        <v>64500000</v>
      </c>
      <c r="F42" s="40">
        <f t="shared" ref="F42:AF42" si="5">E42+(E42*F40)</f>
        <v>64500000</v>
      </c>
      <c r="G42" s="40">
        <f t="shared" si="5"/>
        <v>64500000</v>
      </c>
      <c r="H42" s="40">
        <f t="shared" si="5"/>
        <v>64500000</v>
      </c>
      <c r="I42" s="40">
        <f t="shared" si="5"/>
        <v>64500000</v>
      </c>
      <c r="J42" s="40">
        <f t="shared" si="5"/>
        <v>64500000</v>
      </c>
      <c r="K42" s="40">
        <f t="shared" si="5"/>
        <v>64500000</v>
      </c>
      <c r="L42" s="40">
        <f t="shared" si="5"/>
        <v>64500000</v>
      </c>
      <c r="M42" s="40">
        <f t="shared" si="5"/>
        <v>64500000</v>
      </c>
      <c r="N42" s="40">
        <f t="shared" si="5"/>
        <v>64500000</v>
      </c>
      <c r="O42" s="40">
        <f t="shared" si="5"/>
        <v>64500000</v>
      </c>
      <c r="P42" s="40">
        <f t="shared" si="5"/>
        <v>64500000</v>
      </c>
      <c r="Q42" s="40">
        <f t="shared" si="5"/>
        <v>64500000</v>
      </c>
      <c r="R42" s="40">
        <f t="shared" si="5"/>
        <v>64500000</v>
      </c>
      <c r="S42" s="40">
        <f t="shared" si="5"/>
        <v>64500000</v>
      </c>
      <c r="T42" s="40">
        <f t="shared" si="5"/>
        <v>64500000</v>
      </c>
      <c r="U42" s="40">
        <f t="shared" si="5"/>
        <v>64500000</v>
      </c>
      <c r="V42" s="40">
        <f t="shared" si="5"/>
        <v>64500000</v>
      </c>
      <c r="W42" s="40">
        <f t="shared" si="5"/>
        <v>64500000</v>
      </c>
      <c r="X42" s="40">
        <f t="shared" si="5"/>
        <v>64500000</v>
      </c>
      <c r="Y42" s="40">
        <f t="shared" si="5"/>
        <v>64500000</v>
      </c>
      <c r="Z42" s="40">
        <f t="shared" si="5"/>
        <v>64500000</v>
      </c>
      <c r="AA42" s="40">
        <f t="shared" si="5"/>
        <v>64500000</v>
      </c>
      <c r="AB42" s="40">
        <f t="shared" si="5"/>
        <v>64500000</v>
      </c>
      <c r="AC42" s="40">
        <f t="shared" si="5"/>
        <v>64500000</v>
      </c>
      <c r="AD42" s="40">
        <f t="shared" si="5"/>
        <v>64500000</v>
      </c>
      <c r="AE42" s="40">
        <f t="shared" si="5"/>
        <v>64500000</v>
      </c>
      <c r="AF42" s="40">
        <f t="shared" si="5"/>
        <v>64500000</v>
      </c>
    </row>
    <row r="43" spans="1:32" ht="15.75" hidden="1" customHeight="1" outlineLevel="1"/>
    <row r="44" spans="1:32" ht="15.75" hidden="1" customHeight="1" outlineLevel="1">
      <c r="A44" s="102" t="s">
        <v>34</v>
      </c>
      <c r="B44" s="96"/>
      <c r="C44" s="96"/>
      <c r="D44" s="97"/>
      <c r="E44" s="41">
        <f t="shared" ref="E44:AF44" si="6">E38*E42</f>
        <v>0</v>
      </c>
      <c r="F44" s="41">
        <f t="shared" si="6"/>
        <v>3225000</v>
      </c>
      <c r="G44" s="41">
        <f t="shared" si="6"/>
        <v>7256250</v>
      </c>
      <c r="H44" s="41">
        <f t="shared" si="6"/>
        <v>4837500.0000000009</v>
      </c>
      <c r="I44" s="41">
        <f t="shared" si="6"/>
        <v>5643750</v>
      </c>
      <c r="J44" s="41">
        <f t="shared" si="6"/>
        <v>11287500</v>
      </c>
      <c r="K44" s="41">
        <f t="shared" si="6"/>
        <v>0</v>
      </c>
      <c r="L44" s="41">
        <f t="shared" si="6"/>
        <v>0</v>
      </c>
      <c r="M44" s="41">
        <f t="shared" si="6"/>
        <v>0</v>
      </c>
      <c r="N44" s="41">
        <f t="shared" si="6"/>
        <v>0</v>
      </c>
      <c r="O44" s="41">
        <f t="shared" si="6"/>
        <v>0</v>
      </c>
      <c r="P44" s="41">
        <f t="shared" si="6"/>
        <v>0</v>
      </c>
      <c r="Q44" s="41">
        <f t="shared" si="6"/>
        <v>0</v>
      </c>
      <c r="R44" s="41">
        <f t="shared" si="6"/>
        <v>0</v>
      </c>
      <c r="S44" s="41">
        <f t="shared" si="6"/>
        <v>0</v>
      </c>
      <c r="T44" s="41">
        <f t="shared" si="6"/>
        <v>0</v>
      </c>
      <c r="U44" s="41">
        <f t="shared" si="6"/>
        <v>0</v>
      </c>
      <c r="V44" s="41">
        <f t="shared" si="6"/>
        <v>0</v>
      </c>
      <c r="W44" s="41">
        <f t="shared" si="6"/>
        <v>0</v>
      </c>
      <c r="X44" s="41">
        <f t="shared" si="6"/>
        <v>0</v>
      </c>
      <c r="Y44" s="41">
        <f t="shared" si="6"/>
        <v>0</v>
      </c>
      <c r="Z44" s="41">
        <f t="shared" si="6"/>
        <v>0</v>
      </c>
      <c r="AA44" s="41">
        <f t="shared" si="6"/>
        <v>0</v>
      </c>
      <c r="AB44" s="41">
        <f t="shared" si="6"/>
        <v>0</v>
      </c>
      <c r="AC44" s="41">
        <f t="shared" si="6"/>
        <v>0</v>
      </c>
      <c r="AD44" s="41">
        <f t="shared" si="6"/>
        <v>0</v>
      </c>
      <c r="AE44" s="41">
        <f t="shared" si="6"/>
        <v>0</v>
      </c>
      <c r="AF44" s="41">
        <f t="shared" si="6"/>
        <v>0</v>
      </c>
    </row>
    <row r="45" spans="1:32" ht="15.75" hidden="1" customHeight="1" outlineLevel="1"/>
    <row r="46" spans="1:32" ht="15.75" customHeight="1" collapsed="1">
      <c r="A46" s="95" t="s">
        <v>35</v>
      </c>
      <c r="B46" s="96"/>
      <c r="C46" s="96"/>
      <c r="D46" s="97"/>
      <c r="E46" s="42">
        <f>E44-(E44*D4)</f>
        <v>0</v>
      </c>
      <c r="F46" s="43">
        <f>F44-(F44*D4)</f>
        <v>2925000</v>
      </c>
      <c r="G46" s="43">
        <f>G44-(G44*D4)</f>
        <v>6581250</v>
      </c>
      <c r="H46" s="43">
        <f>H44-(H44*D4)</f>
        <v>4387500.0000000009</v>
      </c>
      <c r="I46" s="43">
        <f>I44-(I44*D4)</f>
        <v>5118750</v>
      </c>
      <c r="J46" s="43">
        <f>J44-(J44*D4)</f>
        <v>10237500</v>
      </c>
      <c r="K46" s="43">
        <f>K44-(K44*D4)</f>
        <v>0</v>
      </c>
      <c r="L46" s="43">
        <f>L44-(L44*D4)</f>
        <v>0</v>
      </c>
      <c r="M46" s="43">
        <f>M44-(M44*D4)</f>
        <v>0</v>
      </c>
      <c r="N46" s="43">
        <f>N44-(N44*D4)</f>
        <v>0</v>
      </c>
      <c r="O46" s="43">
        <f>O44-(O44*D4)</f>
        <v>0</v>
      </c>
      <c r="P46" s="43">
        <f>P44-(P44*D4)</f>
        <v>0</v>
      </c>
      <c r="Q46" s="43">
        <f>Q44-(Q44*D4)</f>
        <v>0</v>
      </c>
      <c r="R46" s="43">
        <f>R44-(R44*D4)</f>
        <v>0</v>
      </c>
      <c r="S46" s="43">
        <f>S44-(S44*D4)</f>
        <v>0</v>
      </c>
      <c r="T46" s="43">
        <f>T44-(T44*D4)</f>
        <v>0</v>
      </c>
      <c r="U46" s="43">
        <f>U44-(U44*D4)</f>
        <v>0</v>
      </c>
      <c r="V46" s="43">
        <f>V44-(V44*D4)</f>
        <v>0</v>
      </c>
      <c r="W46" s="43">
        <f>W44-(W44*D4)</f>
        <v>0</v>
      </c>
      <c r="X46" s="43">
        <f>X44-(X44*D4)</f>
        <v>0</v>
      </c>
      <c r="Y46" s="43">
        <f>Y44-(Y44*D4)</f>
        <v>0</v>
      </c>
      <c r="Z46" s="43">
        <f>Z44-(Z44*D4)</f>
        <v>0</v>
      </c>
      <c r="AA46" s="43">
        <f>AA44-(AA44*D4)</f>
        <v>0</v>
      </c>
      <c r="AB46" s="43">
        <f>AB44-(AB44*D4)</f>
        <v>0</v>
      </c>
      <c r="AC46" s="43">
        <f>AC44-(AC44*D4)</f>
        <v>0</v>
      </c>
      <c r="AD46" s="43">
        <f>AD44-(AD44*D4)</f>
        <v>0</v>
      </c>
      <c r="AE46" s="43">
        <f>AE44-(AE44*D4)</f>
        <v>0</v>
      </c>
      <c r="AF46" s="43">
        <f>AF44-(AF44*D4)</f>
        <v>0</v>
      </c>
    </row>
    <row r="47" spans="1:32" ht="15.75" customHeight="1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spans="1:32" ht="15.75" customHeight="1">
      <c r="A48" s="98" t="s">
        <v>36</v>
      </c>
      <c r="B48" s="96"/>
      <c r="C48" s="96"/>
      <c r="D48" s="97"/>
      <c r="E48" s="45">
        <f>E42-E46-C4</f>
        <v>58500000</v>
      </c>
      <c r="F48" s="45">
        <f t="shared" ref="F48:AF48" si="7">(E48+(E48*F40))-F46</f>
        <v>55575000</v>
      </c>
      <c r="G48" s="46">
        <f t="shared" si="7"/>
        <v>48993750</v>
      </c>
      <c r="H48" s="46">
        <f t="shared" si="7"/>
        <v>44606250</v>
      </c>
      <c r="I48" s="45">
        <f t="shared" si="7"/>
        <v>39487500</v>
      </c>
      <c r="J48" s="45">
        <f t="shared" si="7"/>
        <v>29250000</v>
      </c>
      <c r="K48" s="45">
        <f t="shared" si="7"/>
        <v>29250000</v>
      </c>
      <c r="L48" s="45">
        <f t="shared" si="7"/>
        <v>29250000</v>
      </c>
      <c r="M48" s="45">
        <f t="shared" si="7"/>
        <v>29250000</v>
      </c>
      <c r="N48" s="45">
        <f t="shared" si="7"/>
        <v>29250000</v>
      </c>
      <c r="O48" s="45">
        <f t="shared" si="7"/>
        <v>29250000</v>
      </c>
      <c r="P48" s="45">
        <f t="shared" si="7"/>
        <v>29250000</v>
      </c>
      <c r="Q48" s="45">
        <f t="shared" si="7"/>
        <v>29250000</v>
      </c>
      <c r="R48" s="45">
        <f t="shared" si="7"/>
        <v>29250000</v>
      </c>
      <c r="S48" s="45">
        <f t="shared" si="7"/>
        <v>29250000</v>
      </c>
      <c r="T48" s="45">
        <f t="shared" si="7"/>
        <v>29250000</v>
      </c>
      <c r="U48" s="45">
        <f t="shared" si="7"/>
        <v>29250000</v>
      </c>
      <c r="V48" s="45">
        <f t="shared" si="7"/>
        <v>29250000</v>
      </c>
      <c r="W48" s="45">
        <f t="shared" si="7"/>
        <v>29250000</v>
      </c>
      <c r="X48" s="45">
        <f t="shared" si="7"/>
        <v>29250000</v>
      </c>
      <c r="Y48" s="45">
        <f t="shared" si="7"/>
        <v>29250000</v>
      </c>
      <c r="Z48" s="45">
        <f t="shared" si="7"/>
        <v>29250000</v>
      </c>
      <c r="AA48" s="45">
        <f t="shared" si="7"/>
        <v>29250000</v>
      </c>
      <c r="AB48" s="45">
        <f t="shared" si="7"/>
        <v>29250000</v>
      </c>
      <c r="AC48" s="45">
        <f t="shared" si="7"/>
        <v>29250000</v>
      </c>
      <c r="AD48" s="45">
        <f t="shared" si="7"/>
        <v>29250000</v>
      </c>
      <c r="AE48" s="45">
        <f t="shared" si="7"/>
        <v>29250000</v>
      </c>
      <c r="AF48" s="45">
        <f t="shared" si="7"/>
        <v>29250000</v>
      </c>
    </row>
    <row r="49" spans="5:22" ht="15.75" customHeight="1">
      <c r="K49" s="47"/>
      <c r="L49" s="48"/>
      <c r="M49" s="48"/>
      <c r="N49" s="47"/>
      <c r="O49" s="48"/>
      <c r="P49" s="48"/>
      <c r="T49" s="48"/>
      <c r="V49" s="47"/>
    </row>
    <row r="50" spans="5:22" ht="15.75" customHeight="1">
      <c r="E50" s="49"/>
      <c r="K50" s="47"/>
      <c r="L50" s="50"/>
      <c r="M50" s="50"/>
      <c r="N50" s="51"/>
      <c r="O50" s="52"/>
    </row>
    <row r="51" spans="5:22" ht="15.75" customHeight="1">
      <c r="F51" s="44"/>
      <c r="G51" s="44"/>
      <c r="U51" s="44"/>
      <c r="V51" s="49"/>
    </row>
    <row r="52" spans="5:22" ht="15.75" customHeight="1">
      <c r="E52" s="53"/>
      <c r="P52" s="44"/>
      <c r="V52" s="53"/>
    </row>
    <row r="53" spans="5:22" ht="15.75" customHeight="1">
      <c r="F53" s="49"/>
      <c r="G53" s="49"/>
      <c r="H53" s="11"/>
      <c r="I53" s="44"/>
      <c r="J53" s="53"/>
    </row>
    <row r="54" spans="5:22" ht="15.75" customHeight="1">
      <c r="F54" s="54"/>
      <c r="G54" s="54"/>
      <c r="H54" s="11"/>
      <c r="I54" s="44"/>
    </row>
    <row r="55" spans="5:22" ht="15.75" customHeight="1">
      <c r="F55" s="54"/>
      <c r="G55" s="54"/>
    </row>
    <row r="56" spans="5:22" ht="15.75" customHeight="1">
      <c r="F56" s="54"/>
      <c r="G56" s="54"/>
    </row>
    <row r="57" spans="5:22" ht="15.75" customHeight="1">
      <c r="F57" s="54"/>
      <c r="G57" s="54"/>
      <c r="I57" s="53"/>
    </row>
    <row r="58" spans="5:22" ht="15.75" customHeight="1">
      <c r="F58" s="54"/>
      <c r="G58" s="54"/>
    </row>
    <row r="59" spans="5:22" ht="15.75" customHeight="1">
      <c r="F59" s="54"/>
      <c r="G59" s="54"/>
    </row>
    <row r="60" spans="5:22" ht="15.75" customHeight="1">
      <c r="F60" s="54"/>
      <c r="G60" s="54"/>
    </row>
    <row r="61" spans="5:22" ht="15.75" customHeight="1">
      <c r="F61" s="54"/>
      <c r="G61" s="54"/>
    </row>
    <row r="62" spans="5:22" ht="15.75" customHeight="1"/>
    <row r="63" spans="5:22" ht="15.75" customHeight="1"/>
    <row r="64" spans="5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6">
    <mergeCell ref="AA5:AB5"/>
    <mergeCell ref="AC5:AD5"/>
    <mergeCell ref="AE5:AF5"/>
    <mergeCell ref="M5:N5"/>
    <mergeCell ref="O5:P5"/>
    <mergeCell ref="Q5:R5"/>
    <mergeCell ref="S5:T5"/>
    <mergeCell ref="U5:V5"/>
    <mergeCell ref="W5:X5"/>
    <mergeCell ref="Y5:Z5"/>
    <mergeCell ref="AC6:AD6"/>
    <mergeCell ref="AE6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40:D40"/>
    <mergeCell ref="A42:D42"/>
    <mergeCell ref="A44:D44"/>
    <mergeCell ref="A46:D46"/>
    <mergeCell ref="A48:D48"/>
    <mergeCell ref="I5:J5"/>
    <mergeCell ref="K5:L5"/>
    <mergeCell ref="A2:B2"/>
    <mergeCell ref="A3:B3"/>
    <mergeCell ref="A4:B4"/>
    <mergeCell ref="E5:F5"/>
    <mergeCell ref="G5:H5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CASH FLOW</vt:lpstr>
      <vt:lpstr>PINT. Gustavo OOST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Rossi</cp:lastModifiedBy>
  <dcterms:created xsi:type="dcterms:W3CDTF">2015-06-05T18:19:34Z</dcterms:created>
  <dcterms:modified xsi:type="dcterms:W3CDTF">2026-07-01T18:27:26Z</dcterms:modified>
</cp:coreProperties>
</file>