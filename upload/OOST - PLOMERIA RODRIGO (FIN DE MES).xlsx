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Unidades compartidas\CERO\5. PRODUCCION\1. MANO DE OBRA\3. PLANILLA DE AVANCES\2. OOST II\"/>
    </mc:Choice>
  </mc:AlternateContent>
  <xr:revisionPtr revIDLastSave="0" documentId="11_62EE20442CA0B28E1AAABC3B9F7C88A7B7716499" xr6:coauthVersionLast="47" xr6:coauthVersionMax="47" xr10:uidLastSave="{00000000-0000-0000-0000-000000000000}"/>
  <bookViews>
    <workbookView xWindow="-120" yWindow="-120" windowWidth="29040" windowHeight="15720" tabRatio="686" activeTab="2" xr2:uid="{00000000-000D-0000-FFFF-FFFF00000000}"/>
  </bookViews>
  <sheets>
    <sheet name="CASH FLOW A FULL" sheetId="14" r:id="rId1"/>
    <sheet name="OPCION PAGOS 7.000.000" sheetId="16" r:id="rId2"/>
    <sheet name="CERTIFICADO X AVANCE" sheetId="8" r:id="rId3"/>
    <sheet name="CERTIFICADO CON PAGOS HECHOS" sheetId="17" r:id="rId4"/>
  </sheets>
  <definedNames>
    <definedName name="A" localSheetId="0">#REF!</definedName>
    <definedName name="A" localSheetId="3">#REF!</definedName>
    <definedName name="A" localSheetId="2">#REF!</definedName>
    <definedName name="A" localSheetId="1">#REF!</definedName>
    <definedName name="A">#REF!</definedName>
    <definedName name="B" localSheetId="0">#REF!</definedName>
    <definedName name="B" localSheetId="3">#REF!</definedName>
    <definedName name="B" localSheetId="2">#REF!</definedName>
    <definedName name="B" localSheetId="1">#REF!</definedName>
    <definedName name="B">#REF!</definedName>
    <definedName name="FECHAINGRESO" localSheetId="0">#REF!</definedName>
    <definedName name="FECHAINGRESO" localSheetId="3">#REF!</definedName>
    <definedName name="FECHAINGRESO" localSheetId="2">#REF!</definedName>
    <definedName name="FECHAINGRESO" localSheetId="1">#REF!</definedName>
    <definedName name="FECHAINGRESO">#REF!</definedName>
    <definedName name="FECHAPAGO_MAT" localSheetId="0">#REF!</definedName>
    <definedName name="FECHAPAGO_MAT" localSheetId="3">#REF!</definedName>
    <definedName name="FECHAPAGO_MAT" localSheetId="2">#REF!</definedName>
    <definedName name="FECHAPAGO_MAT" localSheetId="1">#REF!</definedName>
    <definedName name="FECHAPAGO_MAT">#REF!</definedName>
    <definedName name="FECHAPAGO_MO" localSheetId="0">#REF!</definedName>
    <definedName name="FECHAPAGO_MO" localSheetId="3">#REF!</definedName>
    <definedName name="FECHAPAGO_MO" localSheetId="2">#REF!</definedName>
    <definedName name="FECHAPAGO_MO" localSheetId="1">#REF!</definedName>
    <definedName name="FECHAPAGO_MO">#REF!</definedName>
    <definedName name="GASTOSMAT" localSheetId="0">#REF!</definedName>
    <definedName name="GASTOSMAT" localSheetId="3">#REF!</definedName>
    <definedName name="GASTOSMAT" localSheetId="2">#REF!</definedName>
    <definedName name="GASTOSMAT" localSheetId="1">#REF!</definedName>
    <definedName name="GASTOSMAT">#REF!</definedName>
    <definedName name="GASTOSMO" localSheetId="0">#REF!</definedName>
    <definedName name="GASTOSMO" localSheetId="3">#REF!</definedName>
    <definedName name="GASTOSMO" localSheetId="2">#REF!</definedName>
    <definedName name="GASTOSMO" localSheetId="1">#REF!</definedName>
    <definedName name="GASTOSMO">#REF!</definedName>
    <definedName name="ITEMMAT" localSheetId="0">#REF!</definedName>
    <definedName name="ITEMMAT" localSheetId="3">#REF!</definedName>
    <definedName name="ITEMMAT" localSheetId="2">#REF!</definedName>
    <definedName name="ITEMMAT" localSheetId="1">#REF!</definedName>
    <definedName name="ITEMMAT">#REF!</definedName>
    <definedName name="ITEMMO" localSheetId="0">#REF!</definedName>
    <definedName name="ITEMMO" localSheetId="3">#REF!</definedName>
    <definedName name="ITEMMO" localSheetId="2">#REF!</definedName>
    <definedName name="ITEMMO" localSheetId="1">#REF!</definedName>
    <definedName name="ITEMMO">#REF!</definedName>
    <definedName name="LISTA_DATOS" localSheetId="0">#REF!</definedName>
    <definedName name="LISTA_DATOS" localSheetId="3">#REF!</definedName>
    <definedName name="LISTA_DATOS" localSheetId="2">#REF!</definedName>
    <definedName name="LISTA_DATOS" localSheetId="1">#REF!</definedName>
    <definedName name="LISTA_DATOS">#REF!</definedName>
    <definedName name="MESES" localSheetId="0">#REF!</definedName>
    <definedName name="MESES" localSheetId="3">#REF!</definedName>
    <definedName name="MESES" localSheetId="2">#REF!</definedName>
    <definedName name="MESES" localSheetId="1">#REF!</definedName>
    <definedName name="MESES">#REF!</definedName>
    <definedName name="PAGO" localSheetId="0">#REF!</definedName>
    <definedName name="PAGO" localSheetId="3">#REF!</definedName>
    <definedName name="PAGO" localSheetId="2">#REF!</definedName>
    <definedName name="PAGO" localSheetId="1">#REF!</definedName>
    <definedName name="PAGO">#REF!</definedName>
    <definedName name="pedrero" localSheetId="0">#REF!</definedName>
    <definedName name="pedrero" localSheetId="3">#REF!</definedName>
    <definedName name="pedrero" localSheetId="2">#REF!</definedName>
    <definedName name="pedrero" localSheetId="1">#REF!</definedName>
    <definedName name="pedrero">#REF!</definedName>
    <definedName name="prueba" localSheetId="0">#REF!</definedName>
    <definedName name="prueba" localSheetId="3">#REF!</definedName>
    <definedName name="prueba" localSheetId="2">#REF!</definedName>
    <definedName name="prueba" localSheetId="1">#REF!</definedName>
    <definedName name="prueba">#REF!</definedName>
    <definedName name="RUBROMAT" localSheetId="0">#REF!</definedName>
    <definedName name="RUBROMAT" localSheetId="3">#REF!</definedName>
    <definedName name="RUBROMAT" localSheetId="2">#REF!</definedName>
    <definedName name="RUBROMAT" localSheetId="1">#REF!</definedName>
    <definedName name="RUBROMAT">#REF!</definedName>
    <definedName name="RUBROMO" localSheetId="0">#REF!</definedName>
    <definedName name="RUBROMO" localSheetId="3">#REF!</definedName>
    <definedName name="RUBROMO" localSheetId="2">#REF!</definedName>
    <definedName name="RUBROMO" localSheetId="1">#REF!</definedName>
    <definedName name="RUBROMO">#REF!</definedName>
    <definedName name="RUBROS_OBRA" localSheetId="0">#REF!</definedName>
    <definedName name="RUBROS_OBRA" localSheetId="3">#REF!</definedName>
    <definedName name="RUBROS_OBRA" localSheetId="2">#REF!</definedName>
    <definedName name="RUBROS_OBRA" localSheetId="1">#REF!</definedName>
    <definedName name="RUBROS_OB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yd65Iaia0HgtMSZ0YttLOOy6RWJNWGQhIzjVthwm1EA="/>
    </ext>
  </extLst>
</workbook>
</file>

<file path=xl/calcChain.xml><?xml version="1.0" encoding="utf-8"?>
<calcChain xmlns="http://schemas.openxmlformats.org/spreadsheetml/2006/main">
  <c r="J50" i="16" l="1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G50" i="16"/>
  <c r="F50" i="16"/>
  <c r="H50" i="16"/>
  <c r="I50" i="16"/>
  <c r="F54" i="17" l="1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F56" i="17" s="1"/>
  <c r="E48" i="17"/>
  <c r="E47" i="17"/>
  <c r="E46" i="17"/>
  <c r="E45" i="17"/>
  <c r="E44" i="17"/>
  <c r="E43" i="17"/>
  <c r="C42" i="17"/>
  <c r="D42" i="17" s="1"/>
  <c r="E40" i="17"/>
  <c r="E39" i="17"/>
  <c r="E38" i="17"/>
  <c r="C37" i="17"/>
  <c r="D37" i="17" s="1"/>
  <c r="E35" i="17"/>
  <c r="E34" i="17"/>
  <c r="E33" i="17"/>
  <c r="E32" i="17"/>
  <c r="E31" i="17"/>
  <c r="C30" i="17"/>
  <c r="D30" i="17" s="1"/>
  <c r="E28" i="17"/>
  <c r="E27" i="17"/>
  <c r="E26" i="17"/>
  <c r="E25" i="17"/>
  <c r="E24" i="17"/>
  <c r="E23" i="17"/>
  <c r="C22" i="17"/>
  <c r="D22" i="17" s="1"/>
  <c r="E20" i="17"/>
  <c r="E19" i="17"/>
  <c r="E18" i="17"/>
  <c r="E17" i="17"/>
  <c r="E16" i="17"/>
  <c r="C15" i="17"/>
  <c r="D15" i="17" s="1"/>
  <c r="E13" i="17"/>
  <c r="E12" i="17"/>
  <c r="E11" i="17"/>
  <c r="E10" i="17"/>
  <c r="E9" i="17"/>
  <c r="E8" i="17"/>
  <c r="C7" i="17"/>
  <c r="D7" i="17" s="1"/>
  <c r="D4" i="17"/>
  <c r="C42" i="14"/>
  <c r="E48" i="14"/>
  <c r="C42" i="16"/>
  <c r="D42" i="16" s="1"/>
  <c r="E48" i="16"/>
  <c r="C42" i="8"/>
  <c r="E48" i="8"/>
  <c r="F54" i="16"/>
  <c r="G54" i="16" s="1"/>
  <c r="H54" i="16" s="1"/>
  <c r="I54" i="16" s="1"/>
  <c r="E47" i="16"/>
  <c r="E46" i="16"/>
  <c r="E45" i="16"/>
  <c r="E44" i="16"/>
  <c r="E43" i="16"/>
  <c r="E40" i="16"/>
  <c r="E39" i="16"/>
  <c r="E38" i="16"/>
  <c r="C37" i="16"/>
  <c r="D37" i="16" s="1"/>
  <c r="E35" i="16"/>
  <c r="E34" i="16"/>
  <c r="E33" i="16"/>
  <c r="E32" i="16"/>
  <c r="E31" i="16"/>
  <c r="C30" i="16"/>
  <c r="D30" i="16" s="1"/>
  <c r="E28" i="16"/>
  <c r="E27" i="16"/>
  <c r="E26" i="16"/>
  <c r="E25" i="16"/>
  <c r="E24" i="16"/>
  <c r="E23" i="16"/>
  <c r="C22" i="16"/>
  <c r="D22" i="16" s="1"/>
  <c r="E20" i="16"/>
  <c r="E19" i="16"/>
  <c r="E18" i="16"/>
  <c r="E17" i="16"/>
  <c r="E16" i="16"/>
  <c r="C15" i="16"/>
  <c r="D15" i="16" s="1"/>
  <c r="E13" i="16"/>
  <c r="E12" i="16"/>
  <c r="E11" i="16"/>
  <c r="E10" i="16"/>
  <c r="E9" i="16"/>
  <c r="E8" i="16"/>
  <c r="C7" i="16"/>
  <c r="D7" i="16" s="1"/>
  <c r="D4" i="16"/>
  <c r="F56" i="16" l="1"/>
  <c r="F58" i="16" s="1"/>
  <c r="G62" i="16" s="1"/>
  <c r="G56" i="16"/>
  <c r="C50" i="17"/>
  <c r="E50" i="17"/>
  <c r="F60" i="17"/>
  <c r="G54" i="17"/>
  <c r="H54" i="17" s="1"/>
  <c r="I54" i="17" s="1"/>
  <c r="J54" i="17" s="1"/>
  <c r="K54" i="17" s="1"/>
  <c r="L54" i="17" s="1"/>
  <c r="M54" i="17" s="1"/>
  <c r="N54" i="17" s="1"/>
  <c r="O54" i="17" s="1"/>
  <c r="P54" i="17" s="1"/>
  <c r="Q54" i="17" s="1"/>
  <c r="R54" i="17" s="1"/>
  <c r="C50" i="16"/>
  <c r="H56" i="16"/>
  <c r="J54" i="16"/>
  <c r="I56" i="16"/>
  <c r="E50" i="16"/>
  <c r="E47" i="8"/>
  <c r="E46" i="8"/>
  <c r="E45" i="8"/>
  <c r="E44" i="8"/>
  <c r="E43" i="8"/>
  <c r="E40" i="8"/>
  <c r="E39" i="8"/>
  <c r="E38" i="8"/>
  <c r="E35" i="8"/>
  <c r="E34" i="8"/>
  <c r="E33" i="8"/>
  <c r="E32" i="8"/>
  <c r="E31" i="8"/>
  <c r="E28" i="8"/>
  <c r="E27" i="8"/>
  <c r="E26" i="8"/>
  <c r="E25" i="8"/>
  <c r="E24" i="8"/>
  <c r="E23" i="8"/>
  <c r="E20" i="8"/>
  <c r="E19" i="8"/>
  <c r="E18" i="8"/>
  <c r="E17" i="8"/>
  <c r="E16" i="8"/>
  <c r="E13" i="8"/>
  <c r="E12" i="8"/>
  <c r="E11" i="8"/>
  <c r="E10" i="8"/>
  <c r="E9" i="8"/>
  <c r="E8" i="8"/>
  <c r="E47" i="14"/>
  <c r="E46" i="14"/>
  <c r="E45" i="14"/>
  <c r="E44" i="14"/>
  <c r="E43" i="14"/>
  <c r="E40" i="14"/>
  <c r="E39" i="14"/>
  <c r="E38" i="14"/>
  <c r="E35" i="14"/>
  <c r="E34" i="14"/>
  <c r="E33" i="14"/>
  <c r="E32" i="14"/>
  <c r="E31" i="14"/>
  <c r="E28" i="14"/>
  <c r="E27" i="14"/>
  <c r="E26" i="14"/>
  <c r="E25" i="14"/>
  <c r="E24" i="14"/>
  <c r="E23" i="14"/>
  <c r="E20" i="14"/>
  <c r="E19" i="14"/>
  <c r="E18" i="14"/>
  <c r="E17" i="14"/>
  <c r="E16" i="14"/>
  <c r="E13" i="14"/>
  <c r="E12" i="14"/>
  <c r="E11" i="14"/>
  <c r="E10" i="14"/>
  <c r="E9" i="14"/>
  <c r="E8" i="14"/>
  <c r="F60" i="16" l="1"/>
  <c r="G60" i="16" s="1"/>
  <c r="H60" i="16" s="1"/>
  <c r="I60" i="16" s="1"/>
  <c r="J60" i="16" s="1"/>
  <c r="K60" i="16" s="1"/>
  <c r="L60" i="16" s="1"/>
  <c r="M60" i="16" s="1"/>
  <c r="N60" i="16" s="1"/>
  <c r="O60" i="16" s="1"/>
  <c r="P60" i="16" s="1"/>
  <c r="O56" i="17"/>
  <c r="O58" i="17" s="1"/>
  <c r="S54" i="17"/>
  <c r="R56" i="17"/>
  <c r="R58" i="17" s="1"/>
  <c r="Q56" i="17"/>
  <c r="Q58" i="17" s="1"/>
  <c r="L56" i="17"/>
  <c r="L58" i="17" s="1"/>
  <c r="I56" i="17"/>
  <c r="I58" i="17" s="1"/>
  <c r="G56" i="17"/>
  <c r="G60" i="17" s="1"/>
  <c r="H60" i="17" s="1"/>
  <c r="P56" i="17"/>
  <c r="P58" i="17" s="1"/>
  <c r="K56" i="17"/>
  <c r="K58" i="17" s="1"/>
  <c r="J56" i="17"/>
  <c r="J58" i="17" s="1"/>
  <c r="H56" i="17"/>
  <c r="M56" i="17"/>
  <c r="M58" i="17" s="1"/>
  <c r="N56" i="17"/>
  <c r="N58" i="17" s="1"/>
  <c r="K54" i="16"/>
  <c r="J56" i="16"/>
  <c r="I60" i="17" l="1"/>
  <c r="J60" i="17" s="1"/>
  <c r="K60" i="17" s="1"/>
  <c r="L60" i="17" s="1"/>
  <c r="M60" i="17" s="1"/>
  <c r="N60" i="17" s="1"/>
  <c r="O60" i="17" s="1"/>
  <c r="P60" i="17" s="1"/>
  <c r="Q60" i="17" s="1"/>
  <c r="R60" i="17" s="1"/>
  <c r="T54" i="17"/>
  <c r="S56" i="17"/>
  <c r="S58" i="17" s="1"/>
  <c r="L54" i="16"/>
  <c r="K56" i="16"/>
  <c r="S60" i="17" l="1"/>
  <c r="U54" i="17"/>
  <c r="T56" i="17"/>
  <c r="T58" i="17" s="1"/>
  <c r="M54" i="16"/>
  <c r="L56" i="16"/>
  <c r="T60" i="17" l="1"/>
  <c r="V54" i="17"/>
  <c r="U56" i="17"/>
  <c r="U58" i="17" s="1"/>
  <c r="M56" i="16"/>
  <c r="N54" i="16"/>
  <c r="U60" i="17" l="1"/>
  <c r="V56" i="17"/>
  <c r="V58" i="17" s="1"/>
  <c r="W54" i="17"/>
  <c r="O54" i="16"/>
  <c r="N56" i="16"/>
  <c r="V60" i="17" l="1"/>
  <c r="X54" i="17"/>
  <c r="W56" i="17"/>
  <c r="W58" i="17" s="1"/>
  <c r="O56" i="16"/>
  <c r="P54" i="16"/>
  <c r="W60" i="17" l="1"/>
  <c r="X56" i="17"/>
  <c r="X58" i="17" s="1"/>
  <c r="Y54" i="17"/>
  <c r="P56" i="16"/>
  <c r="Q54" i="16"/>
  <c r="X60" i="17" l="1"/>
  <c r="Y56" i="17"/>
  <c r="Y58" i="17" s="1"/>
  <c r="Z54" i="17"/>
  <c r="R54" i="16"/>
  <c r="Q56" i="16"/>
  <c r="Q60" i="16" s="1"/>
  <c r="Y60" i="17" l="1"/>
  <c r="AA54" i="17"/>
  <c r="Z56" i="17"/>
  <c r="Z58" i="17" s="1"/>
  <c r="S54" i="16"/>
  <c r="R56" i="16"/>
  <c r="R58" i="16" s="1"/>
  <c r="R60" i="16" s="1"/>
  <c r="Z60" i="17" l="1"/>
  <c r="AB54" i="17"/>
  <c r="AA56" i="17"/>
  <c r="AA58" i="17" s="1"/>
  <c r="T54" i="16"/>
  <c r="S56" i="16"/>
  <c r="S58" i="16" s="1"/>
  <c r="S60" i="16" s="1"/>
  <c r="AA60" i="17" l="1"/>
  <c r="AC54" i="17"/>
  <c r="AB56" i="17"/>
  <c r="AB58" i="17" s="1"/>
  <c r="U54" i="16"/>
  <c r="T56" i="16"/>
  <c r="T58" i="16" s="1"/>
  <c r="T60" i="16" s="1"/>
  <c r="AB60" i="17" l="1"/>
  <c r="AD54" i="17"/>
  <c r="AC56" i="17"/>
  <c r="AC58" i="17" s="1"/>
  <c r="V54" i="16"/>
  <c r="U56" i="16"/>
  <c r="U58" i="16" s="1"/>
  <c r="U60" i="16" s="1"/>
  <c r="F54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D42" i="14"/>
  <c r="C37" i="14"/>
  <c r="D37" i="14" s="1"/>
  <c r="C30" i="14"/>
  <c r="D30" i="14" s="1"/>
  <c r="C22" i="14"/>
  <c r="D22" i="14" s="1"/>
  <c r="C15" i="14"/>
  <c r="D15" i="14" s="1"/>
  <c r="C7" i="14"/>
  <c r="D7" i="14" s="1"/>
  <c r="D4" i="14"/>
  <c r="F50" i="8"/>
  <c r="AC60" i="17" l="1"/>
  <c r="F56" i="14"/>
  <c r="AE54" i="17"/>
  <c r="AD56" i="17"/>
  <c r="AD58" i="17" s="1"/>
  <c r="F58" i="14"/>
  <c r="F60" i="14" s="1"/>
  <c r="D18" i="14"/>
  <c r="D12" i="14"/>
  <c r="D11" i="14"/>
  <c r="D10" i="14"/>
  <c r="D9" i="14"/>
  <c r="D20" i="14"/>
  <c r="D19" i="14"/>
  <c r="D16" i="14"/>
  <c r="D13" i="14"/>
  <c r="D8" i="14"/>
  <c r="D17" i="14"/>
  <c r="W54" i="16"/>
  <c r="V56" i="16"/>
  <c r="V58" i="16" s="1"/>
  <c r="V60" i="16" s="1"/>
  <c r="C50" i="14"/>
  <c r="G54" i="14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E50" i="14"/>
  <c r="AD60" i="17" l="1"/>
  <c r="AF54" i="17"/>
  <c r="AE56" i="17"/>
  <c r="AE58" i="17" s="1"/>
  <c r="X54" i="16"/>
  <c r="W56" i="16"/>
  <c r="W58" i="16" s="1"/>
  <c r="W60" i="16" s="1"/>
  <c r="S54" i="14"/>
  <c r="R56" i="14"/>
  <c r="R58" i="14" s="1"/>
  <c r="J56" i="14"/>
  <c r="J58" i="14" s="1"/>
  <c r="M56" i="14"/>
  <c r="M58" i="14" s="1"/>
  <c r="I56" i="14"/>
  <c r="I58" i="14" s="1"/>
  <c r="G56" i="14"/>
  <c r="G58" i="14" s="1"/>
  <c r="G62" i="14" s="1"/>
  <c r="Q56" i="14"/>
  <c r="Q58" i="14" s="1"/>
  <c r="P56" i="14"/>
  <c r="P58" i="14" s="1"/>
  <c r="H56" i="14"/>
  <c r="H58" i="14" s="1"/>
  <c r="O56" i="14"/>
  <c r="O58" i="14" s="1"/>
  <c r="N56" i="14"/>
  <c r="N58" i="14" s="1"/>
  <c r="L56" i="14"/>
  <c r="L58" i="14" s="1"/>
  <c r="K56" i="14"/>
  <c r="K58" i="14" s="1"/>
  <c r="AE60" i="17" l="1"/>
  <c r="AG54" i="17"/>
  <c r="AG56" i="17" s="1"/>
  <c r="AG58" i="17" s="1"/>
  <c r="AF56" i="17"/>
  <c r="AF58" i="17" s="1"/>
  <c r="Y54" i="16"/>
  <c r="X56" i="16"/>
  <c r="X58" i="16" s="1"/>
  <c r="X60" i="16" s="1"/>
  <c r="G60" i="14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56" i="14"/>
  <c r="S58" i="14" s="1"/>
  <c r="T54" i="14"/>
  <c r="AF60" i="17" l="1"/>
  <c r="AG60" i="17" s="1"/>
  <c r="Z54" i="16"/>
  <c r="Y56" i="16"/>
  <c r="Y58" i="16" s="1"/>
  <c r="Y60" i="16" s="1"/>
  <c r="U54" i="14"/>
  <c r="T56" i="14"/>
  <c r="T58" i="14" s="1"/>
  <c r="S60" i="14"/>
  <c r="AA54" i="16" l="1"/>
  <c r="Z56" i="16"/>
  <c r="Z58" i="16" s="1"/>
  <c r="Z60" i="16" s="1"/>
  <c r="T60" i="14"/>
  <c r="V54" i="14"/>
  <c r="U56" i="14"/>
  <c r="U58" i="14" s="1"/>
  <c r="AB54" i="16" l="1"/>
  <c r="AA56" i="16"/>
  <c r="AA58" i="16" s="1"/>
  <c r="AA60" i="16" s="1"/>
  <c r="U60" i="14"/>
  <c r="W54" i="14"/>
  <c r="V56" i="14"/>
  <c r="V58" i="14" s="1"/>
  <c r="AC54" i="16" l="1"/>
  <c r="AB56" i="16"/>
  <c r="AB58" i="16" s="1"/>
  <c r="AB60" i="16" s="1"/>
  <c r="V60" i="14"/>
  <c r="X54" i="14"/>
  <c r="W56" i="14"/>
  <c r="W58" i="14" s="1"/>
  <c r="AD54" i="16" l="1"/>
  <c r="AC56" i="16"/>
  <c r="AC58" i="16" s="1"/>
  <c r="AC60" i="16" s="1"/>
  <c r="W60" i="14"/>
  <c r="Y54" i="14"/>
  <c r="X56" i="14"/>
  <c r="X58" i="14" s="1"/>
  <c r="AE54" i="16" l="1"/>
  <c r="AD56" i="16"/>
  <c r="AD58" i="16" s="1"/>
  <c r="AD60" i="16" s="1"/>
  <c r="X60" i="14"/>
  <c r="Z54" i="14"/>
  <c r="Y56" i="14"/>
  <c r="Y58" i="14" s="1"/>
  <c r="AF54" i="16" l="1"/>
  <c r="AE56" i="16"/>
  <c r="AE58" i="16" s="1"/>
  <c r="AE60" i="16" s="1"/>
  <c r="Y60" i="14"/>
  <c r="AA54" i="14"/>
  <c r="Z56" i="14"/>
  <c r="Z58" i="14" s="1"/>
  <c r="AG54" i="16" l="1"/>
  <c r="AG56" i="16" s="1"/>
  <c r="AG58" i="16" s="1"/>
  <c r="AF56" i="16"/>
  <c r="AF58" i="16" s="1"/>
  <c r="AF60" i="16" s="1"/>
  <c r="AG60" i="16" s="1"/>
  <c r="Z60" i="14"/>
  <c r="AB54" i="14"/>
  <c r="AA56" i="14"/>
  <c r="AA58" i="14" s="1"/>
  <c r="AA60" i="14" l="1"/>
  <c r="AC54" i="14"/>
  <c r="AB56" i="14"/>
  <c r="AB58" i="14" s="1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B60" i="14" l="1"/>
  <c r="AD54" i="14"/>
  <c r="AC56" i="14"/>
  <c r="AC58" i="14" s="1"/>
  <c r="E50" i="8"/>
  <c r="F54" i="8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D42" i="8"/>
  <c r="C37" i="8"/>
  <c r="D37" i="8" s="1"/>
  <c r="C30" i="8"/>
  <c r="D30" i="8" s="1"/>
  <c r="C22" i="8"/>
  <c r="D22" i="8" s="1"/>
  <c r="C15" i="8"/>
  <c r="D15" i="8" s="1"/>
  <c r="C7" i="8"/>
  <c r="D4" i="8"/>
  <c r="AC60" i="14" l="1"/>
  <c r="AE54" i="14"/>
  <c r="AD56" i="14"/>
  <c r="AD58" i="14" s="1"/>
  <c r="F56" i="8"/>
  <c r="F58" i="8" s="1"/>
  <c r="F60" i="8" s="1"/>
  <c r="I56" i="8"/>
  <c r="I58" i="8" s="1"/>
  <c r="C50" i="8"/>
  <c r="L56" i="8"/>
  <c r="L58" i="8" s="1"/>
  <c r="M56" i="8"/>
  <c r="M58" i="8" s="1"/>
  <c r="N56" i="8"/>
  <c r="N58" i="8" s="1"/>
  <c r="O56" i="8"/>
  <c r="O58" i="8" s="1"/>
  <c r="J56" i="8"/>
  <c r="J58" i="8" s="1"/>
  <c r="P56" i="8"/>
  <c r="P58" i="8" s="1"/>
  <c r="D7" i="8"/>
  <c r="K56" i="8"/>
  <c r="K58" i="8" s="1"/>
  <c r="Q56" i="8"/>
  <c r="Q58" i="8" s="1"/>
  <c r="G56" i="8"/>
  <c r="G58" i="8" s="1"/>
  <c r="H56" i="8"/>
  <c r="H58" i="8" s="1"/>
  <c r="S54" i="8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R56" i="8"/>
  <c r="R58" i="8" s="1"/>
  <c r="AD60" i="14" l="1"/>
  <c r="AF54" i="14"/>
  <c r="AE56" i="14"/>
  <c r="AE58" i="14" s="1"/>
  <c r="G60" i="8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U56" i="8"/>
  <c r="U58" i="8" s="1"/>
  <c r="S56" i="8"/>
  <c r="S58" i="8" s="1"/>
  <c r="Z56" i="8"/>
  <c r="Z58" i="8" s="1"/>
  <c r="T56" i="8"/>
  <c r="T58" i="8" s="1"/>
  <c r="Y56" i="8"/>
  <c r="Y58" i="8" s="1"/>
  <c r="AC56" i="8"/>
  <c r="AC58" i="8" s="1"/>
  <c r="W56" i="8"/>
  <c r="W58" i="8" s="1"/>
  <c r="AB56" i="8"/>
  <c r="AB58" i="8" s="1"/>
  <c r="AE54" i="8"/>
  <c r="AD56" i="8"/>
  <c r="AD58" i="8" s="1"/>
  <c r="V56" i="8"/>
  <c r="V58" i="8" s="1"/>
  <c r="AA56" i="8"/>
  <c r="AA58" i="8" s="1"/>
  <c r="X56" i="8"/>
  <c r="X58" i="8" s="1"/>
  <c r="AE60" i="14" l="1"/>
  <c r="AG54" i="14"/>
  <c r="AG56" i="14" s="1"/>
  <c r="AG58" i="14" s="1"/>
  <c r="AF56" i="14"/>
  <c r="AF58" i="14" s="1"/>
  <c r="S60" i="8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F54" i="8"/>
  <c r="AE56" i="8"/>
  <c r="AE58" i="8" s="1"/>
  <c r="AF60" i="14" l="1"/>
  <c r="AG60" i="14" s="1"/>
  <c r="AE60" i="8"/>
  <c r="AG54" i="8"/>
  <c r="AG56" i="8" s="1"/>
  <c r="AG58" i="8" s="1"/>
  <c r="AF56" i="8"/>
  <c r="AF58" i="8" s="1"/>
  <c r="AF60" i="8" l="1"/>
  <c r="AG60" i="8" s="1"/>
</calcChain>
</file>

<file path=xl/sharedStrings.xml><?xml version="1.0" encoding="utf-8"?>
<sst xmlns="http://schemas.openxmlformats.org/spreadsheetml/2006/main" count="438" uniqueCount="67">
  <si>
    <t>MES BASE ACTUALIZACIÓN</t>
  </si>
  <si>
    <t>MONTO DE OBRA INICIAL</t>
  </si>
  <si>
    <t>ANTICIPO</t>
  </si>
  <si>
    <t>ITEM</t>
  </si>
  <si>
    <t>DESCRIPCIÓN</t>
  </si>
  <si>
    <t>% ITEM</t>
  </si>
  <si>
    <t>FINALIZADO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</si>
  <si>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</si>
  <si>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</si>
  <si>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</si>
  <si>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</si>
  <si>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</si>
  <si>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</si>
  <si>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</si>
  <si>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</si>
  <si>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</si>
  <si>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</si>
  <si>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</si>
  <si>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</si>
  <si>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</si>
  <si>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</si>
  <si>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Q1</t>
  </si>
  <si>
    <t>Q2</t>
  </si>
  <si>
    <t>TOTAL OBRA</t>
  </si>
  <si>
    <t>AJUSTE</t>
  </si>
  <si>
    <t>MONTO DE OBRA ACTUALIZADO</t>
  </si>
  <si>
    <t>MONTO CERTIFICADO</t>
  </si>
  <si>
    <t>MONTO A PAGAR (con descuento por adelanto)</t>
  </si>
  <si>
    <t>SALDO DE OBRA ACTUALIZADO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</si>
  <si>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</si>
  <si>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</si>
  <si>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</si>
  <si>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</si>
  <si>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</si>
  <si>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</si>
  <si>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</si>
  <si>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</si>
  <si>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</si>
  <si>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</si>
  <si>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</si>
  <si>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</si>
  <si>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MONTO TOTAL</t>
  </si>
  <si>
    <t>COLOCACIÓN</t>
  </si>
  <si>
    <t>AGUA</t>
  </si>
  <si>
    <t>CLOACALES</t>
  </si>
  <si>
    <t>PLUVIALES</t>
  </si>
  <si>
    <t>GAS</t>
  </si>
  <si>
    <t>P.B.</t>
  </si>
  <si>
    <t>1° PISO</t>
  </si>
  <si>
    <t>2° PISO</t>
  </si>
  <si>
    <t>3° PISO</t>
  </si>
  <si>
    <t>4° PISO</t>
  </si>
  <si>
    <t>Pasillo P.B.</t>
  </si>
  <si>
    <t>Acometida</t>
  </si>
  <si>
    <t>Gabinetes</t>
  </si>
  <si>
    <t>SALAS DE MAQUINAS</t>
  </si>
  <si>
    <t>Colector tanque de reserva</t>
  </si>
  <si>
    <t>Sala de maquinas cisterna</t>
  </si>
  <si>
    <t>Conexión pileta</t>
  </si>
  <si>
    <t>ACOMETIDA</t>
  </si>
  <si>
    <t>TERRAZA</t>
  </si>
  <si>
    <t xml:space="preserve"> </t>
  </si>
  <si>
    <t>Pruebas manométricas</t>
  </si>
  <si>
    <t>Biodigestores</t>
  </si>
  <si>
    <t>OOST II - PLOMERÍA RODRIGO</t>
  </si>
  <si>
    <t>PAGOS REALES HECHOS</t>
  </si>
  <si>
    <t>Conexiones calderas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</si>
</sst>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%"/>
    <numFmt numFmtId="166" formatCode="_-&quot;$&quot;\ * #,##0_-;\-&quot;$&quot;\ * #,##0_-;_-&quot;$&quot;\ * &quot;-&quot;??_-;_-@"/>
    <numFmt numFmtId="167" formatCode="_-[$$-2C0A]\ * #,##0_-;\-[$$-2C0A]\ * #,##0_-;_-[$$-2C0A]\ * &quot;-&quot;??_-;_-@"/>
    <numFmt numFmtId="168" formatCode="_-[$$-2C0A]\ * #,##0.00_-;\-[$$-2C0A]\ * #,##0.00_-;_-[$$-2C0A]\ * &quot;-&quot;??_-;_-@"/>
    <numFmt numFmtId="169" formatCode="_-[$$-2C0A]\ * #,##0.000_-;\-[$$-2C0A]\ * #,##0.000_-;_-[$$-2C0A]\ * &quot;-&quot;??_-;_-@"/>
    <numFmt numFmtId="170" formatCode="_-&quot;$&quot;\ * #,##0_-;\-&quot;$&quot;\ * #,##0_-;_-&quot;$&quot;\ * &quot;-&quot;??_-;_-@_-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BFBFBF"/>
      <name val="Calibri"/>
      <family val="2"/>
    </font>
    <font>
      <b/>
      <sz val="11"/>
      <color rgb="FFBFBFBF"/>
      <name val="Calibri"/>
      <family val="2"/>
    </font>
    <font>
      <sz val="11"/>
      <color rgb="FF7F7F7F"/>
      <name val="Calibri"/>
      <family val="2"/>
    </font>
    <font>
      <b/>
      <sz val="14"/>
      <color rgb="FFBFBFBF"/>
      <name val="Calibri"/>
      <family val="2"/>
    </font>
    <font>
      <b/>
      <sz val="11"/>
      <color theme="0"/>
      <name val="Calibri"/>
      <family val="2"/>
    </font>
    <font>
      <b/>
      <sz val="12"/>
      <color theme="5"/>
      <name val="Calibri"/>
      <family val="2"/>
    </font>
    <font>
      <b/>
      <sz val="11"/>
      <color theme="5"/>
      <name val="Calibri"/>
      <family val="2"/>
    </font>
    <font>
      <sz val="11"/>
      <color rgb="FFBFBFBF"/>
      <name val="Calibri"/>
      <family val="2"/>
    </font>
    <font>
      <b/>
      <sz val="14"/>
      <color theme="9"/>
      <name val="Calibri"/>
      <family val="2"/>
    </font>
    <font>
      <b/>
      <sz val="14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C0000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3333"/>
        <bgColor rgb="FF353333"/>
      </patternFill>
    </fill>
    <fill>
      <patternFill patternType="solid">
        <fgColor rgb="FF3533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44" fontId="19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10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0" xfId="0" applyFont="1"/>
    <xf numFmtId="165" fontId="2" fillId="0" borderId="0" xfId="0" applyNumberFormat="1" applyFont="1" applyAlignment="1">
      <alignment horizontal="right"/>
    </xf>
    <xf numFmtId="0" fontId="2" fillId="0" borderId="7" xfId="0" applyFont="1" applyBorder="1" applyAlignment="1">
      <alignment horizontal="center"/>
    </xf>
    <xf numFmtId="10" fontId="2" fillId="0" borderId="8" xfId="0" applyNumberFormat="1" applyFont="1" applyBorder="1"/>
    <xf numFmtId="10" fontId="2" fillId="0" borderId="0" xfId="0" applyNumberFormat="1" applyFont="1"/>
    <xf numFmtId="10" fontId="1" fillId="0" borderId="8" xfId="0" applyNumberFormat="1" applyFont="1" applyBorder="1"/>
    <xf numFmtId="10" fontId="1" fillId="0" borderId="0" xfId="0" applyNumberFormat="1" applyFont="1"/>
    <xf numFmtId="9" fontId="1" fillId="0" borderId="8" xfId="0" applyNumberFormat="1" applyFont="1" applyBorder="1"/>
    <xf numFmtId="9" fontId="1" fillId="0" borderId="7" xfId="0" applyNumberFormat="1" applyFont="1" applyBorder="1"/>
    <xf numFmtId="10" fontId="2" fillId="0" borderId="7" xfId="0" applyNumberFormat="1" applyFont="1" applyBorder="1"/>
    <xf numFmtId="10" fontId="1" fillId="0" borderId="7" xfId="0" applyNumberFormat="1" applyFont="1" applyBorder="1"/>
    <xf numFmtId="165" fontId="1" fillId="0" borderId="0" xfId="0" applyNumberFormat="1" applyFont="1" applyAlignment="1">
      <alignment horizontal="right"/>
    </xf>
    <xf numFmtId="10" fontId="8" fillId="0" borderId="0" xfId="0" applyNumberFormat="1" applyFont="1"/>
    <xf numFmtId="165" fontId="7" fillId="2" borderId="9" xfId="0" applyNumberFormat="1" applyFont="1" applyFill="1" applyBorder="1" applyAlignment="1">
      <alignment horizontal="center"/>
    </xf>
    <xf numFmtId="10" fontId="1" fillId="2" borderId="9" xfId="0" applyNumberFormat="1" applyFont="1" applyFill="1" applyBorder="1"/>
    <xf numFmtId="10" fontId="8" fillId="2" borderId="1" xfId="0" applyNumberFormat="1" applyFont="1" applyFill="1" applyBorder="1"/>
    <xf numFmtId="10" fontId="1" fillId="2" borderId="1" xfId="0" applyNumberFormat="1" applyFont="1" applyFill="1" applyBorder="1"/>
    <xf numFmtId="9" fontId="1" fillId="2" borderId="9" xfId="0" applyNumberFormat="1" applyFont="1" applyFill="1" applyBorder="1"/>
    <xf numFmtId="9" fontId="2" fillId="0" borderId="7" xfId="0" applyNumberFormat="1" applyFont="1" applyBorder="1"/>
    <xf numFmtId="165" fontId="1" fillId="0" borderId="0" xfId="0" applyNumberFormat="1" applyFont="1"/>
    <xf numFmtId="2" fontId="1" fillId="0" borderId="0" xfId="0" applyNumberFormat="1" applyFont="1"/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165" fontId="9" fillId="2" borderId="11" xfId="0" applyNumberFormat="1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9" fontId="3" fillId="0" borderId="0" xfId="0" applyNumberFormat="1" applyFont="1"/>
    <xf numFmtId="10" fontId="10" fillId="2" borderId="1" xfId="0" applyNumberFormat="1" applyFont="1" applyFill="1" applyBorder="1"/>
    <xf numFmtId="166" fontId="12" fillId="2" borderId="1" xfId="0" applyNumberFormat="1" applyFont="1" applyFill="1" applyBorder="1"/>
    <xf numFmtId="166" fontId="3" fillId="2" borderId="1" xfId="0" applyNumberFormat="1" applyFont="1" applyFill="1" applyBorder="1"/>
    <xf numFmtId="167" fontId="15" fillId="2" borderId="11" xfId="0" applyNumberFormat="1" applyFont="1" applyFill="1" applyBorder="1"/>
    <xf numFmtId="167" fontId="15" fillId="2" borderId="6" xfId="0" applyNumberFormat="1" applyFont="1" applyFill="1" applyBorder="1"/>
    <xf numFmtId="167" fontId="1" fillId="0" borderId="0" xfId="0" applyNumberFormat="1" applyFont="1"/>
    <xf numFmtId="167" fontId="10" fillId="2" borderId="1" xfId="0" applyNumberFormat="1" applyFont="1" applyFill="1" applyBorder="1"/>
    <xf numFmtId="168" fontId="10" fillId="2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7" fontId="16" fillId="0" borderId="0" xfId="0" applyNumberFormat="1" applyFont="1"/>
    <xf numFmtId="167" fontId="2" fillId="0" borderId="0" xfId="0" applyNumberFormat="1" applyFont="1"/>
    <xf numFmtId="167" fontId="17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65" fontId="2" fillId="0" borderId="0" xfId="0" applyNumberFormat="1" applyFont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9" fontId="1" fillId="0" borderId="15" xfId="0" applyNumberFormat="1" applyFont="1" applyBorder="1"/>
    <xf numFmtId="10" fontId="18" fillId="3" borderId="6" xfId="0" applyNumberFormat="1" applyFont="1" applyFill="1" applyBorder="1"/>
    <xf numFmtId="44" fontId="6" fillId="2" borderId="1" xfId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1" fillId="0" borderId="9" xfId="0" applyNumberFormat="1" applyFont="1" applyBorder="1"/>
    <xf numFmtId="9" fontId="1" fillId="0" borderId="9" xfId="0" applyNumberFormat="1" applyFont="1" applyBorder="1"/>
    <xf numFmtId="0" fontId="20" fillId="0" borderId="0" xfId="0" applyFont="1"/>
    <xf numFmtId="165" fontId="21" fillId="0" borderId="0" xfId="0" applyNumberFormat="1" applyFont="1" applyAlignment="1">
      <alignment horizontal="right"/>
    </xf>
    <xf numFmtId="10" fontId="21" fillId="0" borderId="7" xfId="0" applyNumberFormat="1" applyFont="1" applyBorder="1"/>
    <xf numFmtId="10" fontId="22" fillId="0" borderId="0" xfId="0" applyNumberFormat="1" applyFont="1"/>
    <xf numFmtId="10" fontId="21" fillId="0" borderId="0" xfId="0" applyNumberFormat="1" applyFont="1"/>
    <xf numFmtId="10" fontId="20" fillId="0" borderId="0" xfId="0" applyNumberFormat="1" applyFont="1"/>
    <xf numFmtId="10" fontId="20" fillId="0" borderId="7" xfId="0" applyNumberFormat="1" applyFont="1" applyBorder="1"/>
    <xf numFmtId="10" fontId="2" fillId="0" borderId="9" xfId="0" applyNumberFormat="1" applyFont="1" applyBorder="1"/>
    <xf numFmtId="167" fontId="0" fillId="0" borderId="0" xfId="0" applyNumberFormat="1"/>
    <xf numFmtId="10" fontId="2" fillId="5" borderId="8" xfId="0" applyNumberFormat="1" applyFont="1" applyFill="1" applyBorder="1"/>
    <xf numFmtId="10" fontId="2" fillId="5" borderId="7" xfId="0" applyNumberFormat="1" applyFont="1" applyFill="1" applyBorder="1"/>
    <xf numFmtId="10" fontId="2" fillId="5" borderId="9" xfId="0" applyNumberFormat="1" applyFont="1" applyFill="1" applyBorder="1"/>
    <xf numFmtId="10" fontId="21" fillId="5" borderId="7" xfId="0" applyNumberFormat="1" applyFont="1" applyFill="1" applyBorder="1"/>
    <xf numFmtId="10" fontId="20" fillId="5" borderId="0" xfId="0" applyNumberFormat="1" applyFont="1" applyFill="1"/>
    <xf numFmtId="10" fontId="20" fillId="5" borderId="7" xfId="0" applyNumberFormat="1" applyFont="1" applyFill="1" applyBorder="1"/>
    <xf numFmtId="10" fontId="21" fillId="5" borderId="0" xfId="0" applyNumberFormat="1" applyFont="1" applyFill="1"/>
    <xf numFmtId="10" fontId="1" fillId="5" borderId="7" xfId="0" applyNumberFormat="1" applyFont="1" applyFill="1" applyBorder="1"/>
    <xf numFmtId="10" fontId="2" fillId="5" borderId="0" xfId="0" applyNumberFormat="1" applyFont="1" applyFill="1"/>
    <xf numFmtId="10" fontId="1" fillId="5" borderId="0" xfId="0" applyNumberFormat="1" applyFont="1" applyFill="1"/>
    <xf numFmtId="10" fontId="21" fillId="4" borderId="7" xfId="0" applyNumberFormat="1" applyFont="1" applyFill="1" applyBorder="1"/>
    <xf numFmtId="0" fontId="23" fillId="2" borderId="3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/>
    </xf>
    <xf numFmtId="170" fontId="2" fillId="0" borderId="0" xfId="1" applyNumberFormat="1" applyFont="1" applyAlignment="1">
      <alignment horizontal="right"/>
    </xf>
    <xf numFmtId="170" fontId="1" fillId="0" borderId="0" xfId="1" applyNumberFormat="1" applyFont="1" applyAlignment="1">
      <alignment horizontal="right"/>
    </xf>
    <xf numFmtId="170" fontId="6" fillId="2" borderId="1" xfId="1" applyNumberFormat="1" applyFont="1" applyFill="1" applyBorder="1" applyAlignment="1">
      <alignment horizontal="center"/>
    </xf>
    <xf numFmtId="170" fontId="0" fillId="0" borderId="0" xfId="1" applyNumberFormat="1" applyFont="1"/>
    <xf numFmtId="44" fontId="24" fillId="0" borderId="0" xfId="1" applyFont="1"/>
    <xf numFmtId="0" fontId="24" fillId="0" borderId="0" xfId="0" applyFont="1"/>
    <xf numFmtId="9" fontId="24" fillId="5" borderId="0" xfId="2" applyFont="1" applyFill="1"/>
    <xf numFmtId="0" fontId="7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4" xfId="0" applyFont="1" applyBorder="1" applyAlignment="1">
      <alignment horizontal="center"/>
    </xf>
    <xf numFmtId="0" fontId="4" fillId="0" borderId="4" xfId="0" applyFont="1" applyBorder="1"/>
    <xf numFmtId="0" fontId="14" fillId="2" borderId="12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1" fillId="2" borderId="12" xfId="0" applyFont="1" applyFill="1" applyBorder="1" applyAlignment="1">
      <alignment horizontal="center"/>
    </xf>
    <xf numFmtId="10" fontId="2" fillId="6" borderId="8" xfId="0" applyNumberFormat="1" applyFont="1" applyFill="1" applyBorder="1" applyAlignment="1">
      <alignment horizontal="center" vertical="center" wrapText="1"/>
    </xf>
    <xf numFmtId="10" fontId="2" fillId="6" borderId="9" xfId="0" applyNumberFormat="1" applyFont="1" applyFill="1" applyBorder="1" applyAlignment="1">
      <alignment horizontal="center" vertical="center" wrapText="1"/>
    </xf>
    <xf numFmtId="10" fontId="21" fillId="6" borderId="9" xfId="0" applyNumberFormat="1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5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350CD7-5C74-41F3-8960-442B23540208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7e0a772e-ac66-449d-97c4-7c01dbd244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J20" sqref="J20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3" width="16.85546875" customWidth="1"/>
    <col min="4" max="4" width="17.42578125" bestFit="1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83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01" t="s">
        <v>0</v>
      </c>
      <c r="B2" s="102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01" t="s">
        <v>1</v>
      </c>
      <c r="B3" s="102"/>
      <c r="C3" s="5">
        <v>94500000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01" t="s">
        <v>2</v>
      </c>
      <c r="B4" s="102"/>
      <c r="C4" s="5">
        <v>15000000</v>
      </c>
      <c r="D4" s="55">
        <f>C4/C3</f>
        <v>0.15873015873015872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95" t="s">
        <v>30</v>
      </c>
      <c r="G5" s="96"/>
      <c r="H5" s="95" t="s">
        <v>31</v>
      </c>
      <c r="I5" s="96"/>
      <c r="J5" s="95" t="s">
        <v>32</v>
      </c>
      <c r="K5" s="96"/>
      <c r="L5" s="95" t="s">
        <v>33</v>
      </c>
      <c r="M5" s="96"/>
      <c r="N5" s="95" t="s">
        <v>34</v>
      </c>
      <c r="O5" s="96"/>
      <c r="P5" s="95" t="s">
        <v>35</v>
      </c>
      <c r="Q5" s="96"/>
      <c r="R5" s="95" t="s">
        <v>36</v>
      </c>
      <c r="S5" s="96"/>
      <c r="T5" s="95" t="s">
        <v>37</v>
      </c>
      <c r="U5" s="96"/>
      <c r="V5" s="95" t="s">
        <v>38</v>
      </c>
      <c r="W5" s="96"/>
      <c r="X5" s="95" t="s">
        <v>39</v>
      </c>
      <c r="Y5" s="96"/>
      <c r="Z5" s="95" t="s">
        <v>40</v>
      </c>
      <c r="AA5" s="96"/>
      <c r="AB5" s="95" t="s">
        <v>29</v>
      </c>
      <c r="AC5" s="96"/>
      <c r="AD5" s="95" t="s">
        <v>30</v>
      </c>
      <c r="AE5" s="96"/>
      <c r="AF5" s="95" t="s">
        <v>31</v>
      </c>
      <c r="AG5" s="9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41</v>
      </c>
      <c r="E6" s="2" t="s">
        <v>6</v>
      </c>
      <c r="F6" s="97" t="s">
        <v>7</v>
      </c>
      <c r="G6" s="98"/>
      <c r="H6" s="97" t="s">
        <v>8</v>
      </c>
      <c r="I6" s="98"/>
      <c r="J6" s="97" t="s">
        <v>9</v>
      </c>
      <c r="K6" s="98"/>
      <c r="L6" s="97" t="s">
        <v>10</v>
      </c>
      <c r="M6" s="98"/>
      <c r="N6" s="97" t="s">
        <v>11</v>
      </c>
      <c r="O6" s="98"/>
      <c r="P6" s="97" t="s">
        <v>12</v>
      </c>
      <c r="Q6" s="98"/>
      <c r="R6" s="97" t="s">
        <v>13</v>
      </c>
      <c r="S6" s="98"/>
      <c r="T6" s="97" t="s">
        <v>14</v>
      </c>
      <c r="U6" s="98"/>
      <c r="V6" s="97" t="s">
        <v>15</v>
      </c>
      <c r="W6" s="98"/>
      <c r="X6" s="97" t="s">
        <v>16</v>
      </c>
      <c r="Y6" s="98"/>
      <c r="Z6" s="97" t="s">
        <v>17</v>
      </c>
      <c r="AA6" s="98"/>
      <c r="AB6" s="97" t="s">
        <v>18</v>
      </c>
      <c r="AC6" s="98"/>
      <c r="AD6" s="97" t="s">
        <v>19</v>
      </c>
      <c r="AE6" s="98"/>
      <c r="AF6" s="97" t="s">
        <v>20</v>
      </c>
      <c r="AG6" s="98"/>
    </row>
    <row r="7" spans="1:33" ht="16.5" thickBot="1" x14ac:dyDescent="0.3">
      <c r="A7" s="7">
        <v>1</v>
      </c>
      <c r="B7" s="7" t="s">
        <v>43</v>
      </c>
      <c r="C7" s="8">
        <f>SUM(C8:C13)</f>
        <v>7.0000000000000007E-2</v>
      </c>
      <c r="D7" s="56">
        <f>C7*C3</f>
        <v>6615000.0000000009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21</v>
      </c>
      <c r="AA7" s="10" t="s">
        <v>22</v>
      </c>
      <c r="AB7" s="10" t="s">
        <v>21</v>
      </c>
      <c r="AC7" s="10" t="s">
        <v>22</v>
      </c>
      <c r="AD7" s="10" t="s">
        <v>21</v>
      </c>
      <c r="AE7" s="10" t="s">
        <v>22</v>
      </c>
      <c r="AF7" s="10" t="s">
        <v>21</v>
      </c>
      <c r="AG7" s="10" t="s">
        <v>22</v>
      </c>
    </row>
    <row r="8" spans="1:33" x14ac:dyDescent="0.25">
      <c r="A8" s="11">
        <v>1</v>
      </c>
      <c r="B8" s="11" t="s">
        <v>47</v>
      </c>
      <c r="C8" s="12">
        <v>0.01</v>
      </c>
      <c r="D8" s="85">
        <f>C3*C8-D4</f>
        <v>944999.8412698413</v>
      </c>
      <c r="E8" s="84">
        <f>SUM(F8:AG8)</f>
        <v>0.01</v>
      </c>
      <c r="F8" s="14"/>
      <c r="G8" s="15"/>
      <c r="H8" s="72">
        <v>0.01</v>
      </c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48</v>
      </c>
      <c r="C9" s="12">
        <v>0.01</v>
      </c>
      <c r="D9" s="85">
        <f>C3*C9-D4</f>
        <v>944999.8412698413</v>
      </c>
      <c r="E9" s="84">
        <f t="shared" ref="E9:E13" si="0">SUM(F9:AG9)</f>
        <v>0.01</v>
      </c>
      <c r="F9" s="20"/>
      <c r="G9" s="76">
        <v>5.0000000000000001E-3</v>
      </c>
      <c r="H9" s="73">
        <v>5.0000000000000001E-3</v>
      </c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49</v>
      </c>
      <c r="C10" s="12">
        <v>0.01</v>
      </c>
      <c r="D10" s="85">
        <f>C3*C10-D4</f>
        <v>944999.8412698413</v>
      </c>
      <c r="E10" s="84">
        <f t="shared" si="0"/>
        <v>0.01</v>
      </c>
      <c r="F10" s="20"/>
      <c r="G10" s="15"/>
      <c r="H10" s="73">
        <v>0.01</v>
      </c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50</v>
      </c>
      <c r="C11" s="12">
        <v>0.01</v>
      </c>
      <c r="D11" s="85">
        <f>C3*C11-D4</f>
        <v>944999.8412698413</v>
      </c>
      <c r="E11" s="84">
        <f t="shared" si="0"/>
        <v>0.01</v>
      </c>
      <c r="F11" s="20"/>
      <c r="G11" s="15"/>
      <c r="H11" s="73">
        <v>0.01</v>
      </c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51</v>
      </c>
      <c r="C12" s="12">
        <v>0.01</v>
      </c>
      <c r="D12" s="85">
        <f>C3*C12-D4</f>
        <v>944999.8412698413</v>
      </c>
      <c r="E12" s="84">
        <f t="shared" si="0"/>
        <v>0.01</v>
      </c>
      <c r="F12" s="20"/>
      <c r="G12" s="15"/>
      <c r="H12" s="73">
        <v>0.01</v>
      </c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A13" s="63">
        <v>7</v>
      </c>
      <c r="B13" s="63" t="s">
        <v>59</v>
      </c>
      <c r="C13" s="64">
        <v>0.02</v>
      </c>
      <c r="D13" s="85">
        <f>C3*C13-D4</f>
        <v>1889999.8412698412</v>
      </c>
      <c r="E13" s="84">
        <f t="shared" si="0"/>
        <v>0.02</v>
      </c>
      <c r="F13" s="21"/>
      <c r="G13" s="66"/>
      <c r="H13" s="75">
        <v>0.02</v>
      </c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x14ac:dyDescent="0.25">
      <c r="C14" s="22"/>
      <c r="D14" s="86"/>
      <c r="E14" s="60"/>
      <c r="F14" s="61"/>
      <c r="G14" s="23"/>
      <c r="H14" s="61"/>
      <c r="I14" s="61"/>
      <c r="J14" s="61"/>
      <c r="K14" s="17"/>
      <c r="L14" s="61"/>
      <c r="M14" s="17"/>
      <c r="N14" s="61"/>
      <c r="O14" s="17"/>
      <c r="P14" s="61"/>
      <c r="Q14" s="17"/>
      <c r="R14" s="61"/>
      <c r="S14" s="17"/>
      <c r="T14" s="61"/>
      <c r="U14" s="17"/>
      <c r="V14" s="61"/>
      <c r="W14" s="17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3" ht="15.75" x14ac:dyDescent="0.25">
      <c r="A15" s="7">
        <v>2</v>
      </c>
      <c r="B15" s="7" t="s">
        <v>44</v>
      </c>
      <c r="C15" s="8">
        <f>SUM(C16:C20)</f>
        <v>6.0000000000000005E-2</v>
      </c>
      <c r="D15" s="87">
        <f>C15*C3</f>
        <v>5670000</v>
      </c>
      <c r="E15" s="24"/>
      <c r="F15" s="25"/>
      <c r="G15" s="26"/>
      <c r="H15" s="25"/>
      <c r="I15" s="25"/>
      <c r="J15" s="25"/>
      <c r="K15" s="27"/>
      <c r="L15" s="25"/>
      <c r="M15" s="27"/>
      <c r="N15" s="25"/>
      <c r="O15" s="27"/>
      <c r="P15" s="25"/>
      <c r="Q15" s="27"/>
      <c r="R15" s="25"/>
      <c r="S15" s="27"/>
      <c r="T15" s="25"/>
      <c r="U15" s="27"/>
      <c r="V15" s="25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x14ac:dyDescent="0.25">
      <c r="A16" s="11">
        <v>1</v>
      </c>
      <c r="B16" s="11" t="s">
        <v>47</v>
      </c>
      <c r="C16" s="12">
        <v>0.02</v>
      </c>
      <c r="D16" s="85">
        <f>C3*C16-D4</f>
        <v>1889999.8412698412</v>
      </c>
      <c r="E16" s="84">
        <f t="shared" ref="E16:E20" si="1">SUM(F16:AG16)</f>
        <v>0.01</v>
      </c>
      <c r="F16" s="77">
        <v>5.0000000000000001E-3</v>
      </c>
      <c r="G16" s="76">
        <v>2.5000000000000001E-3</v>
      </c>
      <c r="H16" s="73">
        <v>2.5000000000000001E-3</v>
      </c>
      <c r="I16" s="21"/>
      <c r="J16" s="21"/>
      <c r="K16" s="15"/>
      <c r="L16" s="21"/>
      <c r="M16" s="17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2</v>
      </c>
      <c r="B17" s="11" t="s">
        <v>48</v>
      </c>
      <c r="C17" s="12">
        <v>0.01</v>
      </c>
      <c r="D17" s="85">
        <f>C3*C17-D4</f>
        <v>944999.8412698413</v>
      </c>
      <c r="E17" s="84">
        <f t="shared" si="1"/>
        <v>0.01</v>
      </c>
      <c r="F17" s="79">
        <v>5.0000000000000001E-3</v>
      </c>
      <c r="G17" s="80">
        <v>5.0000000000000001E-3</v>
      </c>
      <c r="H17" s="21"/>
      <c r="I17" s="20"/>
      <c r="J17" s="21"/>
      <c r="K17" s="17"/>
      <c r="L17" s="21"/>
      <c r="M17" s="15"/>
      <c r="N17" s="21"/>
      <c r="O17" s="17"/>
      <c r="P17" s="21"/>
      <c r="Q17" s="17"/>
      <c r="R17" s="21"/>
      <c r="S17" s="17"/>
      <c r="T17" s="21"/>
      <c r="U17" s="17"/>
      <c r="V17" s="21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3</v>
      </c>
      <c r="B18" s="11" t="s">
        <v>49</v>
      </c>
      <c r="C18" s="12">
        <v>0.01</v>
      </c>
      <c r="D18" s="85">
        <f>C3*C18-D4</f>
        <v>944999.8412698413</v>
      </c>
      <c r="E18" s="84">
        <f t="shared" si="1"/>
        <v>0.01</v>
      </c>
      <c r="F18" s="79">
        <v>5.0000000000000001E-3</v>
      </c>
      <c r="G18" s="78">
        <v>5.0000000000000001E-3</v>
      </c>
      <c r="H18" s="21"/>
      <c r="I18" s="65" t="s">
        <v>61</v>
      </c>
      <c r="J18" s="20"/>
      <c r="K18" s="17"/>
      <c r="L18" s="21"/>
      <c r="M18" s="17"/>
      <c r="N18" s="21"/>
      <c r="O18" s="17"/>
      <c r="P18" s="20"/>
      <c r="Q18" s="17"/>
      <c r="R18" s="20"/>
      <c r="S18" s="17"/>
      <c r="T18" s="20"/>
      <c r="U18" s="17"/>
      <c r="V18" s="20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4</v>
      </c>
      <c r="B19" s="11" t="s">
        <v>50</v>
      </c>
      <c r="C19" s="12">
        <v>0.01</v>
      </c>
      <c r="D19" s="85">
        <f>C3*C19-D4</f>
        <v>944999.8412698413</v>
      </c>
      <c r="E19" s="84">
        <f t="shared" si="1"/>
        <v>0.01</v>
      </c>
      <c r="F19" s="79">
        <v>5.0000000000000001E-3</v>
      </c>
      <c r="G19" s="78">
        <v>5.0000000000000001E-3</v>
      </c>
      <c r="H19" s="21"/>
      <c r="I19" s="21"/>
      <c r="J19" s="21"/>
      <c r="K19" s="17"/>
      <c r="L19" s="21"/>
      <c r="M19" s="15"/>
      <c r="N19" s="21"/>
      <c r="O19" s="17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>
        <v>5</v>
      </c>
      <c r="B20" s="11" t="s">
        <v>51</v>
      </c>
      <c r="C20" s="12">
        <v>0.01</v>
      </c>
      <c r="D20" s="85">
        <f>C3*C20-D4</f>
        <v>944999.8412698413</v>
      </c>
      <c r="E20" s="84">
        <f t="shared" si="1"/>
        <v>0.01</v>
      </c>
      <c r="F20" s="79">
        <v>5.0000000000000001E-3</v>
      </c>
      <c r="G20" s="78">
        <v>5.0000000000000001E-3</v>
      </c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customHeight="1" x14ac:dyDescent="0.25">
      <c r="C21" s="22"/>
      <c r="D21" s="86"/>
      <c r="E21" s="60"/>
      <c r="F21" s="61"/>
      <c r="G21" s="17"/>
      <c r="H21" s="61"/>
      <c r="I21" s="61"/>
      <c r="J21" s="61"/>
      <c r="K21" s="17"/>
      <c r="L21" s="61"/>
      <c r="M21" s="17"/>
      <c r="N21" s="61"/>
      <c r="O21" s="17"/>
      <c r="P21" s="61"/>
      <c r="Q21" s="17"/>
      <c r="R21" s="61"/>
      <c r="S21" s="17"/>
      <c r="T21" s="61"/>
      <c r="U21" s="17"/>
      <c r="V21" s="61"/>
      <c r="W21" s="17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1:33" ht="15.75" customHeight="1" x14ac:dyDescent="0.25">
      <c r="A22" s="7">
        <v>3</v>
      </c>
      <c r="B22" s="7" t="s">
        <v>45</v>
      </c>
      <c r="C22" s="8">
        <f>SUM(C23:C28)</f>
        <v>0.13</v>
      </c>
      <c r="D22" s="87">
        <f>C22*C3</f>
        <v>12285000</v>
      </c>
      <c r="E22" s="24"/>
      <c r="F22" s="25"/>
      <c r="G22" s="26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47</v>
      </c>
      <c r="C23" s="12">
        <v>0.02</v>
      </c>
      <c r="D23" s="85"/>
      <c r="E23" s="84">
        <f t="shared" ref="E23:E28" si="2">SUM(F23:AG23)</f>
        <v>0.02</v>
      </c>
      <c r="F23" s="77">
        <v>0.01</v>
      </c>
      <c r="G23" s="76">
        <v>2.5000000000000001E-3</v>
      </c>
      <c r="H23" s="73">
        <v>7.4999999999999997E-3</v>
      </c>
      <c r="I23" s="21"/>
      <c r="J23" s="21"/>
      <c r="K23" s="15"/>
      <c r="L23" s="21"/>
      <c r="M23" s="17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ht="15.75" customHeight="1" x14ac:dyDescent="0.25">
      <c r="A24" s="11">
        <v>2</v>
      </c>
      <c r="B24" s="11" t="s">
        <v>48</v>
      </c>
      <c r="C24" s="12">
        <v>0.02</v>
      </c>
      <c r="D24" s="85"/>
      <c r="E24" s="84">
        <f t="shared" si="2"/>
        <v>0.02</v>
      </c>
      <c r="F24" s="79">
        <v>0.01</v>
      </c>
      <c r="G24" s="76">
        <v>2.5000000000000001E-3</v>
      </c>
      <c r="H24" s="75">
        <v>7.4999999999999997E-3</v>
      </c>
      <c r="I24" s="20"/>
      <c r="J24" s="21"/>
      <c r="K24" s="17"/>
      <c r="L24" s="21"/>
      <c r="M24" s="15"/>
      <c r="N24" s="21"/>
      <c r="O24" s="17"/>
      <c r="P24" s="21"/>
      <c r="Q24" s="17"/>
      <c r="R24" s="21"/>
      <c r="S24" s="17"/>
      <c r="T24" s="21"/>
      <c r="U24" s="17"/>
      <c r="V24" s="21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15.75" customHeight="1" x14ac:dyDescent="0.25">
      <c r="A25" s="11">
        <v>3</v>
      </c>
      <c r="B25" s="11" t="s">
        <v>49</v>
      </c>
      <c r="C25" s="12">
        <v>0.02</v>
      </c>
      <c r="D25" s="85"/>
      <c r="E25" s="84">
        <f t="shared" si="2"/>
        <v>0.02</v>
      </c>
      <c r="F25" s="79">
        <v>0.01</v>
      </c>
      <c r="G25" s="78">
        <v>0.01</v>
      </c>
      <c r="H25" s="21"/>
      <c r="I25" s="20"/>
      <c r="J25" s="20"/>
      <c r="K25" s="17"/>
      <c r="L25" s="21"/>
      <c r="M25" s="17"/>
      <c r="N25" s="21"/>
      <c r="O25" s="17"/>
      <c r="P25" s="20"/>
      <c r="Q25" s="17"/>
      <c r="R25" s="20"/>
      <c r="S25" s="17"/>
      <c r="T25" s="20"/>
      <c r="U25" s="17"/>
      <c r="V25" s="20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5.75" customHeight="1" x14ac:dyDescent="0.25">
      <c r="A26" s="11">
        <v>4</v>
      </c>
      <c r="B26" s="11" t="s">
        <v>50</v>
      </c>
      <c r="C26" s="12">
        <v>0.02</v>
      </c>
      <c r="D26" s="85"/>
      <c r="E26" s="84">
        <f t="shared" si="2"/>
        <v>0.02</v>
      </c>
      <c r="F26" s="79">
        <v>0.01</v>
      </c>
      <c r="G26" s="78">
        <v>0.01</v>
      </c>
      <c r="H26" s="21"/>
      <c r="I26" s="21"/>
      <c r="J26" s="21"/>
      <c r="K26" s="17"/>
      <c r="L26" s="21"/>
      <c r="M26" s="15"/>
      <c r="N26" s="21"/>
      <c r="O26" s="17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>
        <v>5</v>
      </c>
      <c r="B27" s="11" t="s">
        <v>51</v>
      </c>
      <c r="C27" s="12">
        <v>0.02</v>
      </c>
      <c r="D27" s="85"/>
      <c r="E27" s="84">
        <f t="shared" si="2"/>
        <v>0.02</v>
      </c>
      <c r="F27" s="79">
        <v>0.01</v>
      </c>
      <c r="G27" s="78">
        <v>0.01</v>
      </c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11">
        <v>6</v>
      </c>
      <c r="B28" s="63" t="s">
        <v>60</v>
      </c>
      <c r="C28" s="12">
        <v>0.03</v>
      </c>
      <c r="D28" s="85"/>
      <c r="E28" s="84">
        <f t="shared" si="2"/>
        <v>3.0000000000000002E-2</v>
      </c>
      <c r="F28" s="79">
        <v>1.4999999999999999E-2</v>
      </c>
      <c r="G28" s="78">
        <v>0.01</v>
      </c>
      <c r="H28" s="75">
        <v>5.0000000000000001E-3</v>
      </c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17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ht="15.75" customHeight="1" x14ac:dyDescent="0.25">
      <c r="C29" s="22"/>
      <c r="D29" s="88"/>
      <c r="E29" s="13"/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7">
        <v>4</v>
      </c>
      <c r="B30" s="7" t="s">
        <v>42</v>
      </c>
      <c r="C30" s="8">
        <f>SUM(C31:C35)</f>
        <v>0.3</v>
      </c>
      <c r="D30" s="87">
        <f>C30*C3</f>
        <v>28350000</v>
      </c>
      <c r="E30" s="24"/>
      <c r="F30" s="25"/>
      <c r="G30" s="27"/>
      <c r="H30" s="25"/>
      <c r="I30" s="25"/>
      <c r="J30" s="25"/>
      <c r="K30" s="27"/>
      <c r="L30" s="25"/>
      <c r="M30" s="27"/>
      <c r="N30" s="25"/>
      <c r="O30" s="27"/>
      <c r="P30" s="25"/>
      <c r="Q30" s="27"/>
      <c r="R30" s="25"/>
      <c r="S30" s="27"/>
      <c r="T30" s="25"/>
      <c r="U30" s="27"/>
      <c r="V30" s="25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5.75" customHeight="1" x14ac:dyDescent="0.25">
      <c r="A31" s="11">
        <v>1</v>
      </c>
      <c r="B31" s="11" t="s">
        <v>47</v>
      </c>
      <c r="C31" s="12">
        <v>0.06</v>
      </c>
      <c r="D31" s="85"/>
      <c r="E31" s="84">
        <f t="shared" ref="E31:E35" si="3">SUM(F31:AG31)</f>
        <v>0.06</v>
      </c>
      <c r="F31" s="21"/>
      <c r="G31" s="17"/>
      <c r="H31" s="21"/>
      <c r="I31" s="21"/>
      <c r="J31" s="21"/>
      <c r="K31" s="17"/>
      <c r="L31" s="21"/>
      <c r="M31" s="15"/>
      <c r="N31" s="75">
        <v>0.06</v>
      </c>
      <c r="O31" s="17"/>
      <c r="P31" s="65"/>
      <c r="Q31" s="67"/>
      <c r="R31" s="21"/>
      <c r="S31" s="17"/>
      <c r="T31" s="21"/>
      <c r="U31" s="15"/>
      <c r="V31" s="21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2</v>
      </c>
      <c r="B32" s="11" t="s">
        <v>48</v>
      </c>
      <c r="C32" s="12">
        <v>0.06</v>
      </c>
      <c r="D32" s="85"/>
      <c r="E32" s="84">
        <f t="shared" si="3"/>
        <v>0.06</v>
      </c>
      <c r="F32" s="21"/>
      <c r="G32" s="17"/>
      <c r="H32" s="21"/>
      <c r="I32" s="21"/>
      <c r="J32" s="21"/>
      <c r="K32" s="17"/>
      <c r="L32" s="21"/>
      <c r="M32" s="17"/>
      <c r="N32" s="75">
        <v>0.06</v>
      </c>
      <c r="O32" s="68"/>
      <c r="P32" s="20"/>
      <c r="Q32" s="67"/>
      <c r="R32" s="20"/>
      <c r="S32" s="15"/>
      <c r="T32" s="20"/>
      <c r="U32" s="15"/>
      <c r="V32" s="20"/>
      <c r="W32" s="17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3</v>
      </c>
      <c r="B33" s="11" t="s">
        <v>49</v>
      </c>
      <c r="C33" s="12">
        <v>0.06</v>
      </c>
      <c r="D33" s="85"/>
      <c r="E33" s="84">
        <f t="shared" si="3"/>
        <v>0.06</v>
      </c>
      <c r="F33" s="21"/>
      <c r="G33" s="17"/>
      <c r="H33" s="21"/>
      <c r="I33" s="21"/>
      <c r="J33" s="21"/>
      <c r="K33" s="17"/>
      <c r="L33" s="21"/>
      <c r="M33" s="17"/>
      <c r="N33" s="75">
        <v>0.06</v>
      </c>
      <c r="O33" s="68"/>
      <c r="P33" s="20"/>
      <c r="Q33" s="67"/>
      <c r="R33" s="20"/>
      <c r="S33" s="17"/>
      <c r="T33" s="20"/>
      <c r="U33" s="15"/>
      <c r="V33" s="20"/>
      <c r="W33" s="17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ht="15.75" customHeight="1" x14ac:dyDescent="0.25">
      <c r="A34" s="11">
        <v>4</v>
      </c>
      <c r="B34" s="11" t="s">
        <v>50</v>
      </c>
      <c r="C34" s="12">
        <v>0.06</v>
      </c>
      <c r="D34" s="85"/>
      <c r="E34" s="84">
        <f t="shared" si="3"/>
        <v>0.06</v>
      </c>
      <c r="F34" s="21"/>
      <c r="G34" s="17"/>
      <c r="H34" s="21"/>
      <c r="I34" s="21"/>
      <c r="J34" s="21"/>
      <c r="K34" s="17"/>
      <c r="L34" s="21"/>
      <c r="M34" s="17"/>
      <c r="N34" s="75">
        <v>0.06</v>
      </c>
      <c r="O34" s="17"/>
      <c r="P34" s="20"/>
      <c r="Q34" s="67"/>
      <c r="R34" s="20"/>
      <c r="S34" s="17"/>
      <c r="T34" s="20"/>
      <c r="U34" s="17"/>
      <c r="V34" s="20"/>
      <c r="W34" s="15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.75" customHeight="1" x14ac:dyDescent="0.25">
      <c r="A35" s="11">
        <v>5</v>
      </c>
      <c r="B35" s="11" t="s">
        <v>51</v>
      </c>
      <c r="C35" s="12">
        <v>0.06</v>
      </c>
      <c r="D35" s="86"/>
      <c r="E35" s="84">
        <f t="shared" si="3"/>
        <v>0.06</v>
      </c>
      <c r="F35" s="21"/>
      <c r="G35" s="17"/>
      <c r="H35" s="21"/>
      <c r="I35" s="21"/>
      <c r="J35" s="21"/>
      <c r="K35" s="17"/>
      <c r="L35" s="21"/>
      <c r="M35" s="17"/>
      <c r="N35" s="75">
        <v>0.06</v>
      </c>
      <c r="O35" s="68"/>
      <c r="P35" s="65"/>
      <c r="Q35" s="67"/>
      <c r="R35" s="21"/>
      <c r="S35" s="17"/>
      <c r="T35" s="21"/>
      <c r="U35" s="17"/>
      <c r="V35" s="20"/>
      <c r="W35" s="15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5.75" customHeight="1" x14ac:dyDescent="0.25">
      <c r="A36" s="31"/>
      <c r="C36" s="12"/>
      <c r="D36" s="88"/>
      <c r="E36" s="13"/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7">
        <v>5</v>
      </c>
      <c r="B37" s="7" t="s">
        <v>46</v>
      </c>
      <c r="C37" s="8">
        <f>SUM(C38:C40)</f>
        <v>0.12000000000000001</v>
      </c>
      <c r="D37" s="87">
        <f>C37*C3</f>
        <v>11340000</v>
      </c>
      <c r="E37" s="24"/>
      <c r="F37" s="25"/>
      <c r="G37" s="27"/>
      <c r="H37" s="25"/>
      <c r="I37" s="25"/>
      <c r="J37" s="25"/>
      <c r="K37" s="27"/>
      <c r="L37" s="25"/>
      <c r="M37" s="27"/>
      <c r="N37" s="25"/>
      <c r="O37" s="27"/>
      <c r="P37" s="25"/>
      <c r="Q37" s="27"/>
      <c r="R37" s="25"/>
      <c r="S37" s="27"/>
      <c r="T37" s="25"/>
      <c r="U37" s="27"/>
      <c r="V37" s="25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15.75" customHeight="1" x14ac:dyDescent="0.25">
      <c r="A38" s="11">
        <v>1</v>
      </c>
      <c r="B38" s="11" t="s">
        <v>52</v>
      </c>
      <c r="C38" s="12">
        <v>0.02</v>
      </c>
      <c r="D38" s="85"/>
      <c r="E38" s="84">
        <f t="shared" ref="E38:E40" si="4">SUM(F38:AG38)</f>
        <v>0.02</v>
      </c>
      <c r="F38" s="21"/>
      <c r="G38" s="78">
        <v>0.02</v>
      </c>
      <c r="H38" s="21"/>
      <c r="I38" s="21"/>
      <c r="J38" s="21"/>
      <c r="K38" s="17"/>
      <c r="L38" s="21"/>
      <c r="M38" s="17"/>
      <c r="N38" s="21"/>
      <c r="O38" s="17"/>
      <c r="P38" s="21"/>
      <c r="Q38" s="15"/>
      <c r="R38" s="21"/>
      <c r="S38" s="17"/>
      <c r="T38" s="21"/>
      <c r="U38" s="17"/>
      <c r="V38" s="21"/>
      <c r="W38" s="30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5.75" customHeight="1" x14ac:dyDescent="0.25">
      <c r="A39" s="11">
        <v>2</v>
      </c>
      <c r="B39" s="11" t="s">
        <v>53</v>
      </c>
      <c r="C39" s="12">
        <v>0.05</v>
      </c>
      <c r="D39" s="85"/>
      <c r="E39" s="84">
        <f t="shared" si="4"/>
        <v>0.05</v>
      </c>
      <c r="F39" s="21"/>
      <c r="G39" s="17"/>
      <c r="H39" s="75">
        <v>0.05</v>
      </c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5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3</v>
      </c>
      <c r="B40" s="11" t="s">
        <v>54</v>
      </c>
      <c r="C40" s="12">
        <v>0.05</v>
      </c>
      <c r="D40" s="85"/>
      <c r="E40" s="84">
        <f t="shared" si="4"/>
        <v>0.05</v>
      </c>
      <c r="F40" s="21"/>
      <c r="G40" s="17"/>
      <c r="H40" s="21"/>
      <c r="I40" s="21"/>
      <c r="J40" s="75">
        <v>0.05</v>
      </c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C41" s="22"/>
      <c r="D41" s="86"/>
      <c r="E41" s="60"/>
      <c r="F41" s="61"/>
      <c r="G41" s="17"/>
      <c r="H41" s="61"/>
      <c r="I41" s="61"/>
      <c r="J41" s="61"/>
      <c r="K41" s="17"/>
      <c r="L41" s="61"/>
      <c r="M41" s="17"/>
      <c r="N41" s="61"/>
      <c r="O41" s="17"/>
      <c r="P41" s="61"/>
      <c r="Q41" s="17"/>
      <c r="R41" s="61"/>
      <c r="S41" s="17"/>
      <c r="T41" s="61"/>
      <c r="U41" s="17"/>
      <c r="V41" s="61"/>
      <c r="W41" s="17"/>
      <c r="X41" s="62"/>
      <c r="Y41" s="62"/>
      <c r="Z41" s="62"/>
      <c r="AA41" s="62"/>
      <c r="AB41" s="62"/>
      <c r="AC41" s="62"/>
      <c r="AD41" s="62"/>
      <c r="AE41" s="62"/>
      <c r="AF41" s="62"/>
      <c r="AG41" s="62"/>
    </row>
    <row r="42" spans="1:33" ht="15.75" customHeight="1" x14ac:dyDescent="0.25">
      <c r="A42" s="7">
        <v>6</v>
      </c>
      <c r="B42" s="7" t="s">
        <v>55</v>
      </c>
      <c r="C42" s="8">
        <f>SUM(C43:C48)</f>
        <v>0.32</v>
      </c>
      <c r="D42" s="87">
        <f>C42*C3</f>
        <v>30240000</v>
      </c>
      <c r="E42" s="24"/>
      <c r="F42" s="25"/>
      <c r="G42" s="27"/>
      <c r="H42" s="25"/>
      <c r="I42" s="25"/>
      <c r="J42" s="25"/>
      <c r="K42" s="27"/>
      <c r="L42" s="25"/>
      <c r="M42" s="27"/>
      <c r="N42" s="25"/>
      <c r="O42" s="27"/>
      <c r="P42" s="25"/>
      <c r="Q42" s="27"/>
      <c r="R42" s="25"/>
      <c r="S42" s="27"/>
      <c r="T42" s="25"/>
      <c r="U42" s="27"/>
      <c r="V42" s="25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5">
      <c r="A43" s="11">
        <v>1</v>
      </c>
      <c r="B43" s="11" t="s">
        <v>56</v>
      </c>
      <c r="C43" s="12">
        <v>0.06</v>
      </c>
      <c r="D43" s="85"/>
      <c r="E43" s="84">
        <f t="shared" ref="E43:E48" si="5">SUM(F43:AG43)</f>
        <v>0.06</v>
      </c>
      <c r="F43" s="21"/>
      <c r="G43" s="17"/>
      <c r="H43" s="21"/>
      <c r="I43" s="82">
        <v>0.06</v>
      </c>
      <c r="J43" s="21"/>
      <c r="K43" s="17"/>
      <c r="L43" s="21"/>
      <c r="M43" s="17"/>
      <c r="N43" s="21"/>
      <c r="O43" s="17"/>
      <c r="P43" s="21"/>
      <c r="Q43" s="15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A44" s="11">
        <v>2</v>
      </c>
      <c r="B44" s="11" t="s">
        <v>57</v>
      </c>
      <c r="C44" s="12">
        <v>0.06</v>
      </c>
      <c r="D44" s="85"/>
      <c r="E44" s="84">
        <f t="shared" si="5"/>
        <v>0.06</v>
      </c>
      <c r="F44" s="21"/>
      <c r="G44" s="17"/>
      <c r="H44" s="21"/>
      <c r="I44" s="82">
        <v>0.06</v>
      </c>
      <c r="J44" s="21"/>
      <c r="K44" s="17"/>
      <c r="L44" s="21"/>
      <c r="M44" s="17"/>
      <c r="N44" s="21"/>
      <c r="O44" s="17"/>
      <c r="P44" s="21"/>
      <c r="Q44" s="17"/>
      <c r="R44" s="21"/>
      <c r="S44" s="15"/>
      <c r="T44" s="21"/>
      <c r="U44" s="17"/>
      <c r="V44" s="21"/>
      <c r="W44" s="30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5.75" customHeight="1" x14ac:dyDescent="0.25">
      <c r="A45" s="11">
        <v>4</v>
      </c>
      <c r="B45" s="11" t="s">
        <v>63</v>
      </c>
      <c r="C45" s="12">
        <v>0.06</v>
      </c>
      <c r="D45" s="85"/>
      <c r="E45" s="84">
        <f t="shared" si="5"/>
        <v>0.06</v>
      </c>
      <c r="F45" s="21"/>
      <c r="G45" s="17"/>
      <c r="H45" s="21"/>
      <c r="I45" s="21"/>
      <c r="J45" s="21"/>
      <c r="K45" s="17"/>
      <c r="L45" s="82">
        <v>0.06</v>
      </c>
      <c r="M45" s="17"/>
      <c r="N45" s="21"/>
      <c r="O45" s="17"/>
      <c r="P45" s="21"/>
      <c r="Q45" s="17"/>
      <c r="R45" s="21"/>
      <c r="S45" s="17"/>
      <c r="T45" s="21"/>
      <c r="U45" s="17"/>
      <c r="V45" s="21"/>
      <c r="W45" s="30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5.75" customHeight="1" x14ac:dyDescent="0.25">
      <c r="A46" s="11">
        <v>5</v>
      </c>
      <c r="B46" s="11" t="s">
        <v>58</v>
      </c>
      <c r="C46" s="12">
        <v>0.03</v>
      </c>
      <c r="D46" s="85"/>
      <c r="E46" s="84">
        <f t="shared" si="5"/>
        <v>0.03</v>
      </c>
      <c r="F46" s="21"/>
      <c r="G46" s="17"/>
      <c r="H46" s="21"/>
      <c r="I46" s="21"/>
      <c r="J46" s="21"/>
      <c r="K46" s="17"/>
      <c r="L46" s="82">
        <v>0.03</v>
      </c>
      <c r="M46" s="17"/>
      <c r="N46" s="21"/>
      <c r="O46" s="17"/>
      <c r="P46" s="21"/>
      <c r="Q46" s="17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63">
        <v>6</v>
      </c>
      <c r="B47" s="63" t="s">
        <v>62</v>
      </c>
      <c r="C47" s="64">
        <v>0.06</v>
      </c>
      <c r="D47" s="86"/>
      <c r="E47" s="84">
        <f t="shared" si="5"/>
        <v>0.06</v>
      </c>
      <c r="F47" s="21"/>
      <c r="G47" s="81">
        <v>0.03</v>
      </c>
      <c r="H47" s="75">
        <v>0.03</v>
      </c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7"/>
      <c r="T47" s="21"/>
      <c r="U47" s="17"/>
      <c r="V47" s="21"/>
      <c r="W47" s="17"/>
      <c r="X47" s="57"/>
      <c r="Y47" s="19"/>
      <c r="Z47" s="57"/>
      <c r="AA47" s="19"/>
      <c r="AB47" s="57"/>
      <c r="AC47" s="19"/>
      <c r="AD47" s="57"/>
      <c r="AE47" s="19"/>
      <c r="AF47" s="57"/>
      <c r="AG47" s="19"/>
    </row>
    <row r="48" spans="1:33" ht="15.75" customHeight="1" x14ac:dyDescent="0.25">
      <c r="A48" s="11">
        <v>7</v>
      </c>
      <c r="B48" s="11" t="s">
        <v>66</v>
      </c>
      <c r="C48" s="12">
        <v>0.05</v>
      </c>
      <c r="D48" s="86"/>
      <c r="E48" s="84">
        <f t="shared" si="5"/>
        <v>0.05</v>
      </c>
      <c r="F48" s="61"/>
      <c r="G48" s="17"/>
      <c r="H48" s="74">
        <v>0.05</v>
      </c>
      <c r="I48" s="61"/>
      <c r="J48" s="61"/>
      <c r="K48" s="17"/>
      <c r="L48" s="61"/>
      <c r="M48" s="17"/>
      <c r="N48" s="61"/>
      <c r="O48" s="17"/>
      <c r="P48" s="61"/>
      <c r="Q48" s="17"/>
      <c r="R48" s="61"/>
      <c r="S48" s="17"/>
      <c r="T48" s="61"/>
      <c r="U48" s="17"/>
      <c r="V48" s="61"/>
      <c r="W48" s="17"/>
      <c r="X48" s="57"/>
      <c r="Y48" s="62"/>
      <c r="Z48" s="57"/>
      <c r="AA48" s="62"/>
      <c r="AB48" s="57"/>
      <c r="AC48" s="62"/>
      <c r="AD48" s="57"/>
      <c r="AE48" s="62"/>
      <c r="AF48" s="57"/>
      <c r="AG48" s="62"/>
    </row>
    <row r="49" spans="1:33" ht="15.75" customHeight="1" thickBot="1" x14ac:dyDescent="0.3">
      <c r="C49" s="22"/>
      <c r="D49" s="86"/>
      <c r="E49" s="60"/>
      <c r="F49" s="61"/>
      <c r="G49" s="17"/>
      <c r="H49" s="61"/>
      <c r="I49" s="61"/>
      <c r="J49" s="61"/>
      <c r="K49" s="17"/>
      <c r="L49" s="61"/>
      <c r="M49" s="17"/>
      <c r="N49" s="61"/>
      <c r="O49" s="17"/>
      <c r="P49" s="61"/>
      <c r="Q49" s="17"/>
      <c r="R49" s="61"/>
      <c r="S49" s="17"/>
      <c r="T49" s="61"/>
      <c r="U49" s="17"/>
      <c r="V49" s="61"/>
      <c r="W49" s="17"/>
      <c r="X49" s="57"/>
      <c r="Y49" s="62"/>
      <c r="Z49" s="57"/>
      <c r="AA49" s="62"/>
      <c r="AB49" s="57"/>
      <c r="AC49" s="62"/>
      <c r="AD49" s="57"/>
      <c r="AE49" s="62"/>
      <c r="AF49" s="57"/>
      <c r="AG49" s="62"/>
    </row>
    <row r="50" spans="1:33" ht="15.75" customHeight="1" thickBot="1" x14ac:dyDescent="0.35">
      <c r="A50" s="32"/>
      <c r="B50" s="33" t="s">
        <v>23</v>
      </c>
      <c r="C50" s="34">
        <f>SUM(C7+C15+C22+C30+C37+C42)</f>
        <v>1</v>
      </c>
      <c r="D50" s="34"/>
      <c r="E50" s="35">
        <f>SUM(F50:AG50)</f>
        <v>0.99</v>
      </c>
      <c r="F50" s="58">
        <f t="shared" ref="F50:AG50" si="6">SUM(F8:F48)</f>
        <v>0.09</v>
      </c>
      <c r="G50" s="58">
        <f t="shared" si="6"/>
        <v>0.1225</v>
      </c>
      <c r="H50" s="58">
        <f t="shared" si="6"/>
        <v>0.21750000000000003</v>
      </c>
      <c r="I50" s="58">
        <f t="shared" si="6"/>
        <v>0.12</v>
      </c>
      <c r="J50" s="58">
        <f t="shared" si="6"/>
        <v>0.05</v>
      </c>
      <c r="K50" s="58">
        <f t="shared" si="6"/>
        <v>0</v>
      </c>
      <c r="L50" s="58">
        <f t="shared" si="6"/>
        <v>0.09</v>
      </c>
      <c r="M50" s="58">
        <f t="shared" si="6"/>
        <v>0</v>
      </c>
      <c r="N50" s="58">
        <f t="shared" si="6"/>
        <v>0.3</v>
      </c>
      <c r="O50" s="58">
        <f t="shared" si="6"/>
        <v>0</v>
      </c>
      <c r="P50" s="58">
        <f t="shared" si="6"/>
        <v>0</v>
      </c>
      <c r="Q50" s="58">
        <f t="shared" si="6"/>
        <v>0</v>
      </c>
      <c r="R50" s="58">
        <f t="shared" si="6"/>
        <v>0</v>
      </c>
      <c r="S50" s="58">
        <f t="shared" si="6"/>
        <v>0</v>
      </c>
      <c r="T50" s="58">
        <f t="shared" si="6"/>
        <v>0</v>
      </c>
      <c r="U50" s="58">
        <f t="shared" si="6"/>
        <v>0</v>
      </c>
      <c r="V50" s="58">
        <f t="shared" si="6"/>
        <v>0</v>
      </c>
      <c r="W50" s="58">
        <f t="shared" si="6"/>
        <v>0</v>
      </c>
      <c r="X50" s="58">
        <f t="shared" si="6"/>
        <v>0</v>
      </c>
      <c r="Y50" s="58">
        <f t="shared" si="6"/>
        <v>0</v>
      </c>
      <c r="Z50" s="58">
        <f t="shared" si="6"/>
        <v>0</v>
      </c>
      <c r="AA50" s="58">
        <f t="shared" si="6"/>
        <v>0</v>
      </c>
      <c r="AB50" s="58">
        <f t="shared" si="6"/>
        <v>0</v>
      </c>
      <c r="AC50" s="58">
        <f t="shared" si="6"/>
        <v>0</v>
      </c>
      <c r="AD50" s="58">
        <f t="shared" si="6"/>
        <v>0</v>
      </c>
      <c r="AE50" s="58">
        <f t="shared" si="6"/>
        <v>0</v>
      </c>
      <c r="AF50" s="58">
        <f t="shared" si="6"/>
        <v>0</v>
      </c>
      <c r="AG50" s="58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92" t="s">
        <v>24</v>
      </c>
      <c r="B52" s="93"/>
      <c r="C52" s="93"/>
      <c r="D52" s="93"/>
      <c r="E52" s="94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customHeight="1" outlineLevel="1" thickBot="1" x14ac:dyDescent="0.3">
      <c r="A54" s="103" t="s">
        <v>25</v>
      </c>
      <c r="B54" s="93"/>
      <c r="C54" s="93"/>
      <c r="D54" s="93"/>
      <c r="E54" s="94"/>
      <c r="F54" s="40">
        <f>C3+(C3*F52)</f>
        <v>94500000</v>
      </c>
      <c r="G54" s="40">
        <f t="shared" ref="G54:AG54" si="7">F54+(F54*G52)</f>
        <v>94500000</v>
      </c>
      <c r="H54" s="40">
        <f t="shared" si="7"/>
        <v>94500000</v>
      </c>
      <c r="I54" s="40">
        <f t="shared" si="7"/>
        <v>94500000</v>
      </c>
      <c r="J54" s="40">
        <f t="shared" si="7"/>
        <v>94500000</v>
      </c>
      <c r="K54" s="40">
        <f t="shared" si="7"/>
        <v>94500000</v>
      </c>
      <c r="L54" s="40">
        <f t="shared" si="7"/>
        <v>94500000</v>
      </c>
      <c r="M54" s="40">
        <f t="shared" si="7"/>
        <v>94500000</v>
      </c>
      <c r="N54" s="40">
        <f t="shared" si="7"/>
        <v>94500000</v>
      </c>
      <c r="O54" s="40">
        <f t="shared" si="7"/>
        <v>94500000</v>
      </c>
      <c r="P54" s="40">
        <f t="shared" si="7"/>
        <v>94500000</v>
      </c>
      <c r="Q54" s="40">
        <f t="shared" si="7"/>
        <v>94500000</v>
      </c>
      <c r="R54" s="40">
        <f t="shared" si="7"/>
        <v>94500000</v>
      </c>
      <c r="S54" s="40">
        <f t="shared" si="7"/>
        <v>94500000</v>
      </c>
      <c r="T54" s="40">
        <f t="shared" si="7"/>
        <v>94500000</v>
      </c>
      <c r="U54" s="40">
        <f t="shared" si="7"/>
        <v>94500000</v>
      </c>
      <c r="V54" s="40">
        <f t="shared" si="7"/>
        <v>94500000</v>
      </c>
      <c r="W54" s="40">
        <f t="shared" si="7"/>
        <v>94500000</v>
      </c>
      <c r="X54" s="40">
        <f t="shared" si="7"/>
        <v>94500000</v>
      </c>
      <c r="Y54" s="40">
        <f t="shared" si="7"/>
        <v>94500000</v>
      </c>
      <c r="Z54" s="40">
        <f t="shared" si="7"/>
        <v>94500000</v>
      </c>
      <c r="AA54" s="40">
        <f t="shared" si="7"/>
        <v>94500000</v>
      </c>
      <c r="AB54" s="40">
        <f t="shared" si="7"/>
        <v>94500000</v>
      </c>
      <c r="AC54" s="40">
        <f t="shared" si="7"/>
        <v>94500000</v>
      </c>
      <c r="AD54" s="40">
        <f t="shared" si="7"/>
        <v>94500000</v>
      </c>
      <c r="AE54" s="40">
        <f t="shared" si="7"/>
        <v>94500000</v>
      </c>
      <c r="AF54" s="40">
        <f t="shared" si="7"/>
        <v>94500000</v>
      </c>
      <c r="AG54" s="40">
        <f t="shared" si="7"/>
        <v>94500000</v>
      </c>
    </row>
    <row r="55" spans="1:33" ht="15.75" customHeight="1" outlineLevel="1" thickBot="1" x14ac:dyDescent="0.3"/>
    <row r="56" spans="1:33" ht="15.75" customHeight="1" outlineLevel="1" thickBot="1" x14ac:dyDescent="0.3">
      <c r="A56" s="100" t="s">
        <v>26</v>
      </c>
      <c r="B56" s="93"/>
      <c r="C56" s="93"/>
      <c r="D56" s="93"/>
      <c r="E56" s="94"/>
      <c r="F56" s="41">
        <f t="shared" ref="F56:AG56" si="8">F50*F54</f>
        <v>8505000</v>
      </c>
      <c r="G56" s="41">
        <f t="shared" si="8"/>
        <v>11576250</v>
      </c>
      <c r="H56" s="41">
        <f t="shared" si="8"/>
        <v>20553750.000000004</v>
      </c>
      <c r="I56" s="41">
        <f t="shared" si="8"/>
        <v>11340000</v>
      </c>
      <c r="J56" s="41">
        <f t="shared" si="8"/>
        <v>4725000</v>
      </c>
      <c r="K56" s="41">
        <f t="shared" si="8"/>
        <v>0</v>
      </c>
      <c r="L56" s="41">
        <f t="shared" si="8"/>
        <v>8505000</v>
      </c>
      <c r="M56" s="41">
        <f t="shared" si="8"/>
        <v>0</v>
      </c>
      <c r="N56" s="41">
        <f t="shared" si="8"/>
        <v>28350000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customHeight="1" outlineLevel="1" thickBot="1" x14ac:dyDescent="0.3"/>
    <row r="58" spans="1:33" ht="15.75" customHeight="1" thickBot="1" x14ac:dyDescent="0.35">
      <c r="A58" s="99" t="s">
        <v>27</v>
      </c>
      <c r="B58" s="93"/>
      <c r="C58" s="93"/>
      <c r="D58" s="93"/>
      <c r="E58" s="94"/>
      <c r="F58" s="42">
        <f>F56-(F56*D4)</f>
        <v>7155000</v>
      </c>
      <c r="G58" s="43">
        <f>G56-(G56*D4)</f>
        <v>9738750</v>
      </c>
      <c r="H58" s="43">
        <f>H56-(H56*D4)</f>
        <v>17291250.000000004</v>
      </c>
      <c r="I58" s="43">
        <f>I56-(I56*D4)</f>
        <v>9540000</v>
      </c>
      <c r="J58" s="43">
        <f>J56-(J56*D4)</f>
        <v>3975000</v>
      </c>
      <c r="K58" s="43">
        <f>K56-(K56*D4)</f>
        <v>0</v>
      </c>
      <c r="L58" s="43">
        <f>L56-(L56*D4)</f>
        <v>7155000</v>
      </c>
      <c r="M58" s="43">
        <f>M56-(M56*D4)</f>
        <v>0</v>
      </c>
      <c r="N58" s="43">
        <f>N56-(N56*D4)</f>
        <v>23850000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92" t="s">
        <v>28</v>
      </c>
      <c r="B60" s="93"/>
      <c r="C60" s="93"/>
      <c r="D60" s="93"/>
      <c r="E60" s="94"/>
      <c r="F60" s="45">
        <f>F54-F58-C4</f>
        <v>72345000</v>
      </c>
      <c r="G60" s="45">
        <f t="shared" ref="G60:AG60" si="9">(F60+(F60*G52))-G58</f>
        <v>62606250</v>
      </c>
      <c r="H60" s="46">
        <f t="shared" si="9"/>
        <v>45315000</v>
      </c>
      <c r="I60" s="46">
        <f t="shared" si="9"/>
        <v>35775000</v>
      </c>
      <c r="J60" s="45">
        <f t="shared" si="9"/>
        <v>31800000</v>
      </c>
      <c r="K60" s="45">
        <f t="shared" si="9"/>
        <v>31800000</v>
      </c>
      <c r="L60" s="45">
        <f t="shared" si="9"/>
        <v>24645000</v>
      </c>
      <c r="M60" s="45">
        <f t="shared" si="9"/>
        <v>24645000</v>
      </c>
      <c r="N60" s="45">
        <f t="shared" si="9"/>
        <v>795000</v>
      </c>
      <c r="O60" s="45">
        <f t="shared" si="9"/>
        <v>795000</v>
      </c>
      <c r="P60" s="45">
        <f t="shared" si="9"/>
        <v>795000</v>
      </c>
      <c r="Q60" s="45">
        <f t="shared" si="9"/>
        <v>795000</v>
      </c>
      <c r="R60" s="45">
        <f t="shared" si="9"/>
        <v>795000</v>
      </c>
      <c r="S60" s="45">
        <f t="shared" si="9"/>
        <v>795000</v>
      </c>
      <c r="T60" s="45">
        <f t="shared" si="9"/>
        <v>795000</v>
      </c>
      <c r="U60" s="45">
        <f t="shared" si="9"/>
        <v>795000</v>
      </c>
      <c r="V60" s="45">
        <f t="shared" si="9"/>
        <v>795000</v>
      </c>
      <c r="W60" s="45">
        <f t="shared" si="9"/>
        <v>795000</v>
      </c>
      <c r="X60" s="45">
        <f t="shared" si="9"/>
        <v>795000</v>
      </c>
      <c r="Y60" s="45">
        <f t="shared" si="9"/>
        <v>795000</v>
      </c>
      <c r="Z60" s="45">
        <f t="shared" si="9"/>
        <v>795000</v>
      </c>
      <c r="AA60" s="45">
        <f t="shared" si="9"/>
        <v>795000</v>
      </c>
      <c r="AB60" s="45">
        <f t="shared" si="9"/>
        <v>795000</v>
      </c>
      <c r="AC60" s="45">
        <f t="shared" si="9"/>
        <v>795000</v>
      </c>
      <c r="AD60" s="45">
        <f t="shared" si="9"/>
        <v>795000</v>
      </c>
      <c r="AE60" s="45">
        <f t="shared" si="9"/>
        <v>795000</v>
      </c>
      <c r="AF60" s="45">
        <f t="shared" si="9"/>
        <v>795000</v>
      </c>
      <c r="AG60" s="45">
        <f t="shared" si="9"/>
        <v>795000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>
        <v>7264588</v>
      </c>
      <c r="G62" s="71">
        <f>G58+F58</f>
        <v>16893750</v>
      </c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G1002"/>
  <sheetViews>
    <sheetView topLeftCell="A11" zoomScale="85" zoomScaleNormal="85" workbookViewId="0">
      <pane xSplit="3" topLeftCell="D1" activePane="topRight" state="frozen"/>
      <selection pane="topRight" activeCell="J19" sqref="J1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3" width="16.85546875" customWidth="1"/>
    <col min="4" max="4" width="18.140625" bestFit="1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83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01" t="s">
        <v>0</v>
      </c>
      <c r="B2" s="102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01" t="s">
        <v>1</v>
      </c>
      <c r="B3" s="102"/>
      <c r="C3" s="5">
        <v>94500000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01" t="s">
        <v>2</v>
      </c>
      <c r="B4" s="102"/>
      <c r="C4" s="5">
        <v>15000000</v>
      </c>
      <c r="D4" s="55">
        <f>C4/C3</f>
        <v>0.15873015873015872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95" t="s">
        <v>30</v>
      </c>
      <c r="G5" s="96"/>
      <c r="H5" s="95" t="s">
        <v>31</v>
      </c>
      <c r="I5" s="96"/>
      <c r="J5" s="95" t="s">
        <v>32</v>
      </c>
      <c r="K5" s="96"/>
      <c r="L5" s="95" t="s">
        <v>33</v>
      </c>
      <c r="M5" s="96"/>
      <c r="N5" s="95" t="s">
        <v>34</v>
      </c>
      <c r="O5" s="96"/>
      <c r="P5" s="95" t="s">
        <v>35</v>
      </c>
      <c r="Q5" s="96"/>
      <c r="R5" s="95" t="s">
        <v>36</v>
      </c>
      <c r="S5" s="96"/>
      <c r="T5" s="95" t="s">
        <v>37</v>
      </c>
      <c r="U5" s="96"/>
      <c r="V5" s="95" t="s">
        <v>38</v>
      </c>
      <c r="W5" s="96"/>
      <c r="X5" s="95" t="s">
        <v>39</v>
      </c>
      <c r="Y5" s="96"/>
      <c r="Z5" s="95" t="s">
        <v>40</v>
      </c>
      <c r="AA5" s="96"/>
      <c r="AB5" s="95" t="s">
        <v>29</v>
      </c>
      <c r="AC5" s="96"/>
      <c r="AD5" s="95" t="s">
        <v>30</v>
      </c>
      <c r="AE5" s="96"/>
      <c r="AF5" s="95" t="s">
        <v>31</v>
      </c>
      <c r="AG5" s="9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41</v>
      </c>
      <c r="E6" s="2" t="s">
        <v>6</v>
      </c>
      <c r="F6" s="97" t="s">
        <v>7</v>
      </c>
      <c r="G6" s="98"/>
      <c r="H6" s="97" t="s">
        <v>8</v>
      </c>
      <c r="I6" s="98"/>
      <c r="J6" s="97" t="s">
        <v>9</v>
      </c>
      <c r="K6" s="98"/>
      <c r="L6" s="97" t="s">
        <v>10</v>
      </c>
      <c r="M6" s="98"/>
      <c r="N6" s="97" t="s">
        <v>11</v>
      </c>
      <c r="O6" s="98"/>
      <c r="P6" s="97" t="s">
        <v>12</v>
      </c>
      <c r="Q6" s="98"/>
      <c r="R6" s="97" t="s">
        <v>13</v>
      </c>
      <c r="S6" s="98"/>
      <c r="T6" s="97" t="s">
        <v>14</v>
      </c>
      <c r="U6" s="98"/>
      <c r="V6" s="97" t="s">
        <v>15</v>
      </c>
      <c r="W6" s="98"/>
      <c r="X6" s="97" t="s">
        <v>16</v>
      </c>
      <c r="Y6" s="98"/>
      <c r="Z6" s="97" t="s">
        <v>17</v>
      </c>
      <c r="AA6" s="98"/>
      <c r="AB6" s="97" t="s">
        <v>18</v>
      </c>
      <c r="AC6" s="98"/>
      <c r="AD6" s="97" t="s">
        <v>19</v>
      </c>
      <c r="AE6" s="98"/>
      <c r="AF6" s="97" t="s">
        <v>20</v>
      </c>
      <c r="AG6" s="98"/>
    </row>
    <row r="7" spans="1:33" ht="16.5" thickBot="1" x14ac:dyDescent="0.3">
      <c r="A7" s="7">
        <v>1</v>
      </c>
      <c r="B7" s="7" t="s">
        <v>43</v>
      </c>
      <c r="C7" s="8">
        <f>SUM(C8:C13)</f>
        <v>7.0000000000000007E-2</v>
      </c>
      <c r="D7" s="56">
        <f>C7*C3</f>
        <v>6615000.0000000009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21</v>
      </c>
      <c r="AA7" s="10" t="s">
        <v>22</v>
      </c>
      <c r="AB7" s="10" t="s">
        <v>21</v>
      </c>
      <c r="AC7" s="10" t="s">
        <v>22</v>
      </c>
      <c r="AD7" s="10" t="s">
        <v>21</v>
      </c>
      <c r="AE7" s="10" t="s">
        <v>22</v>
      </c>
      <c r="AF7" s="10" t="s">
        <v>21</v>
      </c>
      <c r="AG7" s="10" t="s">
        <v>22</v>
      </c>
    </row>
    <row r="8" spans="1:33" x14ac:dyDescent="0.25">
      <c r="A8" s="11">
        <v>1</v>
      </c>
      <c r="B8" s="11" t="s">
        <v>47</v>
      </c>
      <c r="C8" s="12">
        <v>0.01</v>
      </c>
      <c r="D8" s="12"/>
      <c r="E8" s="84">
        <f>SUM(F8:AG8)</f>
        <v>0.01</v>
      </c>
      <c r="F8" s="14"/>
      <c r="G8" s="15"/>
      <c r="H8" s="14"/>
      <c r="J8" s="72">
        <v>0.01</v>
      </c>
      <c r="K8" s="104" t="s">
        <v>60</v>
      </c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48</v>
      </c>
      <c r="C9" s="12">
        <v>0.01</v>
      </c>
      <c r="D9" s="12"/>
      <c r="E9" s="84">
        <f t="shared" ref="E9:E13" si="0">SUM(F9:AG9)</f>
        <v>0.01</v>
      </c>
      <c r="F9" s="20"/>
      <c r="G9" s="76">
        <v>5.0000000000000001E-3</v>
      </c>
      <c r="H9" s="20"/>
      <c r="J9" s="73">
        <v>5.0000000000000001E-3</v>
      </c>
      <c r="K9" s="105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49</v>
      </c>
      <c r="C10" s="12">
        <v>0.01</v>
      </c>
      <c r="D10" s="12"/>
      <c r="E10" s="84">
        <f t="shared" si="0"/>
        <v>0.01</v>
      </c>
      <c r="F10" s="20"/>
      <c r="G10" s="15"/>
      <c r="H10" s="20"/>
      <c r="J10" s="73">
        <v>0.01</v>
      </c>
      <c r="K10" s="105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50</v>
      </c>
      <c r="C11" s="12">
        <v>0.01</v>
      </c>
      <c r="D11" s="12"/>
      <c r="E11" s="84">
        <f t="shared" si="0"/>
        <v>0.01</v>
      </c>
      <c r="F11" s="20"/>
      <c r="G11" s="15"/>
      <c r="H11" s="20"/>
      <c r="J11" s="73">
        <v>0.01</v>
      </c>
      <c r="K11" s="105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51</v>
      </c>
      <c r="C12" s="12">
        <v>0.01</v>
      </c>
      <c r="D12" s="12"/>
      <c r="E12" s="84">
        <f t="shared" si="0"/>
        <v>0.01</v>
      </c>
      <c r="F12" s="20"/>
      <c r="G12" s="15"/>
      <c r="H12" s="20"/>
      <c r="J12" s="73">
        <v>0.01</v>
      </c>
      <c r="K12" s="105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A13" s="63">
        <v>2</v>
      </c>
      <c r="B13" s="63" t="s">
        <v>59</v>
      </c>
      <c r="C13" s="64">
        <v>0.02</v>
      </c>
      <c r="D13" s="22"/>
      <c r="E13" s="84">
        <f t="shared" si="0"/>
        <v>0.02</v>
      </c>
      <c r="F13" s="21"/>
      <c r="G13" s="66"/>
      <c r="H13" s="65"/>
      <c r="J13" s="73">
        <v>0.02</v>
      </c>
      <c r="K13" s="105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x14ac:dyDescent="0.25">
      <c r="C14" s="22"/>
      <c r="D14" s="22"/>
      <c r="E14" s="60"/>
      <c r="F14" s="61"/>
      <c r="G14" s="23"/>
      <c r="H14" s="61"/>
      <c r="J14" s="61"/>
      <c r="K14" s="105"/>
      <c r="L14" s="61"/>
      <c r="M14" s="17"/>
      <c r="N14" s="61"/>
      <c r="O14" s="17"/>
      <c r="P14" s="61"/>
      <c r="Q14" s="17"/>
      <c r="R14" s="61"/>
      <c r="S14" s="17"/>
      <c r="T14" s="61"/>
      <c r="U14" s="17"/>
      <c r="V14" s="61"/>
      <c r="W14" s="17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3" ht="15.75" x14ac:dyDescent="0.25">
      <c r="A15" s="7">
        <v>2</v>
      </c>
      <c r="B15" s="7" t="s">
        <v>44</v>
      </c>
      <c r="C15" s="8">
        <f>SUM(C16:C20)</f>
        <v>6.0000000000000005E-2</v>
      </c>
      <c r="D15" s="56">
        <f>C15*C3</f>
        <v>5670000</v>
      </c>
      <c r="E15" s="24"/>
      <c r="F15" s="25"/>
      <c r="G15" s="26"/>
      <c r="H15" s="25"/>
      <c r="I15" s="25"/>
      <c r="J15" s="25"/>
      <c r="K15" s="27"/>
      <c r="L15" s="25"/>
      <c r="M15" s="27"/>
      <c r="N15" s="25"/>
      <c r="O15" s="27"/>
      <c r="P15" s="25"/>
      <c r="Q15" s="27"/>
      <c r="R15" s="25"/>
      <c r="S15" s="27"/>
      <c r="T15" s="25"/>
      <c r="U15" s="27"/>
      <c r="V15" s="25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x14ac:dyDescent="0.25">
      <c r="A16" s="11">
        <v>1</v>
      </c>
      <c r="B16" s="11" t="s">
        <v>47</v>
      </c>
      <c r="C16" s="12">
        <v>0.02</v>
      </c>
      <c r="D16" s="12"/>
      <c r="E16" s="84">
        <f t="shared" ref="E16:E20" si="1">SUM(F16:AG16)</f>
        <v>0.02</v>
      </c>
      <c r="F16" s="77">
        <v>5.0000000000000001E-3</v>
      </c>
      <c r="G16" s="81">
        <v>2.5000000000000001E-3</v>
      </c>
      <c r="H16" s="79">
        <v>2.5000000000000001E-3</v>
      </c>
      <c r="I16" s="91">
        <v>0.01</v>
      </c>
      <c r="J16" s="21"/>
      <c r="K16" s="105" t="s">
        <v>60</v>
      </c>
      <c r="L16" s="21"/>
      <c r="M16" s="17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2</v>
      </c>
      <c r="B17" s="11" t="s">
        <v>48</v>
      </c>
      <c r="C17" s="12">
        <v>0.01</v>
      </c>
      <c r="D17" s="12"/>
      <c r="E17" s="84">
        <f t="shared" si="1"/>
        <v>0.01</v>
      </c>
      <c r="F17" s="79">
        <v>5.0000000000000001E-3</v>
      </c>
      <c r="G17" s="80">
        <v>5.0000000000000001E-3</v>
      </c>
      <c r="H17" s="21"/>
      <c r="J17" s="21"/>
      <c r="K17" s="106"/>
      <c r="L17" s="21"/>
      <c r="M17" s="15"/>
      <c r="N17" s="21"/>
      <c r="O17" s="17"/>
      <c r="P17" s="21"/>
      <c r="Q17" s="17"/>
      <c r="R17" s="21"/>
      <c r="S17" s="17"/>
      <c r="T17" s="21"/>
      <c r="U17" s="17"/>
      <c r="V17" s="21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3</v>
      </c>
      <c r="B18" s="11" t="s">
        <v>49</v>
      </c>
      <c r="C18" s="12">
        <v>0.01</v>
      </c>
      <c r="D18" s="12"/>
      <c r="E18" s="84">
        <f t="shared" si="1"/>
        <v>0.01</v>
      </c>
      <c r="F18" s="79">
        <v>5.0000000000000001E-3</v>
      </c>
      <c r="G18" s="78">
        <v>5.0000000000000001E-3</v>
      </c>
      <c r="H18" s="21"/>
      <c r="J18" s="20"/>
      <c r="K18" s="106"/>
      <c r="L18" s="21"/>
      <c r="M18" s="17"/>
      <c r="N18" s="21"/>
      <c r="O18" s="17"/>
      <c r="P18" s="20"/>
      <c r="Q18" s="17"/>
      <c r="R18" s="20"/>
      <c r="S18" s="17"/>
      <c r="T18" s="20"/>
      <c r="U18" s="17"/>
      <c r="V18" s="20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4</v>
      </c>
      <c r="B19" s="11" t="s">
        <v>50</v>
      </c>
      <c r="C19" s="12">
        <v>0.01</v>
      </c>
      <c r="D19" s="12"/>
      <c r="E19" s="84">
        <f t="shared" si="1"/>
        <v>0.01</v>
      </c>
      <c r="F19" s="79">
        <v>5.0000000000000001E-3</v>
      </c>
      <c r="G19" s="78">
        <v>5.0000000000000001E-3</v>
      </c>
      <c r="H19" s="21"/>
      <c r="J19" s="21"/>
      <c r="K19" s="106"/>
      <c r="L19" s="21"/>
      <c r="M19" s="15"/>
      <c r="N19" s="21"/>
      <c r="O19" s="17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>
        <v>5</v>
      </c>
      <c r="B20" s="11" t="s">
        <v>51</v>
      </c>
      <c r="C20" s="12">
        <v>0.01</v>
      </c>
      <c r="D20" s="12"/>
      <c r="E20" s="84">
        <f t="shared" si="1"/>
        <v>0.01</v>
      </c>
      <c r="F20" s="79">
        <v>5.0000000000000001E-3</v>
      </c>
      <c r="G20" s="78">
        <v>5.0000000000000001E-3</v>
      </c>
      <c r="H20" s="21"/>
      <c r="J20" s="21"/>
      <c r="K20" s="106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customHeight="1" x14ac:dyDescent="0.25">
      <c r="C21" s="22"/>
      <c r="D21" s="22"/>
      <c r="E21" s="60"/>
      <c r="F21" s="61"/>
      <c r="G21" s="17"/>
      <c r="H21" s="61"/>
      <c r="J21" s="61"/>
      <c r="K21" s="106"/>
      <c r="L21" s="61"/>
      <c r="M21" s="17"/>
      <c r="N21" s="61"/>
      <c r="O21" s="17"/>
      <c r="P21" s="61"/>
      <c r="Q21" s="17"/>
      <c r="R21" s="61"/>
      <c r="S21" s="17"/>
      <c r="T21" s="61"/>
      <c r="U21" s="17"/>
      <c r="V21" s="61"/>
      <c r="W21" s="17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1:33" ht="15.75" customHeight="1" x14ac:dyDescent="0.25">
      <c r="A22" s="7">
        <v>3</v>
      </c>
      <c r="B22" s="7" t="s">
        <v>45</v>
      </c>
      <c r="C22" s="8">
        <f>SUM(C23:C28)</f>
        <v>0.13</v>
      </c>
      <c r="D22" s="56">
        <f>C22*C3</f>
        <v>12285000</v>
      </c>
      <c r="E22" s="24"/>
      <c r="F22" s="25"/>
      <c r="G22" s="26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47</v>
      </c>
      <c r="C23" s="12">
        <v>0.02</v>
      </c>
      <c r="D23" s="12"/>
      <c r="E23" s="84">
        <f t="shared" ref="E23:E28" si="2">SUM(F23:AG23)</f>
        <v>0.02</v>
      </c>
      <c r="F23" s="77">
        <v>0.01</v>
      </c>
      <c r="G23" s="76">
        <v>2.5000000000000001E-3</v>
      </c>
      <c r="H23" s="73">
        <v>7.4999999999999997E-3</v>
      </c>
      <c r="I23" s="21"/>
      <c r="J23" s="21"/>
      <c r="K23" s="15"/>
      <c r="L23" s="21"/>
      <c r="M23" s="17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ht="15.75" customHeight="1" x14ac:dyDescent="0.25">
      <c r="A24" s="11">
        <v>2</v>
      </c>
      <c r="B24" s="11" t="s">
        <v>48</v>
      </c>
      <c r="C24" s="12">
        <v>0.02</v>
      </c>
      <c r="D24" s="12"/>
      <c r="E24" s="84">
        <f t="shared" si="2"/>
        <v>0.02</v>
      </c>
      <c r="F24" s="79">
        <v>0.01</v>
      </c>
      <c r="G24" s="76">
        <v>2.5000000000000001E-3</v>
      </c>
      <c r="H24" s="75">
        <v>7.4999999999999997E-3</v>
      </c>
      <c r="I24" s="20"/>
      <c r="J24" s="21"/>
      <c r="K24" s="17"/>
      <c r="L24" s="21"/>
      <c r="M24" s="15"/>
      <c r="N24" s="21"/>
      <c r="O24" s="17"/>
      <c r="P24" s="21"/>
      <c r="Q24" s="17"/>
      <c r="R24" s="21"/>
      <c r="S24" s="17"/>
      <c r="T24" s="21"/>
      <c r="U24" s="17"/>
      <c r="V24" s="21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15.75" customHeight="1" x14ac:dyDescent="0.25">
      <c r="A25" s="11">
        <v>3</v>
      </c>
      <c r="B25" s="11" t="s">
        <v>49</v>
      </c>
      <c r="C25" s="12">
        <v>0.02</v>
      </c>
      <c r="D25" s="12"/>
      <c r="E25" s="84">
        <f t="shared" si="2"/>
        <v>0.02</v>
      </c>
      <c r="F25" s="79">
        <v>0.01</v>
      </c>
      <c r="G25" s="78">
        <v>0.01</v>
      </c>
      <c r="H25" s="21"/>
      <c r="I25" s="20"/>
      <c r="J25" s="20"/>
      <c r="K25" s="17"/>
      <c r="L25" s="21"/>
      <c r="M25" s="17"/>
      <c r="N25" s="21"/>
      <c r="O25" s="17"/>
      <c r="P25" s="20"/>
      <c r="Q25" s="17"/>
      <c r="R25" s="20"/>
      <c r="S25" s="17"/>
      <c r="T25" s="20"/>
      <c r="U25" s="17"/>
      <c r="V25" s="20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5.75" customHeight="1" x14ac:dyDescent="0.25">
      <c r="A26" s="11">
        <v>4</v>
      </c>
      <c r="B26" s="11" t="s">
        <v>50</v>
      </c>
      <c r="C26" s="12">
        <v>0.02</v>
      </c>
      <c r="D26" s="12"/>
      <c r="E26" s="84">
        <f t="shared" si="2"/>
        <v>0.02</v>
      </c>
      <c r="F26" s="79">
        <v>0.01</v>
      </c>
      <c r="G26" s="78">
        <v>0.01</v>
      </c>
      <c r="H26" s="21"/>
      <c r="I26" s="21"/>
      <c r="J26" s="21"/>
      <c r="K26" s="17"/>
      <c r="L26" s="21"/>
      <c r="M26" s="15"/>
      <c r="N26" s="21"/>
      <c r="O26" s="17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>
        <v>5</v>
      </c>
      <c r="B27" s="11" t="s">
        <v>51</v>
      </c>
      <c r="C27" s="12">
        <v>0.02</v>
      </c>
      <c r="D27" s="12"/>
      <c r="E27" s="84">
        <f t="shared" si="2"/>
        <v>0.02</v>
      </c>
      <c r="F27" s="79">
        <v>0.01</v>
      </c>
      <c r="G27" s="78">
        <v>0.01</v>
      </c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11">
        <v>6</v>
      </c>
      <c r="B28" s="63" t="s">
        <v>60</v>
      </c>
      <c r="C28" s="12">
        <v>0.03</v>
      </c>
      <c r="D28" s="12"/>
      <c r="E28" s="84">
        <f t="shared" si="2"/>
        <v>3.0000000000000002E-2</v>
      </c>
      <c r="F28" s="79">
        <v>1.4999999999999999E-2</v>
      </c>
      <c r="G28" s="81">
        <v>0.01</v>
      </c>
      <c r="H28" s="75">
        <v>5.0000000000000001E-3</v>
      </c>
      <c r="I28" s="21"/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17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ht="15.75" customHeight="1" x14ac:dyDescent="0.25">
      <c r="C29" s="22"/>
      <c r="E29" s="13"/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7">
        <v>4</v>
      </c>
      <c r="B30" s="7" t="s">
        <v>42</v>
      </c>
      <c r="C30" s="8">
        <f>SUM(C31:C35)</f>
        <v>0.3</v>
      </c>
      <c r="D30" s="56">
        <f>C30*C3</f>
        <v>28350000</v>
      </c>
      <c r="E30" s="24"/>
      <c r="F30" s="25"/>
      <c r="G30" s="27"/>
      <c r="H30" s="25"/>
      <c r="I30" s="25"/>
      <c r="J30" s="25"/>
      <c r="K30" s="27"/>
      <c r="L30" s="25"/>
      <c r="M30" s="27"/>
      <c r="N30" s="25"/>
      <c r="O30" s="27"/>
      <c r="P30" s="25"/>
      <c r="Q30" s="27"/>
      <c r="R30" s="25"/>
      <c r="S30" s="27"/>
      <c r="T30" s="25"/>
      <c r="U30" s="27"/>
      <c r="V30" s="25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5.75" customHeight="1" x14ac:dyDescent="0.25">
      <c r="A31" s="11">
        <v>1</v>
      </c>
      <c r="B31" s="11" t="s">
        <v>47</v>
      </c>
      <c r="C31" s="12">
        <v>0.06</v>
      </c>
      <c r="D31" s="12"/>
      <c r="E31" s="84">
        <f t="shared" ref="E31:E35" si="3">SUM(F31:AG31)</f>
        <v>0.06</v>
      </c>
      <c r="F31" s="21"/>
      <c r="G31" s="17"/>
      <c r="H31" s="21"/>
      <c r="I31" s="21"/>
      <c r="J31" s="21"/>
      <c r="K31" s="17"/>
      <c r="L31" s="21"/>
      <c r="M31" s="15"/>
      <c r="N31" s="75">
        <v>0.06</v>
      </c>
      <c r="O31" s="17"/>
      <c r="P31" s="65"/>
      <c r="Q31" s="67"/>
      <c r="R31" s="21"/>
      <c r="S31" s="17"/>
      <c r="T31" s="21"/>
      <c r="U31" s="15"/>
      <c r="V31" s="21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2</v>
      </c>
      <c r="B32" s="11" t="s">
        <v>48</v>
      </c>
      <c r="C32" s="12">
        <v>0.06</v>
      </c>
      <c r="D32" s="12"/>
      <c r="E32" s="84">
        <f t="shared" si="3"/>
        <v>0.06</v>
      </c>
      <c r="F32" s="21"/>
      <c r="G32" s="17"/>
      <c r="H32" s="21"/>
      <c r="I32" s="21"/>
      <c r="J32" s="21"/>
      <c r="K32" s="17"/>
      <c r="L32" s="21"/>
      <c r="M32" s="17"/>
      <c r="N32" s="75">
        <v>0.06</v>
      </c>
      <c r="O32" s="68"/>
      <c r="P32" s="20"/>
      <c r="Q32" s="67"/>
      <c r="R32" s="20"/>
      <c r="S32" s="15"/>
      <c r="T32" s="20"/>
      <c r="U32" s="15"/>
      <c r="V32" s="20"/>
      <c r="W32" s="17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3</v>
      </c>
      <c r="B33" s="11" t="s">
        <v>49</v>
      </c>
      <c r="C33" s="12">
        <v>0.06</v>
      </c>
      <c r="D33" s="12"/>
      <c r="E33" s="84">
        <f t="shared" si="3"/>
        <v>0.06</v>
      </c>
      <c r="F33" s="21"/>
      <c r="G33" s="17"/>
      <c r="H33" s="21"/>
      <c r="I33" s="21"/>
      <c r="J33" s="21"/>
      <c r="K33" s="17"/>
      <c r="L33" s="21"/>
      <c r="M33" s="17"/>
      <c r="N33" s="75">
        <v>0.06</v>
      </c>
      <c r="O33" s="68"/>
      <c r="P33" s="20"/>
      <c r="Q33" s="67"/>
      <c r="R33" s="20"/>
      <c r="S33" s="17"/>
      <c r="T33" s="20"/>
      <c r="U33" s="15"/>
      <c r="V33" s="20"/>
      <c r="W33" s="17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ht="15.75" customHeight="1" x14ac:dyDescent="0.25">
      <c r="A34" s="11">
        <v>4</v>
      </c>
      <c r="B34" s="11" t="s">
        <v>50</v>
      </c>
      <c r="C34" s="12">
        <v>0.06</v>
      </c>
      <c r="D34" s="12"/>
      <c r="E34" s="84">
        <f t="shared" si="3"/>
        <v>0.06</v>
      </c>
      <c r="F34" s="21"/>
      <c r="G34" s="17"/>
      <c r="H34" s="21"/>
      <c r="I34" s="21"/>
      <c r="J34" s="21"/>
      <c r="K34" s="17"/>
      <c r="L34" s="21"/>
      <c r="M34" s="17"/>
      <c r="N34" s="75">
        <v>0.06</v>
      </c>
      <c r="O34" s="17"/>
      <c r="P34" s="20"/>
      <c r="Q34" s="67"/>
      <c r="R34" s="20"/>
      <c r="S34" s="17"/>
      <c r="T34" s="20"/>
      <c r="U34" s="17"/>
      <c r="V34" s="20"/>
      <c r="W34" s="15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.75" customHeight="1" x14ac:dyDescent="0.25">
      <c r="A35" s="11">
        <v>5</v>
      </c>
      <c r="B35" s="11" t="s">
        <v>51</v>
      </c>
      <c r="C35" s="12">
        <v>0.06</v>
      </c>
      <c r="D35" s="22"/>
      <c r="E35" s="84">
        <f t="shared" si="3"/>
        <v>0.06</v>
      </c>
      <c r="F35" s="21"/>
      <c r="G35" s="17"/>
      <c r="H35" s="21"/>
      <c r="I35" s="21"/>
      <c r="J35" s="21"/>
      <c r="K35" s="17"/>
      <c r="L35" s="21"/>
      <c r="M35" s="17"/>
      <c r="N35" s="75">
        <v>0.06</v>
      </c>
      <c r="O35" s="68"/>
      <c r="P35" s="65"/>
      <c r="Q35" s="67"/>
      <c r="R35" s="21"/>
      <c r="S35" s="17"/>
      <c r="T35" s="21"/>
      <c r="U35" s="17"/>
      <c r="V35" s="20"/>
      <c r="W35" s="15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5.75" customHeight="1" x14ac:dyDescent="0.25">
      <c r="A36" s="31"/>
      <c r="C36" s="12"/>
      <c r="E36" s="13"/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7">
        <v>5</v>
      </c>
      <c r="B37" s="7" t="s">
        <v>46</v>
      </c>
      <c r="C37" s="8">
        <f>SUM(C38:C40)</f>
        <v>0.12000000000000001</v>
      </c>
      <c r="D37" s="56">
        <f>C37*C3</f>
        <v>11340000</v>
      </c>
      <c r="E37" s="24"/>
      <c r="F37" s="25"/>
      <c r="G37" s="27"/>
      <c r="H37" s="25"/>
      <c r="I37" s="25"/>
      <c r="J37" s="25"/>
      <c r="K37" s="27"/>
      <c r="L37" s="25"/>
      <c r="M37" s="27"/>
      <c r="N37" s="25"/>
      <c r="O37" s="27"/>
      <c r="P37" s="25"/>
      <c r="Q37" s="27"/>
      <c r="R37" s="25"/>
      <c r="S37" s="27"/>
      <c r="T37" s="25"/>
      <c r="U37" s="27"/>
      <c r="V37" s="25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15.75" customHeight="1" x14ac:dyDescent="0.25">
      <c r="A38" s="11">
        <v>1</v>
      </c>
      <c r="B38" s="11" t="s">
        <v>52</v>
      </c>
      <c r="C38" s="12">
        <v>0.02</v>
      </c>
      <c r="D38" s="12"/>
      <c r="E38" s="84">
        <f t="shared" ref="E38:E40" si="4">SUM(F38:AG38)</f>
        <v>0.02</v>
      </c>
      <c r="F38" s="21"/>
      <c r="G38" s="78">
        <v>0.02</v>
      </c>
      <c r="H38" s="21"/>
      <c r="I38" s="21"/>
      <c r="J38" s="21"/>
      <c r="K38" s="17"/>
      <c r="L38" s="21"/>
      <c r="M38" s="17"/>
      <c r="N38" s="21"/>
      <c r="O38" s="17"/>
      <c r="P38" s="21"/>
      <c r="Q38" s="15"/>
      <c r="R38" s="21"/>
      <c r="S38" s="17"/>
      <c r="T38" s="21"/>
      <c r="U38" s="17"/>
      <c r="V38" s="21"/>
      <c r="W38" s="30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5.75" customHeight="1" x14ac:dyDescent="0.25">
      <c r="A39" s="11">
        <v>2</v>
      </c>
      <c r="B39" s="11" t="s">
        <v>53</v>
      </c>
      <c r="C39" s="12">
        <v>0.05</v>
      </c>
      <c r="D39" s="12"/>
      <c r="E39" s="84">
        <f t="shared" si="4"/>
        <v>0.05</v>
      </c>
      <c r="F39" s="21"/>
      <c r="G39" s="17"/>
      <c r="H39" s="75">
        <v>0.05</v>
      </c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5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3</v>
      </c>
      <c r="B40" s="11" t="s">
        <v>54</v>
      </c>
      <c r="C40" s="12">
        <v>0.05</v>
      </c>
      <c r="D40" s="12"/>
      <c r="E40" s="84">
        <f t="shared" si="4"/>
        <v>0.05</v>
      </c>
      <c r="F40" s="21"/>
      <c r="G40" s="17"/>
      <c r="H40" s="21"/>
      <c r="I40" s="21"/>
      <c r="J40" s="73">
        <v>0.05</v>
      </c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C41" s="22"/>
      <c r="D41" s="22"/>
      <c r="E41" s="60"/>
      <c r="F41" s="61"/>
      <c r="G41" s="17"/>
      <c r="H41" s="61"/>
      <c r="I41" s="61"/>
      <c r="J41" s="61"/>
      <c r="K41" s="17"/>
      <c r="L41" s="61"/>
      <c r="M41" s="17"/>
      <c r="N41" s="61"/>
      <c r="O41" s="17"/>
      <c r="P41" s="61"/>
      <c r="Q41" s="17"/>
      <c r="R41" s="61"/>
      <c r="S41" s="17"/>
      <c r="T41" s="61"/>
      <c r="U41" s="17"/>
      <c r="V41" s="61"/>
      <c r="W41" s="17"/>
      <c r="X41" s="62"/>
      <c r="Y41" s="62"/>
      <c r="Z41" s="62"/>
      <c r="AA41" s="62"/>
      <c r="AB41" s="62"/>
      <c r="AC41" s="62"/>
      <c r="AD41" s="62"/>
      <c r="AE41" s="62"/>
      <c r="AF41" s="62"/>
      <c r="AG41" s="62"/>
    </row>
    <row r="42" spans="1:33" ht="15.75" customHeight="1" x14ac:dyDescent="0.25">
      <c r="A42" s="7">
        <v>6</v>
      </c>
      <c r="B42" s="7" t="s">
        <v>55</v>
      </c>
      <c r="C42" s="8">
        <f>SUM(C43:C48)</f>
        <v>0.32</v>
      </c>
      <c r="D42" s="59">
        <f>C42*C3</f>
        <v>30240000</v>
      </c>
      <c r="E42" s="24"/>
      <c r="F42" s="25"/>
      <c r="G42" s="27"/>
      <c r="H42" s="25"/>
      <c r="I42" s="25"/>
      <c r="J42" s="25"/>
      <c r="K42" s="27"/>
      <c r="L42" s="25"/>
      <c r="M42" s="27"/>
      <c r="N42" s="25"/>
      <c r="O42" s="27"/>
      <c r="P42" s="25"/>
      <c r="Q42" s="27"/>
      <c r="R42" s="25"/>
      <c r="S42" s="27"/>
      <c r="T42" s="25"/>
      <c r="U42" s="27"/>
      <c r="V42" s="25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5">
      <c r="A43" s="11">
        <v>1</v>
      </c>
      <c r="B43" s="11" t="s">
        <v>56</v>
      </c>
      <c r="C43" s="12">
        <v>0.06</v>
      </c>
      <c r="D43" s="12"/>
      <c r="E43" s="84">
        <f t="shared" ref="E43:E48" si="5">SUM(F43:AG43)</f>
        <v>0.06</v>
      </c>
      <c r="F43" s="21"/>
      <c r="G43" s="17"/>
      <c r="H43" s="21"/>
      <c r="I43" s="79">
        <v>0.06</v>
      </c>
      <c r="J43" s="21"/>
      <c r="K43" s="17"/>
      <c r="L43" s="21"/>
      <c r="M43" s="17"/>
      <c r="N43" s="21"/>
      <c r="O43" s="17"/>
      <c r="P43" s="21"/>
      <c r="Q43" s="15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A44" s="11">
        <v>2</v>
      </c>
      <c r="B44" s="11" t="s">
        <v>57</v>
      </c>
      <c r="C44" s="12">
        <v>0.06</v>
      </c>
      <c r="D44" s="12"/>
      <c r="E44" s="84">
        <f t="shared" si="5"/>
        <v>0.06</v>
      </c>
      <c r="F44" s="21"/>
      <c r="G44" s="17"/>
      <c r="H44" s="21"/>
      <c r="I44" s="79">
        <v>0.06</v>
      </c>
      <c r="J44" s="21"/>
      <c r="K44" s="17"/>
      <c r="L44" s="21"/>
      <c r="M44" s="17"/>
      <c r="N44" s="21"/>
      <c r="O44" s="17"/>
      <c r="P44" s="21"/>
      <c r="Q44" s="17"/>
      <c r="R44" s="21"/>
      <c r="S44" s="15"/>
      <c r="T44" s="21"/>
      <c r="U44" s="17"/>
      <c r="V44" s="21"/>
      <c r="W44" s="30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5.75" customHeight="1" x14ac:dyDescent="0.25">
      <c r="A45" s="11">
        <v>4</v>
      </c>
      <c r="B45" s="11" t="s">
        <v>63</v>
      </c>
      <c r="C45" s="12">
        <v>0.06</v>
      </c>
      <c r="D45" s="12"/>
      <c r="E45" s="84">
        <f t="shared" si="5"/>
        <v>0.06</v>
      </c>
      <c r="F45" s="21"/>
      <c r="G45" s="17"/>
      <c r="H45" s="21"/>
      <c r="I45" s="21"/>
      <c r="J45" s="21"/>
      <c r="K45" s="17"/>
      <c r="L45" s="79">
        <v>0.06</v>
      </c>
      <c r="M45" s="17"/>
      <c r="N45" s="21"/>
      <c r="O45" s="17"/>
      <c r="P45" s="21"/>
      <c r="Q45" s="17"/>
      <c r="R45" s="21"/>
      <c r="S45" s="17"/>
      <c r="T45" s="21"/>
      <c r="U45" s="17"/>
      <c r="V45" s="21"/>
      <c r="W45" s="30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5.75" customHeight="1" x14ac:dyDescent="0.25">
      <c r="A46" s="11">
        <v>5</v>
      </c>
      <c r="B46" s="11" t="s">
        <v>58</v>
      </c>
      <c r="C46" s="12">
        <v>0.03</v>
      </c>
      <c r="D46" s="12"/>
      <c r="E46" s="84">
        <f t="shared" si="5"/>
        <v>0.03</v>
      </c>
      <c r="F46" s="21"/>
      <c r="G46" s="17"/>
      <c r="H46" s="21"/>
      <c r="I46" s="21"/>
      <c r="J46" s="21"/>
      <c r="K46" s="17"/>
      <c r="L46" s="79">
        <v>0.03</v>
      </c>
      <c r="M46" s="17"/>
      <c r="N46" s="21"/>
      <c r="O46" s="17"/>
      <c r="P46" s="21"/>
      <c r="Q46" s="17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63">
        <v>6</v>
      </c>
      <c r="B47" s="63" t="s">
        <v>62</v>
      </c>
      <c r="C47" s="64">
        <v>0.06</v>
      </c>
      <c r="D47" s="22"/>
      <c r="E47" s="84">
        <f t="shared" si="5"/>
        <v>0.06</v>
      </c>
      <c r="F47" s="21"/>
      <c r="G47" s="81">
        <v>0.03</v>
      </c>
      <c r="H47" s="75">
        <v>0.03</v>
      </c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7"/>
      <c r="T47" s="21"/>
      <c r="U47" s="17"/>
      <c r="V47" s="21"/>
      <c r="W47" s="17"/>
      <c r="X47" s="57"/>
      <c r="Y47" s="19"/>
      <c r="Z47" s="57"/>
      <c r="AA47" s="19"/>
      <c r="AB47" s="57"/>
      <c r="AC47" s="19"/>
      <c r="AD47" s="57"/>
      <c r="AE47" s="19"/>
      <c r="AF47" s="57"/>
      <c r="AG47" s="19"/>
    </row>
    <row r="48" spans="1:33" ht="15.75" customHeight="1" x14ac:dyDescent="0.25">
      <c r="A48" s="11">
        <v>7</v>
      </c>
      <c r="B48" s="11" t="s">
        <v>66</v>
      </c>
      <c r="C48" s="12">
        <v>0.05</v>
      </c>
      <c r="D48" s="22"/>
      <c r="E48" s="84">
        <f t="shared" si="5"/>
        <v>0.05</v>
      </c>
      <c r="F48" s="61"/>
      <c r="G48" s="17"/>
      <c r="H48" s="74">
        <v>0.05</v>
      </c>
      <c r="I48" s="61"/>
      <c r="J48" s="61"/>
      <c r="K48" s="17"/>
      <c r="L48" s="61"/>
      <c r="M48" s="17"/>
      <c r="N48" s="61"/>
      <c r="O48" s="17"/>
      <c r="P48" s="61"/>
      <c r="Q48" s="17"/>
      <c r="R48" s="61"/>
      <c r="S48" s="17"/>
      <c r="T48" s="61"/>
      <c r="U48" s="17"/>
      <c r="V48" s="61"/>
      <c r="W48" s="17"/>
      <c r="X48" s="57"/>
      <c r="Y48" s="62"/>
      <c r="Z48" s="57"/>
      <c r="AA48" s="62"/>
      <c r="AB48" s="57"/>
      <c r="AC48" s="62"/>
      <c r="AD48" s="57"/>
      <c r="AE48" s="62"/>
      <c r="AF48" s="57"/>
      <c r="AG48" s="62"/>
    </row>
    <row r="49" spans="1:33" ht="15.75" customHeight="1" thickBot="1" x14ac:dyDescent="0.3">
      <c r="C49" s="22"/>
      <c r="D49" s="22"/>
      <c r="E49" s="60"/>
      <c r="F49" s="61"/>
      <c r="G49" s="17"/>
      <c r="H49" s="61"/>
      <c r="I49" s="61"/>
      <c r="J49" s="61"/>
      <c r="K49" s="17"/>
      <c r="L49" s="61"/>
      <c r="M49" s="17"/>
      <c r="N49" s="61"/>
      <c r="O49" s="17"/>
      <c r="P49" s="61"/>
      <c r="Q49" s="17"/>
      <c r="R49" s="61"/>
      <c r="S49" s="17"/>
      <c r="T49" s="61"/>
      <c r="U49" s="17"/>
      <c r="V49" s="61"/>
      <c r="W49" s="17"/>
      <c r="X49" s="57"/>
      <c r="Y49" s="62"/>
      <c r="Z49" s="57"/>
      <c r="AA49" s="62"/>
      <c r="AB49" s="57"/>
      <c r="AC49" s="62"/>
      <c r="AD49" s="57"/>
      <c r="AE49" s="62"/>
      <c r="AF49" s="57"/>
      <c r="AG49" s="62"/>
    </row>
    <row r="50" spans="1:33" ht="15.75" customHeight="1" thickBot="1" x14ac:dyDescent="0.35">
      <c r="A50" s="32"/>
      <c r="B50" s="33" t="s">
        <v>23</v>
      </c>
      <c r="C50" s="34">
        <f>SUM(C7+C15+C22+C30+C37+C42)</f>
        <v>1</v>
      </c>
      <c r="D50" s="34"/>
      <c r="E50" s="35">
        <f>SUM(F50:AG50)</f>
        <v>1</v>
      </c>
      <c r="F50" s="58">
        <f>SUM(F8:F49)</f>
        <v>0.09</v>
      </c>
      <c r="G50" s="58">
        <f>SUM(G8:G49)</f>
        <v>0.1225</v>
      </c>
      <c r="H50" s="58">
        <f>SUM(H8:H49)</f>
        <v>0.15250000000000002</v>
      </c>
      <c r="I50" s="58">
        <f>SUM(I8:I49)</f>
        <v>0.13</v>
      </c>
      <c r="J50" s="58">
        <f t="shared" ref="J50:AG50" si="6">SUM(J8:J49)</f>
        <v>0.115</v>
      </c>
      <c r="K50" s="58">
        <f t="shared" si="6"/>
        <v>0</v>
      </c>
      <c r="L50" s="58">
        <f t="shared" si="6"/>
        <v>0.09</v>
      </c>
      <c r="M50" s="58">
        <f t="shared" si="6"/>
        <v>0</v>
      </c>
      <c r="N50" s="58">
        <f t="shared" si="6"/>
        <v>0.3</v>
      </c>
      <c r="O50" s="58">
        <f t="shared" si="6"/>
        <v>0</v>
      </c>
      <c r="P50" s="58">
        <f t="shared" si="6"/>
        <v>0</v>
      </c>
      <c r="Q50" s="58">
        <f t="shared" si="6"/>
        <v>0</v>
      </c>
      <c r="R50" s="58">
        <f t="shared" si="6"/>
        <v>0</v>
      </c>
      <c r="S50" s="58">
        <f t="shared" si="6"/>
        <v>0</v>
      </c>
      <c r="T50" s="58">
        <f t="shared" si="6"/>
        <v>0</v>
      </c>
      <c r="U50" s="58">
        <f t="shared" si="6"/>
        <v>0</v>
      </c>
      <c r="V50" s="58">
        <f t="shared" si="6"/>
        <v>0</v>
      </c>
      <c r="W50" s="58">
        <f t="shared" si="6"/>
        <v>0</v>
      </c>
      <c r="X50" s="58">
        <f t="shared" si="6"/>
        <v>0</v>
      </c>
      <c r="Y50" s="58">
        <f t="shared" si="6"/>
        <v>0</v>
      </c>
      <c r="Z50" s="58">
        <f t="shared" si="6"/>
        <v>0</v>
      </c>
      <c r="AA50" s="58">
        <f t="shared" si="6"/>
        <v>0</v>
      </c>
      <c r="AB50" s="58">
        <f t="shared" si="6"/>
        <v>0</v>
      </c>
      <c r="AC50" s="58">
        <f t="shared" si="6"/>
        <v>0</v>
      </c>
      <c r="AD50" s="58">
        <f t="shared" si="6"/>
        <v>0</v>
      </c>
      <c r="AE50" s="58">
        <f t="shared" si="6"/>
        <v>0</v>
      </c>
      <c r="AF50" s="58">
        <f t="shared" si="6"/>
        <v>0</v>
      </c>
      <c r="AG50" s="58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92" t="s">
        <v>24</v>
      </c>
      <c r="B52" s="93"/>
      <c r="C52" s="93"/>
      <c r="D52" s="93"/>
      <c r="E52" s="94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03" t="s">
        <v>25</v>
      </c>
      <c r="B54" s="93"/>
      <c r="C54" s="93"/>
      <c r="D54" s="93"/>
      <c r="E54" s="94"/>
      <c r="F54" s="40">
        <f>C3+(C3*F52)</f>
        <v>94500000</v>
      </c>
      <c r="G54" s="40">
        <f t="shared" ref="G54:AG54" si="7">F54+(F54*G52)</f>
        <v>94500000</v>
      </c>
      <c r="H54" s="40">
        <f t="shared" si="7"/>
        <v>94500000</v>
      </c>
      <c r="I54" s="40">
        <f t="shared" si="7"/>
        <v>94500000</v>
      </c>
      <c r="J54" s="40">
        <f t="shared" si="7"/>
        <v>94500000</v>
      </c>
      <c r="K54" s="40">
        <f t="shared" si="7"/>
        <v>94500000</v>
      </c>
      <c r="L54" s="40">
        <f t="shared" si="7"/>
        <v>94500000</v>
      </c>
      <c r="M54" s="40">
        <f t="shared" si="7"/>
        <v>94500000</v>
      </c>
      <c r="N54" s="40">
        <f t="shared" si="7"/>
        <v>94500000</v>
      </c>
      <c r="O54" s="40">
        <f t="shared" si="7"/>
        <v>94500000</v>
      </c>
      <c r="P54" s="40">
        <f t="shared" si="7"/>
        <v>94500000</v>
      </c>
      <c r="Q54" s="40">
        <f t="shared" si="7"/>
        <v>94500000</v>
      </c>
      <c r="R54" s="40">
        <f t="shared" si="7"/>
        <v>94500000</v>
      </c>
      <c r="S54" s="40">
        <f t="shared" si="7"/>
        <v>94500000</v>
      </c>
      <c r="T54" s="40">
        <f t="shared" si="7"/>
        <v>94500000</v>
      </c>
      <c r="U54" s="40">
        <f t="shared" si="7"/>
        <v>94500000</v>
      </c>
      <c r="V54" s="40">
        <f t="shared" si="7"/>
        <v>94500000</v>
      </c>
      <c r="W54" s="40">
        <f t="shared" si="7"/>
        <v>94500000</v>
      </c>
      <c r="X54" s="40">
        <f t="shared" si="7"/>
        <v>94500000</v>
      </c>
      <c r="Y54" s="40">
        <f t="shared" si="7"/>
        <v>94500000</v>
      </c>
      <c r="Z54" s="40">
        <f t="shared" si="7"/>
        <v>94500000</v>
      </c>
      <c r="AA54" s="40">
        <f t="shared" si="7"/>
        <v>94500000</v>
      </c>
      <c r="AB54" s="40">
        <f t="shared" si="7"/>
        <v>94500000</v>
      </c>
      <c r="AC54" s="40">
        <f t="shared" si="7"/>
        <v>94500000</v>
      </c>
      <c r="AD54" s="40">
        <f t="shared" si="7"/>
        <v>94500000</v>
      </c>
      <c r="AE54" s="40">
        <f t="shared" si="7"/>
        <v>94500000</v>
      </c>
      <c r="AF54" s="40">
        <f t="shared" si="7"/>
        <v>94500000</v>
      </c>
      <c r="AG54" s="40">
        <f t="shared" si="7"/>
        <v>94500000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00" t="s">
        <v>26</v>
      </c>
      <c r="B56" s="93"/>
      <c r="C56" s="93"/>
      <c r="D56" s="93"/>
      <c r="E56" s="94"/>
      <c r="F56" s="41">
        <f t="shared" ref="F56:AG56" si="8">F50*F54</f>
        <v>8505000</v>
      </c>
      <c r="G56" s="41">
        <f t="shared" si="8"/>
        <v>11576250</v>
      </c>
      <c r="H56" s="41">
        <f t="shared" si="8"/>
        <v>14411250.000000002</v>
      </c>
      <c r="I56" s="41">
        <f t="shared" si="8"/>
        <v>12285000</v>
      </c>
      <c r="J56" s="41">
        <f t="shared" si="8"/>
        <v>10867500</v>
      </c>
      <c r="K56" s="41">
        <f t="shared" si="8"/>
        <v>0</v>
      </c>
      <c r="L56" s="41">
        <f t="shared" si="8"/>
        <v>8505000</v>
      </c>
      <c r="M56" s="41">
        <f t="shared" si="8"/>
        <v>0</v>
      </c>
      <c r="N56" s="41">
        <f t="shared" si="8"/>
        <v>28350000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99" t="s">
        <v>27</v>
      </c>
      <c r="B58" s="93"/>
      <c r="C58" s="93"/>
      <c r="D58" s="93"/>
      <c r="E58" s="94"/>
      <c r="F58" s="42">
        <f>F56-(F56*D4)</f>
        <v>7155000</v>
      </c>
      <c r="G58" s="43">
        <v>8000000</v>
      </c>
      <c r="H58" s="43">
        <v>7000000</v>
      </c>
      <c r="I58" s="43">
        <v>7000000</v>
      </c>
      <c r="J58" s="43">
        <v>7000000</v>
      </c>
      <c r="K58" s="43">
        <v>7000000</v>
      </c>
      <c r="L58" s="43">
        <v>7000000</v>
      </c>
      <c r="M58" s="43">
        <v>7000000</v>
      </c>
      <c r="N58" s="43">
        <v>7000000</v>
      </c>
      <c r="O58" s="43">
        <v>7000000</v>
      </c>
      <c r="P58" s="43">
        <v>7000000</v>
      </c>
      <c r="Q58" s="43">
        <v>1345000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92" t="s">
        <v>28</v>
      </c>
      <c r="B60" s="93"/>
      <c r="C60" s="93"/>
      <c r="D60" s="93"/>
      <c r="E60" s="94"/>
      <c r="F60" s="45">
        <f>F54-F58-C4</f>
        <v>72345000</v>
      </c>
      <c r="G60" s="45">
        <f t="shared" ref="G60:AG60" si="9">(F60+(F60*G52))-G58</f>
        <v>64345000</v>
      </c>
      <c r="H60" s="46">
        <f t="shared" si="9"/>
        <v>57345000</v>
      </c>
      <c r="I60" s="46">
        <f t="shared" si="9"/>
        <v>50345000</v>
      </c>
      <c r="J60" s="45">
        <f t="shared" si="9"/>
        <v>43345000</v>
      </c>
      <c r="K60" s="45">
        <f t="shared" si="9"/>
        <v>36345000</v>
      </c>
      <c r="L60" s="45">
        <f t="shared" si="9"/>
        <v>29345000</v>
      </c>
      <c r="M60" s="45">
        <f t="shared" si="9"/>
        <v>22345000</v>
      </c>
      <c r="N60" s="45">
        <f t="shared" si="9"/>
        <v>15345000</v>
      </c>
      <c r="O60" s="45">
        <f t="shared" si="9"/>
        <v>8345000</v>
      </c>
      <c r="P60" s="45">
        <f t="shared" si="9"/>
        <v>1345000</v>
      </c>
      <c r="Q60" s="45">
        <f t="shared" si="9"/>
        <v>0</v>
      </c>
      <c r="R60" s="45">
        <f t="shared" si="9"/>
        <v>0</v>
      </c>
      <c r="S60" s="45">
        <f t="shared" si="9"/>
        <v>0</v>
      </c>
      <c r="T60" s="45">
        <f t="shared" si="9"/>
        <v>0</v>
      </c>
      <c r="U60" s="45">
        <f t="shared" si="9"/>
        <v>0</v>
      </c>
      <c r="V60" s="45">
        <f t="shared" si="9"/>
        <v>0</v>
      </c>
      <c r="W60" s="45">
        <f t="shared" si="9"/>
        <v>0</v>
      </c>
      <c r="X60" s="45">
        <f t="shared" si="9"/>
        <v>0</v>
      </c>
      <c r="Y60" s="45">
        <f t="shared" si="9"/>
        <v>0</v>
      </c>
      <c r="Z60" s="45">
        <f t="shared" si="9"/>
        <v>0</v>
      </c>
      <c r="AA60" s="45">
        <f t="shared" si="9"/>
        <v>0</v>
      </c>
      <c r="AB60" s="45">
        <f t="shared" si="9"/>
        <v>0</v>
      </c>
      <c r="AC60" s="45">
        <f t="shared" si="9"/>
        <v>0</v>
      </c>
      <c r="AD60" s="45">
        <f t="shared" si="9"/>
        <v>0</v>
      </c>
      <c r="AE60" s="45">
        <f t="shared" si="9"/>
        <v>0</v>
      </c>
      <c r="AF60" s="45">
        <f t="shared" si="9"/>
        <v>0</v>
      </c>
      <c r="AG60" s="45">
        <f t="shared" si="9"/>
        <v>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>
        <v>7264588</v>
      </c>
      <c r="G62" s="71">
        <f>G58+F58</f>
        <v>15155000</v>
      </c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8">
    <mergeCell ref="K8:K14"/>
    <mergeCell ref="K16:K21"/>
    <mergeCell ref="P5:Q5"/>
    <mergeCell ref="R5:S5"/>
    <mergeCell ref="T5:U5"/>
    <mergeCell ref="J6:K6"/>
    <mergeCell ref="L6:M6"/>
    <mergeCell ref="N6:O6"/>
    <mergeCell ref="V5:W5"/>
    <mergeCell ref="A2:B2"/>
    <mergeCell ref="A3:B3"/>
    <mergeCell ref="A4:B4"/>
    <mergeCell ref="F5:G5"/>
    <mergeCell ref="H5:I5"/>
    <mergeCell ref="J5:K5"/>
    <mergeCell ref="L5:M5"/>
    <mergeCell ref="N5:O5"/>
    <mergeCell ref="X5:Y5"/>
    <mergeCell ref="Z5:AA5"/>
    <mergeCell ref="AB5:AC5"/>
    <mergeCell ref="AD5:AE5"/>
    <mergeCell ref="AF5:AG5"/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.3" footer="0.3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G1002"/>
  <sheetViews>
    <sheetView tabSelected="1" zoomScale="85" zoomScaleNormal="85" workbookViewId="0">
      <pane xSplit="3" topLeftCell="D1" activePane="topRight" state="frozen"/>
      <selection pane="topRight" activeCell="J19" sqref="J1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3" width="16.85546875" customWidth="1"/>
    <col min="4" max="4" width="18.140625" bestFit="1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83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01" t="s">
        <v>0</v>
      </c>
      <c r="B2" s="102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01" t="s">
        <v>1</v>
      </c>
      <c r="B3" s="102"/>
      <c r="C3" s="5">
        <v>94500000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01" t="s">
        <v>2</v>
      </c>
      <c r="B4" s="102"/>
      <c r="C4" s="5">
        <v>15000000</v>
      </c>
      <c r="D4" s="55">
        <f>C4/C3</f>
        <v>0.15873015873015872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95" t="s">
        <v>30</v>
      </c>
      <c r="G5" s="96"/>
      <c r="H5" s="95" t="s">
        <v>31</v>
      </c>
      <c r="I5" s="96"/>
      <c r="J5" s="95" t="s">
        <v>32</v>
      </c>
      <c r="K5" s="96"/>
      <c r="L5" s="95" t="s">
        <v>33</v>
      </c>
      <c r="M5" s="96"/>
      <c r="N5" s="95" t="s">
        <v>34</v>
      </c>
      <c r="O5" s="96"/>
      <c r="P5" s="95" t="s">
        <v>35</v>
      </c>
      <c r="Q5" s="96"/>
      <c r="R5" s="95" t="s">
        <v>36</v>
      </c>
      <c r="S5" s="96"/>
      <c r="T5" s="95" t="s">
        <v>37</v>
      </c>
      <c r="U5" s="96"/>
      <c r="V5" s="95" t="s">
        <v>38</v>
      </c>
      <c r="W5" s="96"/>
      <c r="X5" s="95" t="s">
        <v>39</v>
      </c>
      <c r="Y5" s="96"/>
      <c r="Z5" s="95" t="s">
        <v>40</v>
      </c>
      <c r="AA5" s="96"/>
      <c r="AB5" s="95" t="s">
        <v>29</v>
      </c>
      <c r="AC5" s="96"/>
      <c r="AD5" s="95" t="s">
        <v>30</v>
      </c>
      <c r="AE5" s="96"/>
      <c r="AF5" s="95" t="s">
        <v>31</v>
      </c>
      <c r="AG5" s="9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41</v>
      </c>
      <c r="E6" s="2" t="s">
        <v>6</v>
      </c>
      <c r="F6" s="97" t="s">
        <v>7</v>
      </c>
      <c r="G6" s="98"/>
      <c r="H6" s="97" t="s">
        <v>8</v>
      </c>
      <c r="I6" s="98"/>
      <c r="J6" s="97" t="s">
        <v>9</v>
      </c>
      <c r="K6" s="98"/>
      <c r="L6" s="97" t="s">
        <v>10</v>
      </c>
      <c r="M6" s="98"/>
      <c r="N6" s="97" t="s">
        <v>11</v>
      </c>
      <c r="O6" s="98"/>
      <c r="P6" s="97" t="s">
        <v>12</v>
      </c>
      <c r="Q6" s="98"/>
      <c r="R6" s="97" t="s">
        <v>13</v>
      </c>
      <c r="S6" s="98"/>
      <c r="T6" s="97" t="s">
        <v>14</v>
      </c>
      <c r="U6" s="98"/>
      <c r="V6" s="97" t="s">
        <v>15</v>
      </c>
      <c r="W6" s="98"/>
      <c r="X6" s="97" t="s">
        <v>16</v>
      </c>
      <c r="Y6" s="98"/>
      <c r="Z6" s="97" t="s">
        <v>17</v>
      </c>
      <c r="AA6" s="98"/>
      <c r="AB6" s="97" t="s">
        <v>18</v>
      </c>
      <c r="AC6" s="98"/>
      <c r="AD6" s="97" t="s">
        <v>19</v>
      </c>
      <c r="AE6" s="98"/>
      <c r="AF6" s="97" t="s">
        <v>20</v>
      </c>
      <c r="AG6" s="98"/>
    </row>
    <row r="7" spans="1:33" ht="16.5" thickBot="1" x14ac:dyDescent="0.3">
      <c r="A7" s="7">
        <v>1</v>
      </c>
      <c r="B7" s="7" t="s">
        <v>43</v>
      </c>
      <c r="C7" s="8">
        <f>SUM(C8:C13)</f>
        <v>7.0000000000000007E-2</v>
      </c>
      <c r="D7" s="56">
        <f>C7*C3</f>
        <v>6615000.0000000009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21</v>
      </c>
      <c r="AA7" s="10" t="s">
        <v>22</v>
      </c>
      <c r="AB7" s="10" t="s">
        <v>21</v>
      </c>
      <c r="AC7" s="10" t="s">
        <v>22</v>
      </c>
      <c r="AD7" s="10" t="s">
        <v>21</v>
      </c>
      <c r="AE7" s="10" t="s">
        <v>22</v>
      </c>
      <c r="AF7" s="10" t="s">
        <v>21</v>
      </c>
      <c r="AG7" s="10" t="s">
        <v>22</v>
      </c>
    </row>
    <row r="8" spans="1:33" x14ac:dyDescent="0.25">
      <c r="A8" s="11">
        <v>1</v>
      </c>
      <c r="B8" s="11" t="s">
        <v>47</v>
      </c>
      <c r="C8" s="12">
        <v>0.01</v>
      </c>
      <c r="D8" s="12"/>
      <c r="E8" s="84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48</v>
      </c>
      <c r="C9" s="12">
        <v>0.01</v>
      </c>
      <c r="D9" s="12"/>
      <c r="E9" s="84">
        <f t="shared" ref="E9:E13" si="0">SUM(F9:AG9)</f>
        <v>5.0000000000000001E-3</v>
      </c>
      <c r="F9" s="20"/>
      <c r="G9" s="68">
        <v>5.0000000000000001E-3</v>
      </c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49</v>
      </c>
      <c r="C10" s="12">
        <v>0.01</v>
      </c>
      <c r="D10" s="12"/>
      <c r="E10" s="84">
        <f t="shared" si="0"/>
        <v>0.01</v>
      </c>
      <c r="F10" s="20"/>
      <c r="G10" s="15"/>
      <c r="H10" s="20"/>
      <c r="I10" s="20">
        <v>0.01</v>
      </c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50</v>
      </c>
      <c r="C11" s="12">
        <v>0.01</v>
      </c>
      <c r="D11" s="12"/>
      <c r="E11" s="84">
        <f t="shared" si="0"/>
        <v>0.01</v>
      </c>
      <c r="F11" s="20"/>
      <c r="G11" s="15"/>
      <c r="H11" s="20"/>
      <c r="I11" s="20">
        <v>0.01</v>
      </c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51</v>
      </c>
      <c r="C12" s="12">
        <v>0.01</v>
      </c>
      <c r="D12" s="12"/>
      <c r="E12" s="84">
        <f t="shared" si="0"/>
        <v>0.01</v>
      </c>
      <c r="F12" s="20"/>
      <c r="G12" s="15"/>
      <c r="H12" s="20"/>
      <c r="I12" s="20">
        <v>0.01</v>
      </c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A13" s="63">
        <v>7</v>
      </c>
      <c r="B13" s="63" t="s">
        <v>59</v>
      </c>
      <c r="C13" s="64">
        <v>0.02</v>
      </c>
      <c r="D13" s="22"/>
      <c r="E13" s="84">
        <f t="shared" si="0"/>
        <v>0</v>
      </c>
      <c r="F13" s="21"/>
      <c r="G13" s="66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x14ac:dyDescent="0.25">
      <c r="C14" s="22"/>
      <c r="D14" s="22"/>
      <c r="E14" s="60"/>
      <c r="F14" s="61"/>
      <c r="G14" s="23"/>
      <c r="H14" s="61"/>
      <c r="I14" s="61"/>
      <c r="J14" s="61"/>
      <c r="K14" s="17"/>
      <c r="L14" s="61"/>
      <c r="M14" s="17"/>
      <c r="N14" s="61"/>
      <c r="O14" s="17"/>
      <c r="P14" s="61"/>
      <c r="Q14" s="17"/>
      <c r="R14" s="61"/>
      <c r="S14" s="17"/>
      <c r="T14" s="61"/>
      <c r="U14" s="17"/>
      <c r="V14" s="61"/>
      <c r="W14" s="17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3" ht="15.75" x14ac:dyDescent="0.25">
      <c r="A15" s="7">
        <v>2</v>
      </c>
      <c r="B15" s="7" t="s">
        <v>44</v>
      </c>
      <c r="C15" s="8">
        <f>SUM(C16:C20)</f>
        <v>6.0000000000000005E-2</v>
      </c>
      <c r="D15" s="56">
        <f>C15*C3</f>
        <v>5670000</v>
      </c>
      <c r="E15" s="24"/>
      <c r="F15" s="25"/>
      <c r="G15" s="26"/>
      <c r="H15" s="25"/>
      <c r="I15" s="25"/>
      <c r="J15" s="25"/>
      <c r="K15" s="27"/>
      <c r="L15" s="25"/>
      <c r="M15" s="27"/>
      <c r="N15" s="25"/>
      <c r="O15" s="27"/>
      <c r="P15" s="25"/>
      <c r="Q15" s="27"/>
      <c r="R15" s="25"/>
      <c r="S15" s="27"/>
      <c r="T15" s="25"/>
      <c r="U15" s="27"/>
      <c r="V15" s="25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x14ac:dyDescent="0.25">
      <c r="A16" s="11">
        <v>1</v>
      </c>
      <c r="B16" s="11" t="s">
        <v>47</v>
      </c>
      <c r="C16" s="12">
        <v>0.02</v>
      </c>
      <c r="D16" s="12"/>
      <c r="E16" s="84">
        <f t="shared" ref="E16:E20" si="1">SUM(F16:AG16)</f>
        <v>0.02</v>
      </c>
      <c r="F16" s="69">
        <v>5.0000000000000001E-3</v>
      </c>
      <c r="G16" s="68">
        <v>2.5000000000000001E-3</v>
      </c>
      <c r="H16" s="65"/>
      <c r="I16" s="20">
        <v>1.2500000000000001E-2</v>
      </c>
      <c r="J16" s="21"/>
      <c r="K16" s="15"/>
      <c r="L16" s="21"/>
      <c r="M16" s="17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2</v>
      </c>
      <c r="B17" s="11" t="s">
        <v>48</v>
      </c>
      <c r="C17" s="12">
        <v>0.01</v>
      </c>
      <c r="D17" s="12"/>
      <c r="E17" s="84">
        <f t="shared" si="1"/>
        <v>0.01</v>
      </c>
      <c r="F17" s="21">
        <v>5.0000000000000001E-3</v>
      </c>
      <c r="G17" s="15">
        <v>5.0000000000000001E-3</v>
      </c>
      <c r="H17" s="21"/>
      <c r="I17" s="20"/>
      <c r="J17" s="21"/>
      <c r="K17" s="17"/>
      <c r="L17" s="21"/>
      <c r="M17" s="15"/>
      <c r="N17" s="21"/>
      <c r="O17" s="17"/>
      <c r="P17" s="21"/>
      <c r="Q17" s="17"/>
      <c r="R17" s="21"/>
      <c r="S17" s="17"/>
      <c r="T17" s="21"/>
      <c r="U17" s="17"/>
      <c r="V17" s="21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3</v>
      </c>
      <c r="B18" s="11" t="s">
        <v>49</v>
      </c>
      <c r="C18" s="12">
        <v>0.01</v>
      </c>
      <c r="D18" s="12"/>
      <c r="E18" s="84">
        <f t="shared" si="1"/>
        <v>0.01</v>
      </c>
      <c r="F18" s="21">
        <v>5.0000000000000001E-3</v>
      </c>
      <c r="G18" s="67">
        <v>5.0000000000000001E-3</v>
      </c>
      <c r="H18" s="21"/>
      <c r="I18" s="65" t="s">
        <v>61</v>
      </c>
      <c r="J18" s="20"/>
      <c r="K18" s="17"/>
      <c r="L18" s="21"/>
      <c r="M18" s="17"/>
      <c r="N18" s="21"/>
      <c r="O18" s="17"/>
      <c r="P18" s="20"/>
      <c r="Q18" s="17"/>
      <c r="R18" s="20"/>
      <c r="S18" s="17"/>
      <c r="T18" s="20"/>
      <c r="U18" s="17"/>
      <c r="V18" s="20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4</v>
      </c>
      <c r="B19" s="11" t="s">
        <v>50</v>
      </c>
      <c r="C19" s="12">
        <v>0.01</v>
      </c>
      <c r="D19" s="12"/>
      <c r="E19" s="84">
        <f t="shared" si="1"/>
        <v>0.01</v>
      </c>
      <c r="F19" s="21">
        <v>5.0000000000000001E-3</v>
      </c>
      <c r="G19" s="67">
        <v>5.0000000000000001E-3</v>
      </c>
      <c r="H19" s="21"/>
      <c r="I19" s="21"/>
      <c r="J19" s="21"/>
      <c r="K19" s="17"/>
      <c r="L19" s="21"/>
      <c r="M19" s="15"/>
      <c r="N19" s="21"/>
      <c r="O19" s="17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>
        <v>5</v>
      </c>
      <c r="B20" s="11" t="s">
        <v>51</v>
      </c>
      <c r="C20" s="12">
        <v>0.01</v>
      </c>
      <c r="D20" s="12"/>
      <c r="E20" s="84">
        <f t="shared" si="1"/>
        <v>0.01</v>
      </c>
      <c r="F20" s="21">
        <v>5.0000000000000001E-3</v>
      </c>
      <c r="G20" s="67">
        <v>5.0000000000000001E-3</v>
      </c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customHeight="1" x14ac:dyDescent="0.25">
      <c r="C21" s="22"/>
      <c r="D21" s="22"/>
      <c r="E21" s="60"/>
      <c r="F21" s="61"/>
      <c r="G21" s="17"/>
      <c r="H21" s="61"/>
      <c r="I21" s="61"/>
      <c r="J21" s="61"/>
      <c r="K21" s="17"/>
      <c r="L21" s="61"/>
      <c r="M21" s="17"/>
      <c r="N21" s="61"/>
      <c r="O21" s="17"/>
      <c r="P21" s="61"/>
      <c r="Q21" s="17"/>
      <c r="R21" s="61"/>
      <c r="S21" s="17"/>
      <c r="T21" s="61"/>
      <c r="U21" s="17"/>
      <c r="V21" s="61"/>
      <c r="W21" s="17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1:33" ht="15.75" customHeight="1" x14ac:dyDescent="0.25">
      <c r="A22" s="7">
        <v>3</v>
      </c>
      <c r="B22" s="7" t="s">
        <v>45</v>
      </c>
      <c r="C22" s="8">
        <f>SUM(C23:C28)</f>
        <v>0.13</v>
      </c>
      <c r="D22" s="56">
        <f>C22*C3</f>
        <v>12285000</v>
      </c>
      <c r="E22" s="24"/>
      <c r="F22" s="25"/>
      <c r="G22" s="26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47</v>
      </c>
      <c r="C23" s="12">
        <v>0.02</v>
      </c>
      <c r="D23" s="12"/>
      <c r="E23" s="84">
        <f t="shared" ref="E23:E28" si="2">SUM(F23:AG23)</f>
        <v>0.02</v>
      </c>
      <c r="F23" s="69">
        <v>0.01</v>
      </c>
      <c r="G23" s="68">
        <v>2.5000000000000001E-3</v>
      </c>
      <c r="H23" s="20"/>
      <c r="I23" s="20">
        <v>7.4999999999999997E-3</v>
      </c>
      <c r="J23" s="21"/>
      <c r="K23" s="15"/>
      <c r="L23" s="21"/>
      <c r="M23" s="17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ht="15.75" customHeight="1" x14ac:dyDescent="0.25">
      <c r="A24" s="11">
        <v>2</v>
      </c>
      <c r="B24" s="11" t="s">
        <v>48</v>
      </c>
      <c r="C24" s="12">
        <v>0.02</v>
      </c>
      <c r="D24" s="12"/>
      <c r="E24" s="84">
        <f t="shared" si="2"/>
        <v>0.02</v>
      </c>
      <c r="F24" s="21">
        <v>0.01</v>
      </c>
      <c r="G24" s="68">
        <v>2.5000000000000001E-3</v>
      </c>
      <c r="H24" s="65"/>
      <c r="I24" s="20">
        <v>7.4999999999999997E-3</v>
      </c>
      <c r="J24" s="21"/>
      <c r="K24" s="17"/>
      <c r="L24" s="21"/>
      <c r="M24" s="15"/>
      <c r="N24" s="21"/>
      <c r="O24" s="17"/>
      <c r="P24" s="21"/>
      <c r="Q24" s="17"/>
      <c r="R24" s="21"/>
      <c r="S24" s="17"/>
      <c r="T24" s="21"/>
      <c r="U24" s="17"/>
      <c r="V24" s="21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15.75" customHeight="1" x14ac:dyDescent="0.25">
      <c r="A25" s="11">
        <v>3</v>
      </c>
      <c r="B25" s="11" t="s">
        <v>49</v>
      </c>
      <c r="C25" s="12">
        <v>0.02</v>
      </c>
      <c r="D25" s="12"/>
      <c r="E25" s="84">
        <f t="shared" si="2"/>
        <v>0.02</v>
      </c>
      <c r="F25" s="21">
        <v>0.01</v>
      </c>
      <c r="G25" s="67">
        <v>0.01</v>
      </c>
      <c r="H25" s="21"/>
      <c r="I25" s="20"/>
      <c r="J25" s="20"/>
      <c r="K25" s="17"/>
      <c r="L25" s="21"/>
      <c r="M25" s="17"/>
      <c r="N25" s="21"/>
      <c r="O25" s="17"/>
      <c r="P25" s="20"/>
      <c r="Q25" s="17"/>
      <c r="R25" s="20"/>
      <c r="S25" s="17"/>
      <c r="T25" s="20"/>
      <c r="U25" s="17"/>
      <c r="V25" s="20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5.75" customHeight="1" x14ac:dyDescent="0.25">
      <c r="A26" s="11">
        <v>4</v>
      </c>
      <c r="B26" s="11" t="s">
        <v>50</v>
      </c>
      <c r="C26" s="12">
        <v>0.02</v>
      </c>
      <c r="D26" s="12"/>
      <c r="E26" s="84">
        <f t="shared" si="2"/>
        <v>0.02</v>
      </c>
      <c r="F26" s="21">
        <v>0.01</v>
      </c>
      <c r="G26" s="67">
        <v>0.01</v>
      </c>
      <c r="H26" s="21"/>
      <c r="I26" s="21"/>
      <c r="J26" s="21"/>
      <c r="K26" s="17"/>
      <c r="L26" s="21"/>
      <c r="M26" s="15"/>
      <c r="N26" s="21"/>
      <c r="O26" s="17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>
        <v>5</v>
      </c>
      <c r="B27" s="11" t="s">
        <v>51</v>
      </c>
      <c r="C27" s="12">
        <v>0.02</v>
      </c>
      <c r="D27" s="12"/>
      <c r="E27" s="84">
        <f t="shared" si="2"/>
        <v>0.02</v>
      </c>
      <c r="F27" s="21">
        <v>0.01</v>
      </c>
      <c r="G27" s="67">
        <v>0.01</v>
      </c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11">
        <v>6</v>
      </c>
      <c r="B28" s="63" t="s">
        <v>60</v>
      </c>
      <c r="C28" s="12">
        <v>0.03</v>
      </c>
      <c r="D28" s="12"/>
      <c r="E28" s="84">
        <f t="shared" si="2"/>
        <v>3.0000000000000002E-2</v>
      </c>
      <c r="F28" s="21">
        <v>1.4999999999999999E-2</v>
      </c>
      <c r="G28" s="68">
        <v>0.01</v>
      </c>
      <c r="H28" s="65"/>
      <c r="I28" s="20">
        <v>5.0000000000000001E-3</v>
      </c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17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ht="15.75" customHeight="1" x14ac:dyDescent="0.25">
      <c r="C29" s="22"/>
      <c r="E29" s="13"/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7">
        <v>4</v>
      </c>
      <c r="B30" s="7" t="s">
        <v>42</v>
      </c>
      <c r="C30" s="8">
        <f>SUM(C31:C35)</f>
        <v>0.3</v>
      </c>
      <c r="D30" s="56">
        <f>C30*C3</f>
        <v>28350000</v>
      </c>
      <c r="E30" s="24"/>
      <c r="F30" s="25"/>
      <c r="G30" s="27"/>
      <c r="H30" s="25"/>
      <c r="I30" s="25"/>
      <c r="J30" s="25"/>
      <c r="K30" s="27"/>
      <c r="L30" s="25"/>
      <c r="M30" s="27"/>
      <c r="N30" s="25"/>
      <c r="O30" s="27"/>
      <c r="P30" s="25"/>
      <c r="Q30" s="27"/>
      <c r="R30" s="25"/>
      <c r="S30" s="27"/>
      <c r="T30" s="25"/>
      <c r="U30" s="27"/>
      <c r="V30" s="25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5.75" customHeight="1" x14ac:dyDescent="0.25">
      <c r="A31" s="11">
        <v>1</v>
      </c>
      <c r="B31" s="11" t="s">
        <v>47</v>
      </c>
      <c r="C31" s="12">
        <v>0.06</v>
      </c>
      <c r="D31" s="12"/>
      <c r="E31" s="84">
        <f t="shared" ref="E31:E35" si="3">SUM(F31:AG31)</f>
        <v>0</v>
      </c>
      <c r="F31" s="21"/>
      <c r="G31" s="17"/>
      <c r="H31" s="21"/>
      <c r="I31" s="21"/>
      <c r="J31" s="21"/>
      <c r="K31" s="17"/>
      <c r="L31" s="21"/>
      <c r="M31" s="15"/>
      <c r="N31" s="21"/>
      <c r="O31" s="17"/>
      <c r="P31" s="65"/>
      <c r="Q31" s="67"/>
      <c r="R31" s="21"/>
      <c r="S31" s="17"/>
      <c r="T31" s="21"/>
      <c r="U31" s="15"/>
      <c r="V31" s="21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2</v>
      </c>
      <c r="B32" s="11" t="s">
        <v>48</v>
      </c>
      <c r="C32" s="12">
        <v>0.06</v>
      </c>
      <c r="D32" s="12"/>
      <c r="E32" s="84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68"/>
      <c r="P32" s="20"/>
      <c r="Q32" s="67"/>
      <c r="R32" s="20"/>
      <c r="S32" s="15"/>
      <c r="T32" s="20"/>
      <c r="U32" s="15"/>
      <c r="V32" s="20"/>
      <c r="W32" s="17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3</v>
      </c>
      <c r="B33" s="11" t="s">
        <v>49</v>
      </c>
      <c r="C33" s="12">
        <v>0.06</v>
      </c>
      <c r="D33" s="12"/>
      <c r="E33" s="84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68"/>
      <c r="P33" s="20"/>
      <c r="Q33" s="67"/>
      <c r="R33" s="20"/>
      <c r="S33" s="17"/>
      <c r="T33" s="20"/>
      <c r="U33" s="15"/>
      <c r="V33" s="20"/>
      <c r="W33" s="17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ht="15.75" customHeight="1" x14ac:dyDescent="0.25">
      <c r="A34" s="11">
        <v>4</v>
      </c>
      <c r="B34" s="11" t="s">
        <v>50</v>
      </c>
      <c r="C34" s="12">
        <v>0.06</v>
      </c>
      <c r="D34" s="12"/>
      <c r="E34" s="84">
        <f t="shared" si="3"/>
        <v>0</v>
      </c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0"/>
      <c r="Q34" s="67"/>
      <c r="R34" s="20"/>
      <c r="S34" s="17"/>
      <c r="T34" s="20"/>
      <c r="U34" s="17"/>
      <c r="V34" s="20"/>
      <c r="W34" s="15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.75" customHeight="1" x14ac:dyDescent="0.25">
      <c r="A35" s="11">
        <v>5</v>
      </c>
      <c r="B35" s="11" t="s">
        <v>51</v>
      </c>
      <c r="C35" s="12">
        <v>0.06</v>
      </c>
      <c r="D35" s="22"/>
      <c r="E35" s="84">
        <f t="shared" si="3"/>
        <v>0</v>
      </c>
      <c r="F35" s="21"/>
      <c r="G35" s="17"/>
      <c r="H35" s="21"/>
      <c r="I35" s="21"/>
      <c r="J35" s="21"/>
      <c r="K35" s="17"/>
      <c r="L35" s="21"/>
      <c r="M35" s="17"/>
      <c r="N35" s="21"/>
      <c r="O35" s="68"/>
      <c r="P35" s="65"/>
      <c r="Q35" s="67"/>
      <c r="R35" s="21"/>
      <c r="S35" s="17"/>
      <c r="T35" s="21"/>
      <c r="U35" s="17"/>
      <c r="V35" s="20"/>
      <c r="W35" s="15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5.75" customHeight="1" x14ac:dyDescent="0.25">
      <c r="A36" s="31"/>
      <c r="C36" s="12"/>
      <c r="E36" s="13"/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7">
        <v>5</v>
      </c>
      <c r="B37" s="7" t="s">
        <v>46</v>
      </c>
      <c r="C37" s="8">
        <f>SUM(C38:C40)</f>
        <v>0.12000000000000001</v>
      </c>
      <c r="D37" s="56">
        <f>C37*C3</f>
        <v>11340000</v>
      </c>
      <c r="E37" s="24"/>
      <c r="F37" s="25"/>
      <c r="G37" s="27"/>
      <c r="H37" s="25"/>
      <c r="I37" s="25"/>
      <c r="J37" s="25"/>
      <c r="K37" s="27"/>
      <c r="L37" s="25"/>
      <c r="M37" s="27"/>
      <c r="N37" s="25"/>
      <c r="O37" s="27"/>
      <c r="P37" s="25"/>
      <c r="Q37" s="27"/>
      <c r="R37" s="25"/>
      <c r="S37" s="27"/>
      <c r="T37" s="25"/>
      <c r="U37" s="27"/>
      <c r="V37" s="25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15.75" customHeight="1" x14ac:dyDescent="0.25">
      <c r="A38" s="11">
        <v>1</v>
      </c>
      <c r="B38" s="11" t="s">
        <v>52</v>
      </c>
      <c r="C38" s="12">
        <v>0.02</v>
      </c>
      <c r="D38" s="12"/>
      <c r="E38" s="84">
        <f t="shared" ref="E38:E40" si="4">SUM(F38:AG38)</f>
        <v>0.02</v>
      </c>
      <c r="F38" s="21"/>
      <c r="G38" s="67">
        <v>0.02</v>
      </c>
      <c r="H38" s="21"/>
      <c r="I38" s="21"/>
      <c r="J38" s="21"/>
      <c r="K38" s="17"/>
      <c r="L38" s="21"/>
      <c r="M38" s="17"/>
      <c r="N38" s="21"/>
      <c r="O38" s="17"/>
      <c r="P38" s="21"/>
      <c r="Q38" s="15"/>
      <c r="R38" s="21"/>
      <c r="S38" s="17"/>
      <c r="T38" s="21"/>
      <c r="U38" s="17"/>
      <c r="V38" s="21"/>
      <c r="W38" s="30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5.75" customHeight="1" x14ac:dyDescent="0.25">
      <c r="A39" s="11">
        <v>2</v>
      </c>
      <c r="B39" s="11" t="s">
        <v>53</v>
      </c>
      <c r="C39" s="12">
        <v>0.05</v>
      </c>
      <c r="D39" s="12"/>
      <c r="E39" s="84">
        <f t="shared" si="4"/>
        <v>3.5000000000000003E-2</v>
      </c>
      <c r="F39" s="21"/>
      <c r="G39" s="17"/>
      <c r="H39" s="21">
        <v>2.5000000000000001E-2</v>
      </c>
      <c r="I39" s="21">
        <v>0.01</v>
      </c>
      <c r="J39" s="21"/>
      <c r="K39" s="17"/>
      <c r="L39" s="21"/>
      <c r="M39" s="17"/>
      <c r="N39" s="21"/>
      <c r="O39" s="17"/>
      <c r="P39" s="21"/>
      <c r="Q39" s="17"/>
      <c r="R39" s="21"/>
      <c r="S39" s="15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3</v>
      </c>
      <c r="B40" s="11" t="s">
        <v>54</v>
      </c>
      <c r="C40" s="12">
        <v>0.05</v>
      </c>
      <c r="D40" s="12"/>
      <c r="E40" s="84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C41" s="22"/>
      <c r="D41" s="22"/>
      <c r="E41" s="60"/>
      <c r="F41" s="61"/>
      <c r="G41" s="17"/>
      <c r="H41" s="61"/>
      <c r="I41" s="61"/>
      <c r="J41" s="61"/>
      <c r="K41" s="17"/>
      <c r="L41" s="61"/>
      <c r="M41" s="17"/>
      <c r="N41" s="61"/>
      <c r="O41" s="17"/>
      <c r="P41" s="61"/>
      <c r="Q41" s="17"/>
      <c r="R41" s="61"/>
      <c r="S41" s="17"/>
      <c r="T41" s="61"/>
      <c r="U41" s="17"/>
      <c r="V41" s="61"/>
      <c r="W41" s="17"/>
      <c r="X41" s="62"/>
      <c r="Y41" s="62"/>
      <c r="Z41" s="62"/>
      <c r="AA41" s="62"/>
      <c r="AB41" s="62"/>
      <c r="AC41" s="62"/>
      <c r="AD41" s="62"/>
      <c r="AE41" s="62"/>
      <c r="AF41" s="62"/>
      <c r="AG41" s="62"/>
    </row>
    <row r="42" spans="1:33" ht="15.75" customHeight="1" x14ac:dyDescent="0.25">
      <c r="A42" s="7">
        <v>6</v>
      </c>
      <c r="B42" s="7" t="s">
        <v>55</v>
      </c>
      <c r="C42" s="8">
        <f>SUM(C43:C48)</f>
        <v>0.32</v>
      </c>
      <c r="D42" s="59">
        <f>C42*C3</f>
        <v>30240000</v>
      </c>
      <c r="E42" s="24"/>
      <c r="F42" s="25"/>
      <c r="G42" s="27"/>
      <c r="H42" s="25"/>
      <c r="I42" s="25"/>
      <c r="J42" s="25"/>
      <c r="K42" s="27"/>
      <c r="L42" s="25"/>
      <c r="M42" s="27"/>
      <c r="N42" s="25"/>
      <c r="O42" s="27"/>
      <c r="P42" s="25"/>
      <c r="Q42" s="27"/>
      <c r="R42" s="25"/>
      <c r="S42" s="27"/>
      <c r="T42" s="25"/>
      <c r="U42" s="27"/>
      <c r="V42" s="25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5">
      <c r="A43" s="11">
        <v>1</v>
      </c>
      <c r="B43" s="11" t="s">
        <v>56</v>
      </c>
      <c r="C43" s="12">
        <v>0.06</v>
      </c>
      <c r="D43" s="12"/>
      <c r="E43" s="84">
        <f t="shared" ref="E43:E48" si="5">SUM(F43:AG43)</f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5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A44" s="11">
        <v>2</v>
      </c>
      <c r="B44" s="11" t="s">
        <v>57</v>
      </c>
      <c r="C44" s="12">
        <v>0.06</v>
      </c>
      <c r="D44" s="12"/>
      <c r="E44" s="84">
        <f t="shared" si="5"/>
        <v>0</v>
      </c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5"/>
      <c r="T44" s="21"/>
      <c r="U44" s="17"/>
      <c r="V44" s="21"/>
      <c r="W44" s="30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5.75" customHeight="1" x14ac:dyDescent="0.25">
      <c r="A45" s="11">
        <v>4</v>
      </c>
      <c r="B45" s="11" t="s">
        <v>63</v>
      </c>
      <c r="C45" s="12">
        <v>0.06</v>
      </c>
      <c r="D45" s="12"/>
      <c r="E45" s="84">
        <f t="shared" si="5"/>
        <v>0</v>
      </c>
      <c r="F45" s="21"/>
      <c r="G45" s="17"/>
      <c r="H45" s="21"/>
      <c r="I45" s="21"/>
      <c r="J45" s="21"/>
      <c r="K45" s="17"/>
      <c r="L45" s="21"/>
      <c r="M45" s="17"/>
      <c r="N45" s="21"/>
      <c r="O45" s="17"/>
      <c r="P45" s="21"/>
      <c r="Q45" s="17"/>
      <c r="R45" s="21"/>
      <c r="S45" s="17"/>
      <c r="T45" s="21"/>
      <c r="U45" s="17"/>
      <c r="V45" s="21"/>
      <c r="W45" s="30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5.75" customHeight="1" x14ac:dyDescent="0.25">
      <c r="A46" s="11">
        <v>5</v>
      </c>
      <c r="B46" s="11" t="s">
        <v>58</v>
      </c>
      <c r="C46" s="12">
        <v>0.03</v>
      </c>
      <c r="D46" s="12"/>
      <c r="E46" s="84">
        <f t="shared" si="5"/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7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63">
        <v>6</v>
      </c>
      <c r="B47" s="63" t="s">
        <v>62</v>
      </c>
      <c r="C47" s="64">
        <v>0.06</v>
      </c>
      <c r="D47" s="22"/>
      <c r="E47" s="84">
        <f t="shared" si="5"/>
        <v>0.06</v>
      </c>
      <c r="F47" s="21"/>
      <c r="G47" s="17">
        <v>0.03</v>
      </c>
      <c r="H47" s="21">
        <v>1.4999999999999999E-2</v>
      </c>
      <c r="I47" s="20">
        <v>1.4999999999999999E-2</v>
      </c>
      <c r="J47" s="21"/>
      <c r="K47" s="17"/>
      <c r="L47" s="21"/>
      <c r="M47" s="17"/>
      <c r="N47" s="21"/>
      <c r="O47" s="17"/>
      <c r="P47" s="21"/>
      <c r="Q47" s="17"/>
      <c r="R47" s="21"/>
      <c r="S47" s="17"/>
      <c r="T47" s="21"/>
      <c r="U47" s="17"/>
      <c r="V47" s="21"/>
      <c r="W47" s="17"/>
      <c r="X47" s="57"/>
      <c r="Y47" s="19"/>
      <c r="Z47" s="57"/>
      <c r="AA47" s="19"/>
      <c r="AB47" s="57"/>
      <c r="AC47" s="19"/>
      <c r="AD47" s="57"/>
      <c r="AE47" s="19"/>
      <c r="AF47" s="57"/>
      <c r="AG47" s="19"/>
    </row>
    <row r="48" spans="1:33" ht="15.75" customHeight="1" x14ac:dyDescent="0.25">
      <c r="A48" s="11">
        <v>7</v>
      </c>
      <c r="B48" s="11" t="s">
        <v>66</v>
      </c>
      <c r="C48" s="12">
        <v>0.05</v>
      </c>
      <c r="D48" s="22"/>
      <c r="E48" s="84">
        <f t="shared" si="5"/>
        <v>0.05</v>
      </c>
      <c r="F48" s="61"/>
      <c r="G48" s="17"/>
      <c r="H48" s="61">
        <v>0.05</v>
      </c>
      <c r="I48" s="61"/>
      <c r="J48" s="61"/>
      <c r="K48" s="17"/>
      <c r="L48" s="61"/>
      <c r="M48" s="17"/>
      <c r="N48" s="61"/>
      <c r="O48" s="17"/>
      <c r="P48" s="61"/>
      <c r="Q48" s="17"/>
      <c r="R48" s="61"/>
      <c r="S48" s="17"/>
      <c r="T48" s="61"/>
      <c r="U48" s="17"/>
      <c r="V48" s="61"/>
      <c r="W48" s="17"/>
      <c r="X48" s="57"/>
      <c r="Y48" s="62"/>
      <c r="Z48" s="57"/>
      <c r="AA48" s="62"/>
      <c r="AB48" s="57"/>
      <c r="AC48" s="62"/>
      <c r="AD48" s="57"/>
      <c r="AE48" s="62"/>
      <c r="AF48" s="57"/>
      <c r="AG48" s="62"/>
    </row>
    <row r="49" spans="1:33" ht="15.75" customHeight="1" thickBot="1" x14ac:dyDescent="0.3">
      <c r="C49" s="22"/>
      <c r="D49" s="22"/>
      <c r="E49" s="60"/>
      <c r="F49" s="61"/>
      <c r="G49" s="17"/>
      <c r="H49" s="61"/>
      <c r="I49" s="61"/>
      <c r="J49" s="61"/>
      <c r="K49" s="17"/>
      <c r="L49" s="61"/>
      <c r="M49" s="17"/>
      <c r="N49" s="61"/>
      <c r="O49" s="17"/>
      <c r="P49" s="61"/>
      <c r="Q49" s="17"/>
      <c r="R49" s="61"/>
      <c r="S49" s="17"/>
      <c r="T49" s="61"/>
      <c r="U49" s="17"/>
      <c r="V49" s="61"/>
      <c r="W49" s="17"/>
      <c r="X49" s="57"/>
      <c r="Y49" s="62"/>
      <c r="Z49" s="57"/>
      <c r="AA49" s="62"/>
      <c r="AB49" s="57"/>
      <c r="AC49" s="62"/>
      <c r="AD49" s="57"/>
      <c r="AE49" s="62"/>
      <c r="AF49" s="57"/>
      <c r="AG49" s="62"/>
    </row>
    <row r="50" spans="1:33" ht="15.75" customHeight="1" thickBot="1" x14ac:dyDescent="0.35">
      <c r="A50" s="32"/>
      <c r="B50" s="33" t="s">
        <v>23</v>
      </c>
      <c r="C50" s="34">
        <f>SUM(C7+C15+C22+C30+C37+C42)</f>
        <v>1</v>
      </c>
      <c r="D50" s="34"/>
      <c r="E50" s="35">
        <f>SUM(F50:AG50)</f>
        <v>0.39</v>
      </c>
      <c r="F50" s="58">
        <f t="shared" ref="F50:AG50" si="6">SUM(F8:F48)</f>
        <v>0.09</v>
      </c>
      <c r="G50" s="58">
        <f t="shared" si="6"/>
        <v>0.1225</v>
      </c>
      <c r="H50" s="58">
        <f t="shared" si="6"/>
        <v>0.09</v>
      </c>
      <c r="I50" s="58">
        <f t="shared" si="6"/>
        <v>8.7499999999999994E-2</v>
      </c>
      <c r="J50" s="58">
        <f t="shared" si="6"/>
        <v>0</v>
      </c>
      <c r="K50" s="58">
        <f t="shared" si="6"/>
        <v>0</v>
      </c>
      <c r="L50" s="58">
        <f t="shared" si="6"/>
        <v>0</v>
      </c>
      <c r="M50" s="58">
        <f t="shared" si="6"/>
        <v>0</v>
      </c>
      <c r="N50" s="58">
        <f t="shared" si="6"/>
        <v>0</v>
      </c>
      <c r="O50" s="58">
        <f t="shared" si="6"/>
        <v>0</v>
      </c>
      <c r="P50" s="58">
        <f t="shared" si="6"/>
        <v>0</v>
      </c>
      <c r="Q50" s="58">
        <f t="shared" si="6"/>
        <v>0</v>
      </c>
      <c r="R50" s="58">
        <f t="shared" si="6"/>
        <v>0</v>
      </c>
      <c r="S50" s="58">
        <f t="shared" si="6"/>
        <v>0</v>
      </c>
      <c r="T50" s="58">
        <f t="shared" si="6"/>
        <v>0</v>
      </c>
      <c r="U50" s="58">
        <f t="shared" si="6"/>
        <v>0</v>
      </c>
      <c r="V50" s="58">
        <f t="shared" si="6"/>
        <v>0</v>
      </c>
      <c r="W50" s="58">
        <f t="shared" si="6"/>
        <v>0</v>
      </c>
      <c r="X50" s="58">
        <f t="shared" si="6"/>
        <v>0</v>
      </c>
      <c r="Y50" s="58">
        <f t="shared" si="6"/>
        <v>0</v>
      </c>
      <c r="Z50" s="58">
        <f t="shared" si="6"/>
        <v>0</v>
      </c>
      <c r="AA50" s="58">
        <f t="shared" si="6"/>
        <v>0</v>
      </c>
      <c r="AB50" s="58">
        <f t="shared" si="6"/>
        <v>0</v>
      </c>
      <c r="AC50" s="58">
        <f t="shared" si="6"/>
        <v>0</v>
      </c>
      <c r="AD50" s="58">
        <f t="shared" si="6"/>
        <v>0</v>
      </c>
      <c r="AE50" s="58">
        <f t="shared" si="6"/>
        <v>0</v>
      </c>
      <c r="AF50" s="58">
        <f t="shared" si="6"/>
        <v>0</v>
      </c>
      <c r="AG50" s="58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92" t="s">
        <v>24</v>
      </c>
      <c r="B52" s="93"/>
      <c r="C52" s="93"/>
      <c r="D52" s="93"/>
      <c r="E52" s="94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03" t="s">
        <v>25</v>
      </c>
      <c r="B54" s="93"/>
      <c r="C54" s="93"/>
      <c r="D54" s="93"/>
      <c r="E54" s="94"/>
      <c r="F54" s="40">
        <f>C3+(C3*F52)</f>
        <v>94500000</v>
      </c>
      <c r="G54" s="40">
        <f t="shared" ref="G54:AG54" si="7">F54+(F54*G52)</f>
        <v>94500000</v>
      </c>
      <c r="H54" s="40">
        <f t="shared" si="7"/>
        <v>94500000</v>
      </c>
      <c r="I54" s="40">
        <f t="shared" si="7"/>
        <v>94500000</v>
      </c>
      <c r="J54" s="40">
        <f t="shared" si="7"/>
        <v>94500000</v>
      </c>
      <c r="K54" s="40">
        <f t="shared" si="7"/>
        <v>94500000</v>
      </c>
      <c r="L54" s="40">
        <f t="shared" si="7"/>
        <v>94500000</v>
      </c>
      <c r="M54" s="40">
        <f t="shared" si="7"/>
        <v>94500000</v>
      </c>
      <c r="N54" s="40">
        <f t="shared" si="7"/>
        <v>94500000</v>
      </c>
      <c r="O54" s="40">
        <f t="shared" si="7"/>
        <v>94500000</v>
      </c>
      <c r="P54" s="40">
        <f t="shared" si="7"/>
        <v>94500000</v>
      </c>
      <c r="Q54" s="40">
        <f t="shared" si="7"/>
        <v>94500000</v>
      </c>
      <c r="R54" s="40">
        <f t="shared" si="7"/>
        <v>94500000</v>
      </c>
      <c r="S54" s="40">
        <f t="shared" si="7"/>
        <v>94500000</v>
      </c>
      <c r="T54" s="40">
        <f t="shared" si="7"/>
        <v>94500000</v>
      </c>
      <c r="U54" s="40">
        <f t="shared" si="7"/>
        <v>94500000</v>
      </c>
      <c r="V54" s="40">
        <f t="shared" si="7"/>
        <v>94500000</v>
      </c>
      <c r="W54" s="40">
        <f t="shared" si="7"/>
        <v>94500000</v>
      </c>
      <c r="X54" s="40">
        <f t="shared" si="7"/>
        <v>94500000</v>
      </c>
      <c r="Y54" s="40">
        <f t="shared" si="7"/>
        <v>94500000</v>
      </c>
      <c r="Z54" s="40">
        <f t="shared" si="7"/>
        <v>94500000</v>
      </c>
      <c r="AA54" s="40">
        <f t="shared" si="7"/>
        <v>94500000</v>
      </c>
      <c r="AB54" s="40">
        <f t="shared" si="7"/>
        <v>94500000</v>
      </c>
      <c r="AC54" s="40">
        <f t="shared" si="7"/>
        <v>94500000</v>
      </c>
      <c r="AD54" s="40">
        <f t="shared" si="7"/>
        <v>94500000</v>
      </c>
      <c r="AE54" s="40">
        <f t="shared" si="7"/>
        <v>94500000</v>
      </c>
      <c r="AF54" s="40">
        <f t="shared" si="7"/>
        <v>94500000</v>
      </c>
      <c r="AG54" s="40">
        <f t="shared" si="7"/>
        <v>94500000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00" t="s">
        <v>26</v>
      </c>
      <c r="B56" s="93"/>
      <c r="C56" s="93"/>
      <c r="D56" s="93"/>
      <c r="E56" s="94"/>
      <c r="F56" s="41">
        <f t="shared" ref="F56:AG56" si="8">F50*F54</f>
        <v>8505000</v>
      </c>
      <c r="G56" s="41">
        <f t="shared" si="8"/>
        <v>11576250</v>
      </c>
      <c r="H56" s="41">
        <f t="shared" si="8"/>
        <v>8505000</v>
      </c>
      <c r="I56" s="41">
        <f t="shared" si="8"/>
        <v>8268749.9999999991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99" t="s">
        <v>27</v>
      </c>
      <c r="B58" s="93"/>
      <c r="C58" s="93"/>
      <c r="D58" s="93"/>
      <c r="E58" s="94"/>
      <c r="F58" s="42">
        <f>F56-(F56*D4)</f>
        <v>7155000</v>
      </c>
      <c r="G58" s="43">
        <f>G56-(G56*D4)</f>
        <v>9738750</v>
      </c>
      <c r="H58" s="43">
        <f>H56-(H56*D4)</f>
        <v>7155000</v>
      </c>
      <c r="I58" s="43">
        <f>I56-(I56*D4)</f>
        <v>6956249.9999999991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92" t="s">
        <v>28</v>
      </c>
      <c r="B60" s="93"/>
      <c r="C60" s="93"/>
      <c r="D60" s="93"/>
      <c r="E60" s="94"/>
      <c r="F60" s="45">
        <f>F54-F58-C4</f>
        <v>72345000</v>
      </c>
      <c r="G60" s="45">
        <f t="shared" ref="G60:AG60" si="9">(F60+(F60*G52))-G58</f>
        <v>62606250</v>
      </c>
      <c r="H60" s="46">
        <f t="shared" si="9"/>
        <v>55451250</v>
      </c>
      <c r="I60" s="46">
        <f t="shared" si="9"/>
        <v>48495000</v>
      </c>
      <c r="J60" s="45">
        <f t="shared" si="9"/>
        <v>48495000</v>
      </c>
      <c r="K60" s="45">
        <f t="shared" si="9"/>
        <v>48495000</v>
      </c>
      <c r="L60" s="45">
        <f t="shared" si="9"/>
        <v>48495000</v>
      </c>
      <c r="M60" s="45">
        <f t="shared" si="9"/>
        <v>48495000</v>
      </c>
      <c r="N60" s="45">
        <f t="shared" si="9"/>
        <v>48495000</v>
      </c>
      <c r="O60" s="45">
        <f t="shared" si="9"/>
        <v>48495000</v>
      </c>
      <c r="P60" s="45">
        <f t="shared" si="9"/>
        <v>48495000</v>
      </c>
      <c r="Q60" s="45">
        <f t="shared" si="9"/>
        <v>48495000</v>
      </c>
      <c r="R60" s="45">
        <f t="shared" si="9"/>
        <v>48495000</v>
      </c>
      <c r="S60" s="45">
        <f t="shared" si="9"/>
        <v>48495000</v>
      </c>
      <c r="T60" s="45">
        <f t="shared" si="9"/>
        <v>48495000</v>
      </c>
      <c r="U60" s="45">
        <f t="shared" si="9"/>
        <v>48495000</v>
      </c>
      <c r="V60" s="45">
        <f t="shared" si="9"/>
        <v>48495000</v>
      </c>
      <c r="W60" s="45">
        <f t="shared" si="9"/>
        <v>48495000</v>
      </c>
      <c r="X60" s="45">
        <f t="shared" si="9"/>
        <v>48495000</v>
      </c>
      <c r="Y60" s="45">
        <f t="shared" si="9"/>
        <v>48495000</v>
      </c>
      <c r="Z60" s="45">
        <f t="shared" si="9"/>
        <v>48495000</v>
      </c>
      <c r="AA60" s="45">
        <f t="shared" si="9"/>
        <v>48495000</v>
      </c>
      <c r="AB60" s="45">
        <f t="shared" si="9"/>
        <v>48495000</v>
      </c>
      <c r="AC60" s="45">
        <f t="shared" si="9"/>
        <v>48495000</v>
      </c>
      <c r="AD60" s="45">
        <f t="shared" si="9"/>
        <v>48495000</v>
      </c>
      <c r="AE60" s="45">
        <f t="shared" si="9"/>
        <v>48495000</v>
      </c>
      <c r="AF60" s="45">
        <f t="shared" si="9"/>
        <v>48495000</v>
      </c>
      <c r="AG60" s="45">
        <f t="shared" si="9"/>
        <v>48495000</v>
      </c>
    </row>
    <row r="61" spans="1:33" ht="15.75" customHeight="1" thickBot="1" x14ac:dyDescent="0.3">
      <c r="L61" s="47"/>
      <c r="M61" s="48"/>
      <c r="N61" s="48"/>
      <c r="O61" s="47"/>
      <c r="P61" s="48"/>
      <c r="Q61" s="48"/>
      <c r="U61" s="48"/>
      <c r="W61" s="47"/>
    </row>
    <row r="62" spans="1:33" ht="15.75" customHeight="1" thickBot="1" x14ac:dyDescent="0.3">
      <c r="A62" s="92" t="s">
        <v>65</v>
      </c>
      <c r="B62" s="93"/>
      <c r="C62" s="93"/>
      <c r="D62" s="93"/>
      <c r="E62" s="94"/>
      <c r="F62" s="48">
        <v>7264588</v>
      </c>
      <c r="G62" s="89">
        <v>8000000</v>
      </c>
      <c r="H62" s="90"/>
      <c r="I62" s="90"/>
      <c r="J62" s="90"/>
      <c r="K62" s="90"/>
      <c r="L62" s="47"/>
      <c r="M62" s="50"/>
      <c r="N62" s="50"/>
      <c r="O62" s="51"/>
      <c r="P62" s="52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7">
    <mergeCell ref="AB6:AC6"/>
    <mergeCell ref="AD6:AE6"/>
    <mergeCell ref="AF6:AG6"/>
    <mergeCell ref="A52:E52"/>
    <mergeCell ref="A54:E54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A2:B2"/>
    <mergeCell ref="A3:B3"/>
    <mergeCell ref="A4:B4"/>
    <mergeCell ref="F5:G5"/>
    <mergeCell ref="H5:I5"/>
    <mergeCell ref="A62:E62"/>
    <mergeCell ref="P5:Q5"/>
    <mergeCell ref="R5:S5"/>
    <mergeCell ref="T5:U5"/>
    <mergeCell ref="V5:W5"/>
    <mergeCell ref="J5:K5"/>
    <mergeCell ref="J6:K6"/>
    <mergeCell ref="L6:M6"/>
    <mergeCell ref="N6:O6"/>
    <mergeCell ref="L5:M5"/>
    <mergeCell ref="N5:O5"/>
    <mergeCell ref="A58:E58"/>
    <mergeCell ref="A60:E60"/>
    <mergeCell ref="A56:E56"/>
  </mergeCells>
  <printOptions horizontalCentered="1" verticalCentered="1" gridLines="1"/>
  <pageMargins left="0.25" right="0.25" top="0.75" bottom="0.75" header="0" footer="0"/>
  <pageSetup paperSize="8" scale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G1001"/>
  <sheetViews>
    <sheetView topLeftCell="A15" zoomScale="85" zoomScaleNormal="85" workbookViewId="0">
      <pane xSplit="3" topLeftCell="D1" activePane="topRight" state="frozen"/>
      <selection pane="topRight" activeCell="H67" sqref="H6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3" width="16.85546875" customWidth="1"/>
    <col min="4" max="4" width="18.140625" bestFit="1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</cols>
  <sheetData>
    <row r="1" spans="1:33" ht="30" customHeight="1" x14ac:dyDescent="0.25">
      <c r="A1" s="1"/>
      <c r="B1" s="83" t="s">
        <v>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01" t="s">
        <v>0</v>
      </c>
      <c r="B2" s="102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01" t="s">
        <v>1</v>
      </c>
      <c r="B3" s="102"/>
      <c r="C3" s="5">
        <v>94500000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01" t="s">
        <v>2</v>
      </c>
      <c r="B4" s="102"/>
      <c r="C4" s="5">
        <v>15000000</v>
      </c>
      <c r="D4" s="55">
        <f>C4/C3</f>
        <v>0.15873015873015872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95" t="s">
        <v>30</v>
      </c>
      <c r="G5" s="96"/>
      <c r="H5" s="95" t="s">
        <v>31</v>
      </c>
      <c r="I5" s="96"/>
      <c r="J5" s="95" t="s">
        <v>32</v>
      </c>
      <c r="K5" s="96"/>
      <c r="L5" s="95" t="s">
        <v>33</v>
      </c>
      <c r="M5" s="96"/>
      <c r="N5" s="95" t="s">
        <v>34</v>
      </c>
      <c r="O5" s="96"/>
      <c r="P5" s="95" t="s">
        <v>35</v>
      </c>
      <c r="Q5" s="96"/>
      <c r="R5" s="95" t="s">
        <v>36</v>
      </c>
      <c r="S5" s="96"/>
      <c r="T5" s="95" t="s">
        <v>37</v>
      </c>
      <c r="U5" s="96"/>
      <c r="V5" s="95" t="s">
        <v>38</v>
      </c>
      <c r="W5" s="96"/>
      <c r="X5" s="95" t="s">
        <v>39</v>
      </c>
      <c r="Y5" s="96"/>
      <c r="Z5" s="95" t="s">
        <v>40</v>
      </c>
      <c r="AA5" s="96"/>
      <c r="AB5" s="95" t="s">
        <v>29</v>
      </c>
      <c r="AC5" s="96"/>
      <c r="AD5" s="95" t="s">
        <v>30</v>
      </c>
      <c r="AE5" s="96"/>
      <c r="AF5" s="95" t="s">
        <v>31</v>
      </c>
      <c r="AG5" s="96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41</v>
      </c>
      <c r="E6" s="2" t="s">
        <v>6</v>
      </c>
      <c r="F6" s="97" t="s">
        <v>7</v>
      </c>
      <c r="G6" s="98"/>
      <c r="H6" s="97" t="s">
        <v>8</v>
      </c>
      <c r="I6" s="98"/>
      <c r="J6" s="97" t="s">
        <v>9</v>
      </c>
      <c r="K6" s="98"/>
      <c r="L6" s="97" t="s">
        <v>10</v>
      </c>
      <c r="M6" s="98"/>
      <c r="N6" s="97" t="s">
        <v>11</v>
      </c>
      <c r="O6" s="98"/>
      <c r="P6" s="97" t="s">
        <v>12</v>
      </c>
      <c r="Q6" s="98"/>
      <c r="R6" s="97" t="s">
        <v>13</v>
      </c>
      <c r="S6" s="98"/>
      <c r="T6" s="97" t="s">
        <v>14</v>
      </c>
      <c r="U6" s="98"/>
      <c r="V6" s="97" t="s">
        <v>15</v>
      </c>
      <c r="W6" s="98"/>
      <c r="X6" s="97" t="s">
        <v>16</v>
      </c>
      <c r="Y6" s="98"/>
      <c r="Z6" s="97" t="s">
        <v>17</v>
      </c>
      <c r="AA6" s="98"/>
      <c r="AB6" s="97" t="s">
        <v>18</v>
      </c>
      <c r="AC6" s="98"/>
      <c r="AD6" s="97" t="s">
        <v>19</v>
      </c>
      <c r="AE6" s="98"/>
      <c r="AF6" s="97" t="s">
        <v>20</v>
      </c>
      <c r="AG6" s="98"/>
    </row>
    <row r="7" spans="1:33" ht="16.5" thickBot="1" x14ac:dyDescent="0.3">
      <c r="A7" s="7">
        <v>1</v>
      </c>
      <c r="B7" s="7" t="s">
        <v>43</v>
      </c>
      <c r="C7" s="8">
        <f>SUM(C8:C13)</f>
        <v>7.0000000000000007E-2</v>
      </c>
      <c r="D7" s="56">
        <f>C7*C3</f>
        <v>6615000.0000000009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21</v>
      </c>
      <c r="AA7" s="10" t="s">
        <v>22</v>
      </c>
      <c r="AB7" s="10" t="s">
        <v>21</v>
      </c>
      <c r="AC7" s="10" t="s">
        <v>22</v>
      </c>
      <c r="AD7" s="10" t="s">
        <v>21</v>
      </c>
      <c r="AE7" s="10" t="s">
        <v>22</v>
      </c>
      <c r="AF7" s="10" t="s">
        <v>21</v>
      </c>
      <c r="AG7" s="10" t="s">
        <v>22</v>
      </c>
    </row>
    <row r="8" spans="1:33" x14ac:dyDescent="0.25">
      <c r="A8" s="11">
        <v>1</v>
      </c>
      <c r="B8" s="11" t="s">
        <v>47</v>
      </c>
      <c r="C8" s="12">
        <v>0.01</v>
      </c>
      <c r="D8" s="12"/>
      <c r="E8" s="84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48</v>
      </c>
      <c r="C9" s="12">
        <v>0.01</v>
      </c>
      <c r="D9" s="12"/>
      <c r="E9" s="84">
        <f t="shared" ref="E9:E13" si="0">SUM(F9:AG9)</f>
        <v>5.0000000000000001E-3</v>
      </c>
      <c r="F9" s="20"/>
      <c r="G9" s="68">
        <v>5.0000000000000001E-3</v>
      </c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49</v>
      </c>
      <c r="C10" s="12">
        <v>0.01</v>
      </c>
      <c r="D10" s="12"/>
      <c r="E10" s="84">
        <f t="shared" si="0"/>
        <v>0.01</v>
      </c>
      <c r="F10" s="20"/>
      <c r="G10" s="15"/>
      <c r="H10" s="20"/>
      <c r="I10" s="20">
        <v>0.01</v>
      </c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50</v>
      </c>
      <c r="C11" s="12">
        <v>0.01</v>
      </c>
      <c r="D11" s="12"/>
      <c r="E11" s="84">
        <f t="shared" si="0"/>
        <v>0.01</v>
      </c>
      <c r="F11" s="20"/>
      <c r="G11" s="15"/>
      <c r="H11" s="20"/>
      <c r="I11" s="20">
        <v>0.01</v>
      </c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51</v>
      </c>
      <c r="C12" s="12">
        <v>0.01</v>
      </c>
      <c r="D12" s="12"/>
      <c r="E12" s="84">
        <f t="shared" si="0"/>
        <v>0.01</v>
      </c>
      <c r="F12" s="20"/>
      <c r="G12" s="15"/>
      <c r="H12" s="20"/>
      <c r="I12" s="20">
        <v>0.01</v>
      </c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A13" s="63">
        <v>7</v>
      </c>
      <c r="B13" s="63" t="s">
        <v>59</v>
      </c>
      <c r="C13" s="64">
        <v>0.02</v>
      </c>
      <c r="D13" s="22"/>
      <c r="E13" s="84">
        <f t="shared" si="0"/>
        <v>0</v>
      </c>
      <c r="F13" s="21"/>
      <c r="G13" s="66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x14ac:dyDescent="0.25">
      <c r="C14" s="22"/>
      <c r="D14" s="22"/>
      <c r="E14" s="60"/>
      <c r="F14" s="61"/>
      <c r="G14" s="23"/>
      <c r="H14" s="61"/>
      <c r="I14" s="61"/>
      <c r="J14" s="61"/>
      <c r="K14" s="17"/>
      <c r="L14" s="61"/>
      <c r="M14" s="17"/>
      <c r="N14" s="61"/>
      <c r="O14" s="17"/>
      <c r="P14" s="61"/>
      <c r="Q14" s="17"/>
      <c r="R14" s="61"/>
      <c r="S14" s="17"/>
      <c r="T14" s="61"/>
      <c r="U14" s="17"/>
      <c r="V14" s="61"/>
      <c r="W14" s="17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3" ht="15.75" x14ac:dyDescent="0.25">
      <c r="A15" s="7">
        <v>2</v>
      </c>
      <c r="B15" s="7" t="s">
        <v>44</v>
      </c>
      <c r="C15" s="8">
        <f>SUM(C16:C20)</f>
        <v>6.0000000000000005E-2</v>
      </c>
      <c r="D15" s="56">
        <f>C15*C3</f>
        <v>5670000</v>
      </c>
      <c r="E15" s="24"/>
      <c r="F15" s="25"/>
      <c r="G15" s="26"/>
      <c r="H15" s="25"/>
      <c r="I15" s="25"/>
      <c r="J15" s="25"/>
      <c r="K15" s="27"/>
      <c r="L15" s="25"/>
      <c r="M15" s="27"/>
      <c r="N15" s="25"/>
      <c r="O15" s="27"/>
      <c r="P15" s="25"/>
      <c r="Q15" s="27"/>
      <c r="R15" s="25"/>
      <c r="S15" s="27"/>
      <c r="T15" s="25"/>
      <c r="U15" s="27"/>
      <c r="V15" s="25"/>
      <c r="W15" s="27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x14ac:dyDescent="0.25">
      <c r="A16" s="11">
        <v>1</v>
      </c>
      <c r="B16" s="11" t="s">
        <v>47</v>
      </c>
      <c r="C16" s="12">
        <v>0.02</v>
      </c>
      <c r="D16" s="12"/>
      <c r="E16" s="84">
        <f t="shared" ref="E16:E20" si="1">SUM(F16:AG16)</f>
        <v>0.02</v>
      </c>
      <c r="F16" s="69">
        <v>5.0000000000000001E-3</v>
      </c>
      <c r="G16" s="68">
        <v>2.5000000000000001E-3</v>
      </c>
      <c r="H16" s="65"/>
      <c r="I16" s="20">
        <v>1.2500000000000001E-2</v>
      </c>
      <c r="J16" s="21"/>
      <c r="K16" s="15"/>
      <c r="L16" s="21"/>
      <c r="M16" s="17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2</v>
      </c>
      <c r="B17" s="11" t="s">
        <v>48</v>
      </c>
      <c r="C17" s="12">
        <v>0.01</v>
      </c>
      <c r="D17" s="12"/>
      <c r="E17" s="84">
        <f t="shared" si="1"/>
        <v>0.01</v>
      </c>
      <c r="F17" s="21">
        <v>5.0000000000000001E-3</v>
      </c>
      <c r="G17" s="15">
        <v>5.0000000000000001E-3</v>
      </c>
      <c r="H17" s="21"/>
      <c r="I17" s="20"/>
      <c r="J17" s="21"/>
      <c r="K17" s="17"/>
      <c r="L17" s="21"/>
      <c r="M17" s="15"/>
      <c r="N17" s="21"/>
      <c r="O17" s="17"/>
      <c r="P17" s="21"/>
      <c r="Q17" s="17"/>
      <c r="R17" s="21"/>
      <c r="S17" s="17"/>
      <c r="T17" s="21"/>
      <c r="U17" s="17"/>
      <c r="V17" s="21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3</v>
      </c>
      <c r="B18" s="11" t="s">
        <v>49</v>
      </c>
      <c r="C18" s="12">
        <v>0.01</v>
      </c>
      <c r="D18" s="12"/>
      <c r="E18" s="84">
        <f t="shared" si="1"/>
        <v>0.01</v>
      </c>
      <c r="F18" s="21">
        <v>5.0000000000000001E-3</v>
      </c>
      <c r="G18" s="67">
        <v>5.0000000000000001E-3</v>
      </c>
      <c r="H18" s="21"/>
      <c r="I18" s="65" t="s">
        <v>61</v>
      </c>
      <c r="J18" s="20"/>
      <c r="K18" s="17"/>
      <c r="L18" s="21"/>
      <c r="M18" s="17"/>
      <c r="N18" s="21"/>
      <c r="O18" s="17"/>
      <c r="P18" s="20"/>
      <c r="Q18" s="17"/>
      <c r="R18" s="20"/>
      <c r="S18" s="17"/>
      <c r="T18" s="20"/>
      <c r="U18" s="17"/>
      <c r="V18" s="20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4</v>
      </c>
      <c r="B19" s="11" t="s">
        <v>50</v>
      </c>
      <c r="C19" s="12">
        <v>0.01</v>
      </c>
      <c r="D19" s="12"/>
      <c r="E19" s="84">
        <f t="shared" si="1"/>
        <v>0.01</v>
      </c>
      <c r="F19" s="21">
        <v>5.0000000000000001E-3</v>
      </c>
      <c r="G19" s="67">
        <v>5.0000000000000001E-3</v>
      </c>
      <c r="H19" s="21"/>
      <c r="I19" s="21"/>
      <c r="J19" s="21"/>
      <c r="K19" s="17"/>
      <c r="L19" s="21"/>
      <c r="M19" s="15"/>
      <c r="N19" s="21"/>
      <c r="O19" s="17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>
        <v>5</v>
      </c>
      <c r="B20" s="11" t="s">
        <v>51</v>
      </c>
      <c r="C20" s="12">
        <v>0.01</v>
      </c>
      <c r="D20" s="12"/>
      <c r="E20" s="84">
        <f t="shared" si="1"/>
        <v>0.01</v>
      </c>
      <c r="F20" s="21">
        <v>5.0000000000000001E-3</v>
      </c>
      <c r="G20" s="67">
        <v>5.0000000000000001E-3</v>
      </c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customHeight="1" x14ac:dyDescent="0.25">
      <c r="C21" s="22"/>
      <c r="D21" s="22"/>
      <c r="E21" s="60"/>
      <c r="F21" s="61"/>
      <c r="G21" s="17"/>
      <c r="H21" s="61"/>
      <c r="I21" s="61"/>
      <c r="J21" s="61"/>
      <c r="K21" s="17"/>
      <c r="L21" s="61"/>
      <c r="M21" s="17"/>
      <c r="N21" s="61"/>
      <c r="O21" s="17"/>
      <c r="P21" s="61"/>
      <c r="Q21" s="17"/>
      <c r="R21" s="61"/>
      <c r="S21" s="17"/>
      <c r="T21" s="61"/>
      <c r="U21" s="17"/>
      <c r="V21" s="61"/>
      <c r="W21" s="17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1:33" ht="15.75" customHeight="1" x14ac:dyDescent="0.25">
      <c r="A22" s="7">
        <v>3</v>
      </c>
      <c r="B22" s="7" t="s">
        <v>45</v>
      </c>
      <c r="C22" s="8">
        <f>SUM(C23:C28)</f>
        <v>0.13</v>
      </c>
      <c r="D22" s="56">
        <f>C22*C3</f>
        <v>12285000</v>
      </c>
      <c r="E22" s="24"/>
      <c r="F22" s="25"/>
      <c r="G22" s="26"/>
      <c r="H22" s="25"/>
      <c r="I22" s="25"/>
      <c r="J22" s="25"/>
      <c r="K22" s="27"/>
      <c r="L22" s="25"/>
      <c r="M22" s="27"/>
      <c r="N22" s="25"/>
      <c r="O22" s="27"/>
      <c r="P22" s="25"/>
      <c r="Q22" s="27"/>
      <c r="R22" s="25"/>
      <c r="S22" s="27"/>
      <c r="T22" s="25"/>
      <c r="U22" s="27"/>
      <c r="V22" s="25"/>
      <c r="W22" s="27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1:33" ht="15.75" customHeight="1" x14ac:dyDescent="0.25">
      <c r="A23" s="11">
        <v>1</v>
      </c>
      <c r="B23" s="11" t="s">
        <v>47</v>
      </c>
      <c r="C23" s="12">
        <v>0.02</v>
      </c>
      <c r="D23" s="12"/>
      <c r="E23" s="84">
        <f t="shared" ref="E23:E28" si="2">SUM(F23:AG23)</f>
        <v>0.02</v>
      </c>
      <c r="F23" s="69">
        <v>0.01</v>
      </c>
      <c r="G23" s="68">
        <v>2.5000000000000001E-3</v>
      </c>
      <c r="H23" s="20"/>
      <c r="I23" s="20">
        <v>7.4999999999999997E-3</v>
      </c>
      <c r="J23" s="21"/>
      <c r="K23" s="15"/>
      <c r="L23" s="21"/>
      <c r="M23" s="17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ht="15.75" customHeight="1" x14ac:dyDescent="0.25">
      <c r="A24" s="11">
        <v>2</v>
      </c>
      <c r="B24" s="11" t="s">
        <v>48</v>
      </c>
      <c r="C24" s="12">
        <v>0.02</v>
      </c>
      <c r="D24" s="12"/>
      <c r="E24" s="84">
        <f t="shared" si="2"/>
        <v>0.02</v>
      </c>
      <c r="F24" s="21">
        <v>0.01</v>
      </c>
      <c r="G24" s="68">
        <v>2.5000000000000001E-3</v>
      </c>
      <c r="H24" s="65"/>
      <c r="I24" s="20">
        <v>7.4999999999999997E-3</v>
      </c>
      <c r="J24" s="21"/>
      <c r="K24" s="17"/>
      <c r="L24" s="21"/>
      <c r="M24" s="15"/>
      <c r="N24" s="21"/>
      <c r="O24" s="17"/>
      <c r="P24" s="21"/>
      <c r="Q24" s="17"/>
      <c r="R24" s="21"/>
      <c r="S24" s="17"/>
      <c r="T24" s="21"/>
      <c r="U24" s="17"/>
      <c r="V24" s="21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ht="15.75" customHeight="1" x14ac:dyDescent="0.25">
      <c r="A25" s="11">
        <v>3</v>
      </c>
      <c r="B25" s="11" t="s">
        <v>49</v>
      </c>
      <c r="C25" s="12">
        <v>0.02</v>
      </c>
      <c r="D25" s="12"/>
      <c r="E25" s="84">
        <f t="shared" si="2"/>
        <v>0.02</v>
      </c>
      <c r="F25" s="21">
        <v>0.01</v>
      </c>
      <c r="G25" s="67">
        <v>0.01</v>
      </c>
      <c r="H25" s="21"/>
      <c r="I25" s="20"/>
      <c r="J25" s="20"/>
      <c r="K25" s="17"/>
      <c r="L25" s="21"/>
      <c r="M25" s="17"/>
      <c r="N25" s="21"/>
      <c r="O25" s="17"/>
      <c r="P25" s="20"/>
      <c r="Q25" s="17"/>
      <c r="R25" s="20"/>
      <c r="S25" s="17"/>
      <c r="T25" s="20"/>
      <c r="U25" s="17"/>
      <c r="V25" s="20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ht="15.75" customHeight="1" x14ac:dyDescent="0.25">
      <c r="A26" s="11">
        <v>4</v>
      </c>
      <c r="B26" s="11" t="s">
        <v>50</v>
      </c>
      <c r="C26" s="12">
        <v>0.02</v>
      </c>
      <c r="D26" s="12"/>
      <c r="E26" s="84">
        <f t="shared" si="2"/>
        <v>0.02</v>
      </c>
      <c r="F26" s="21">
        <v>0.01</v>
      </c>
      <c r="G26" s="67">
        <v>0.01</v>
      </c>
      <c r="H26" s="21"/>
      <c r="I26" s="21"/>
      <c r="J26" s="21"/>
      <c r="K26" s="17"/>
      <c r="L26" s="21"/>
      <c r="M26" s="15"/>
      <c r="N26" s="21"/>
      <c r="O26" s="17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>
        <v>5</v>
      </c>
      <c r="B27" s="11" t="s">
        <v>51</v>
      </c>
      <c r="C27" s="12">
        <v>0.02</v>
      </c>
      <c r="D27" s="12"/>
      <c r="E27" s="84">
        <f t="shared" si="2"/>
        <v>0.02</v>
      </c>
      <c r="F27" s="21">
        <v>0.01</v>
      </c>
      <c r="G27" s="67">
        <v>0.01</v>
      </c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11">
        <v>6</v>
      </c>
      <c r="B28" s="63" t="s">
        <v>60</v>
      </c>
      <c r="C28" s="12">
        <v>0.03</v>
      </c>
      <c r="D28" s="12"/>
      <c r="E28" s="84">
        <f t="shared" si="2"/>
        <v>3.0000000000000002E-2</v>
      </c>
      <c r="F28" s="21">
        <v>1.4999999999999999E-2</v>
      </c>
      <c r="G28" s="68">
        <v>0.01</v>
      </c>
      <c r="H28" s="65"/>
      <c r="I28" s="20">
        <v>5.0000000000000001E-3</v>
      </c>
      <c r="J28" s="21"/>
      <c r="K28" s="17"/>
      <c r="L28" s="21"/>
      <c r="M28" s="17"/>
      <c r="N28" s="21"/>
      <c r="O28" s="17"/>
      <c r="P28" s="21"/>
      <c r="Q28" s="17"/>
      <c r="R28" s="21"/>
      <c r="S28" s="17"/>
      <c r="T28" s="21"/>
      <c r="U28" s="17"/>
      <c r="V28" s="21"/>
      <c r="W28" s="17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1:33" ht="15.75" customHeight="1" x14ac:dyDescent="0.25">
      <c r="C29" s="22"/>
      <c r="E29" s="13"/>
      <c r="F29" s="21"/>
      <c r="G29" s="17"/>
      <c r="H29" s="21"/>
      <c r="I29" s="21"/>
      <c r="J29" s="21"/>
      <c r="K29" s="17"/>
      <c r="L29" s="21"/>
      <c r="M29" s="17"/>
      <c r="N29" s="21"/>
      <c r="O29" s="17"/>
      <c r="P29" s="21"/>
      <c r="Q29" s="17"/>
      <c r="R29" s="21"/>
      <c r="S29" s="17"/>
      <c r="T29" s="21"/>
      <c r="U29" s="17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7">
        <v>4</v>
      </c>
      <c r="B30" s="7" t="s">
        <v>42</v>
      </c>
      <c r="C30" s="8">
        <f>SUM(C31:C35)</f>
        <v>0.3</v>
      </c>
      <c r="D30" s="56">
        <f>C30*C3</f>
        <v>28350000</v>
      </c>
      <c r="E30" s="24"/>
      <c r="F30" s="25"/>
      <c r="G30" s="27"/>
      <c r="H30" s="25"/>
      <c r="I30" s="25"/>
      <c r="J30" s="25"/>
      <c r="K30" s="27"/>
      <c r="L30" s="25"/>
      <c r="M30" s="27"/>
      <c r="N30" s="25"/>
      <c r="O30" s="27"/>
      <c r="P30" s="25"/>
      <c r="Q30" s="27"/>
      <c r="R30" s="25"/>
      <c r="S30" s="27"/>
      <c r="T30" s="25"/>
      <c r="U30" s="27"/>
      <c r="V30" s="25"/>
      <c r="W30" s="27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5.75" customHeight="1" x14ac:dyDescent="0.25">
      <c r="A31" s="11">
        <v>1</v>
      </c>
      <c r="B31" s="11" t="s">
        <v>47</v>
      </c>
      <c r="C31" s="12">
        <v>0.06</v>
      </c>
      <c r="D31" s="12"/>
      <c r="E31" s="84">
        <f t="shared" ref="E31:E35" si="3">SUM(F31:AG31)</f>
        <v>0</v>
      </c>
      <c r="F31" s="21"/>
      <c r="G31" s="17"/>
      <c r="H31" s="21"/>
      <c r="I31" s="21"/>
      <c r="J31" s="21"/>
      <c r="K31" s="17"/>
      <c r="L31" s="21"/>
      <c r="M31" s="15"/>
      <c r="N31" s="21"/>
      <c r="O31" s="17"/>
      <c r="P31" s="65"/>
      <c r="Q31" s="67"/>
      <c r="R31" s="21"/>
      <c r="S31" s="17"/>
      <c r="T31" s="21"/>
      <c r="U31" s="15"/>
      <c r="V31" s="21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2</v>
      </c>
      <c r="B32" s="11" t="s">
        <v>48</v>
      </c>
      <c r="C32" s="12">
        <v>0.06</v>
      </c>
      <c r="D32" s="12"/>
      <c r="E32" s="84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68"/>
      <c r="P32" s="20"/>
      <c r="Q32" s="67"/>
      <c r="R32" s="20"/>
      <c r="S32" s="15"/>
      <c r="T32" s="20"/>
      <c r="U32" s="15"/>
      <c r="V32" s="20"/>
      <c r="W32" s="17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3</v>
      </c>
      <c r="B33" s="11" t="s">
        <v>49</v>
      </c>
      <c r="C33" s="12">
        <v>0.06</v>
      </c>
      <c r="D33" s="12"/>
      <c r="E33" s="84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68"/>
      <c r="P33" s="20"/>
      <c r="Q33" s="67"/>
      <c r="R33" s="20"/>
      <c r="S33" s="17"/>
      <c r="T33" s="20"/>
      <c r="U33" s="15"/>
      <c r="V33" s="20"/>
      <c r="W33" s="17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spans="1:33" ht="15.75" customHeight="1" x14ac:dyDescent="0.25">
      <c r="A34" s="11">
        <v>4</v>
      </c>
      <c r="B34" s="11" t="s">
        <v>50</v>
      </c>
      <c r="C34" s="12">
        <v>0.06</v>
      </c>
      <c r="D34" s="12"/>
      <c r="E34" s="84">
        <f t="shared" si="3"/>
        <v>0</v>
      </c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0"/>
      <c r="Q34" s="67"/>
      <c r="R34" s="20"/>
      <c r="S34" s="17"/>
      <c r="T34" s="20"/>
      <c r="U34" s="17"/>
      <c r="V34" s="20"/>
      <c r="W34" s="15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.75" customHeight="1" x14ac:dyDescent="0.25">
      <c r="A35" s="11">
        <v>5</v>
      </c>
      <c r="B35" s="11" t="s">
        <v>51</v>
      </c>
      <c r="C35" s="12">
        <v>0.06</v>
      </c>
      <c r="D35" s="22"/>
      <c r="E35" s="84">
        <f t="shared" si="3"/>
        <v>0</v>
      </c>
      <c r="F35" s="21"/>
      <c r="G35" s="17"/>
      <c r="H35" s="21"/>
      <c r="I35" s="21"/>
      <c r="J35" s="21"/>
      <c r="K35" s="17"/>
      <c r="L35" s="21"/>
      <c r="M35" s="17"/>
      <c r="N35" s="21"/>
      <c r="O35" s="68"/>
      <c r="P35" s="65"/>
      <c r="Q35" s="67"/>
      <c r="R35" s="21"/>
      <c r="S35" s="17"/>
      <c r="T35" s="21"/>
      <c r="U35" s="17"/>
      <c r="V35" s="20"/>
      <c r="W35" s="15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5.75" customHeight="1" x14ac:dyDescent="0.25">
      <c r="A36" s="31"/>
      <c r="C36" s="12"/>
      <c r="E36" s="13"/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7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7">
        <v>5</v>
      </c>
      <c r="B37" s="7" t="s">
        <v>46</v>
      </c>
      <c r="C37" s="8">
        <f>SUM(C38:C40)</f>
        <v>0.12000000000000001</v>
      </c>
      <c r="D37" s="56">
        <f>C37*C3</f>
        <v>11340000</v>
      </c>
      <c r="E37" s="24"/>
      <c r="F37" s="25"/>
      <c r="G37" s="27"/>
      <c r="H37" s="25"/>
      <c r="I37" s="25"/>
      <c r="J37" s="25"/>
      <c r="K37" s="27"/>
      <c r="L37" s="25"/>
      <c r="M37" s="27"/>
      <c r="N37" s="25"/>
      <c r="O37" s="27"/>
      <c r="P37" s="25"/>
      <c r="Q37" s="27"/>
      <c r="R37" s="25"/>
      <c r="S37" s="27"/>
      <c r="T37" s="25"/>
      <c r="U37" s="27"/>
      <c r="V37" s="25"/>
      <c r="W37" s="27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1:33" ht="15.75" customHeight="1" x14ac:dyDescent="0.25">
      <c r="A38" s="11">
        <v>1</v>
      </c>
      <c r="B38" s="11" t="s">
        <v>52</v>
      </c>
      <c r="C38" s="12">
        <v>0.02</v>
      </c>
      <c r="D38" s="12"/>
      <c r="E38" s="84">
        <f t="shared" ref="E38:E40" si="4">SUM(F38:AG38)</f>
        <v>0.02</v>
      </c>
      <c r="F38" s="21"/>
      <c r="G38" s="67">
        <v>0.02</v>
      </c>
      <c r="H38" s="21"/>
      <c r="I38" s="21"/>
      <c r="J38" s="21"/>
      <c r="K38" s="17"/>
      <c r="L38" s="21"/>
      <c r="M38" s="17"/>
      <c r="N38" s="21"/>
      <c r="O38" s="17"/>
      <c r="P38" s="21"/>
      <c r="Q38" s="15"/>
      <c r="R38" s="21"/>
      <c r="S38" s="17"/>
      <c r="T38" s="21"/>
      <c r="U38" s="17"/>
      <c r="V38" s="21"/>
      <c r="W38" s="30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5.75" customHeight="1" x14ac:dyDescent="0.25">
      <c r="A39" s="11">
        <v>2</v>
      </c>
      <c r="B39" s="11" t="s">
        <v>53</v>
      </c>
      <c r="C39" s="12">
        <v>0.05</v>
      </c>
      <c r="D39" s="12"/>
      <c r="E39" s="84">
        <f t="shared" si="4"/>
        <v>3.5000000000000003E-2</v>
      </c>
      <c r="F39" s="21"/>
      <c r="G39" s="17"/>
      <c r="H39" s="21">
        <v>2.5000000000000001E-2</v>
      </c>
      <c r="I39" s="21">
        <v>0.01</v>
      </c>
      <c r="J39" s="21"/>
      <c r="K39" s="17"/>
      <c r="L39" s="21"/>
      <c r="M39" s="17"/>
      <c r="N39" s="21"/>
      <c r="O39" s="17"/>
      <c r="P39" s="21"/>
      <c r="Q39" s="17"/>
      <c r="R39" s="21"/>
      <c r="S39" s="15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3</v>
      </c>
      <c r="B40" s="11" t="s">
        <v>54</v>
      </c>
      <c r="C40" s="12">
        <v>0.05</v>
      </c>
      <c r="D40" s="12"/>
      <c r="E40" s="84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C41" s="22"/>
      <c r="D41" s="22"/>
      <c r="E41" s="60"/>
      <c r="F41" s="61"/>
      <c r="G41" s="17"/>
      <c r="H41" s="61"/>
      <c r="I41" s="61"/>
      <c r="J41" s="61"/>
      <c r="K41" s="17"/>
      <c r="L41" s="61"/>
      <c r="M41" s="17"/>
      <c r="N41" s="61"/>
      <c r="O41" s="17"/>
      <c r="P41" s="61"/>
      <c r="Q41" s="17"/>
      <c r="R41" s="61"/>
      <c r="S41" s="17"/>
      <c r="T41" s="61"/>
      <c r="U41" s="17"/>
      <c r="V41" s="61"/>
      <c r="W41" s="17"/>
      <c r="X41" s="62"/>
      <c r="Y41" s="62"/>
      <c r="Z41" s="62"/>
      <c r="AA41" s="62"/>
      <c r="AB41" s="62"/>
      <c r="AC41" s="62"/>
      <c r="AD41" s="62"/>
      <c r="AE41" s="62"/>
      <c r="AF41" s="62"/>
      <c r="AG41" s="62"/>
    </row>
    <row r="42" spans="1:33" ht="15.75" customHeight="1" x14ac:dyDescent="0.25">
      <c r="A42" s="7">
        <v>6</v>
      </c>
      <c r="B42" s="7" t="s">
        <v>55</v>
      </c>
      <c r="C42" s="8">
        <f>SUM(C43:C48)</f>
        <v>0.32</v>
      </c>
      <c r="D42" s="59">
        <f>C42*C3</f>
        <v>30240000</v>
      </c>
      <c r="E42" s="24"/>
      <c r="F42" s="25"/>
      <c r="G42" s="27"/>
      <c r="H42" s="25"/>
      <c r="I42" s="25"/>
      <c r="J42" s="25"/>
      <c r="K42" s="27"/>
      <c r="L42" s="25"/>
      <c r="M42" s="27"/>
      <c r="N42" s="25"/>
      <c r="O42" s="27"/>
      <c r="P42" s="25"/>
      <c r="Q42" s="27"/>
      <c r="R42" s="25"/>
      <c r="S42" s="27"/>
      <c r="T42" s="25"/>
      <c r="U42" s="27"/>
      <c r="V42" s="25"/>
      <c r="W42" s="27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5">
      <c r="A43" s="11">
        <v>1</v>
      </c>
      <c r="B43" s="11" t="s">
        <v>56</v>
      </c>
      <c r="C43" s="12">
        <v>0.06</v>
      </c>
      <c r="D43" s="12"/>
      <c r="E43" s="84">
        <f t="shared" ref="E43:E48" si="5">SUM(F43:AG43)</f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5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A44" s="11">
        <v>2</v>
      </c>
      <c r="B44" s="11" t="s">
        <v>57</v>
      </c>
      <c r="C44" s="12">
        <v>0.06</v>
      </c>
      <c r="D44" s="12"/>
      <c r="E44" s="84">
        <f t="shared" si="5"/>
        <v>0</v>
      </c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5"/>
      <c r="T44" s="21"/>
      <c r="U44" s="17"/>
      <c r="V44" s="21"/>
      <c r="W44" s="30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5.75" customHeight="1" x14ac:dyDescent="0.25">
      <c r="A45" s="11">
        <v>4</v>
      </c>
      <c r="B45" s="11" t="s">
        <v>63</v>
      </c>
      <c r="C45" s="12">
        <v>0.06</v>
      </c>
      <c r="D45" s="12"/>
      <c r="E45" s="84">
        <f t="shared" si="5"/>
        <v>0</v>
      </c>
      <c r="F45" s="21"/>
      <c r="G45" s="17"/>
      <c r="H45" s="21"/>
      <c r="I45" s="21"/>
      <c r="J45" s="21"/>
      <c r="K45" s="17"/>
      <c r="L45" s="21"/>
      <c r="M45" s="17"/>
      <c r="N45" s="21"/>
      <c r="O45" s="17"/>
      <c r="P45" s="21"/>
      <c r="Q45" s="17"/>
      <c r="R45" s="21"/>
      <c r="S45" s="17"/>
      <c r="T45" s="21"/>
      <c r="U45" s="17"/>
      <c r="V45" s="21"/>
      <c r="W45" s="30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5.75" customHeight="1" x14ac:dyDescent="0.25">
      <c r="A46" s="11">
        <v>5</v>
      </c>
      <c r="B46" s="11" t="s">
        <v>58</v>
      </c>
      <c r="C46" s="12">
        <v>0.03</v>
      </c>
      <c r="D46" s="12"/>
      <c r="E46" s="84">
        <f t="shared" si="5"/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7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63">
        <v>6</v>
      </c>
      <c r="B47" s="63" t="s">
        <v>62</v>
      </c>
      <c r="C47" s="64">
        <v>0.06</v>
      </c>
      <c r="D47" s="22"/>
      <c r="E47" s="84">
        <f t="shared" si="5"/>
        <v>0.06</v>
      </c>
      <c r="F47" s="21"/>
      <c r="G47" s="17">
        <v>0.03</v>
      </c>
      <c r="H47" s="21">
        <v>1.4999999999999999E-2</v>
      </c>
      <c r="I47" s="20">
        <v>1.4999999999999999E-2</v>
      </c>
      <c r="J47" s="21"/>
      <c r="K47" s="17"/>
      <c r="L47" s="21"/>
      <c r="M47" s="17"/>
      <c r="N47" s="21"/>
      <c r="O47" s="17"/>
      <c r="P47" s="21"/>
      <c r="Q47" s="17"/>
      <c r="R47" s="21"/>
      <c r="S47" s="17"/>
      <c r="T47" s="21"/>
      <c r="U47" s="17"/>
      <c r="V47" s="21"/>
      <c r="W47" s="17"/>
      <c r="X47" s="57"/>
      <c r="Y47" s="19"/>
      <c r="Z47" s="57"/>
      <c r="AA47" s="19"/>
      <c r="AB47" s="57"/>
      <c r="AC47" s="19"/>
      <c r="AD47" s="57"/>
      <c r="AE47" s="19"/>
      <c r="AF47" s="57"/>
      <c r="AG47" s="19"/>
    </row>
    <row r="48" spans="1:33" ht="15.75" customHeight="1" x14ac:dyDescent="0.25">
      <c r="A48" s="11">
        <v>7</v>
      </c>
      <c r="B48" s="11" t="s">
        <v>66</v>
      </c>
      <c r="C48" s="12">
        <v>0.05</v>
      </c>
      <c r="D48" s="22"/>
      <c r="E48" s="84">
        <f t="shared" si="5"/>
        <v>0.05</v>
      </c>
      <c r="F48" s="61"/>
      <c r="G48" s="17"/>
      <c r="H48" s="70">
        <v>0.05</v>
      </c>
      <c r="I48" s="61"/>
      <c r="J48" s="61"/>
      <c r="K48" s="17"/>
      <c r="L48" s="61"/>
      <c r="M48" s="17"/>
      <c r="N48" s="61"/>
      <c r="O48" s="17"/>
      <c r="P48" s="61"/>
      <c r="Q48" s="17"/>
      <c r="R48" s="61"/>
      <c r="S48" s="17"/>
      <c r="T48" s="61"/>
      <c r="U48" s="17"/>
      <c r="V48" s="61"/>
      <c r="W48" s="17"/>
      <c r="X48" s="57"/>
      <c r="Y48" s="62"/>
      <c r="Z48" s="57"/>
      <c r="AA48" s="62"/>
      <c r="AB48" s="57"/>
      <c r="AC48" s="62"/>
      <c r="AD48" s="57"/>
      <c r="AE48" s="62"/>
      <c r="AF48" s="57"/>
      <c r="AG48" s="62"/>
    </row>
    <row r="49" spans="1:33" ht="15.75" customHeight="1" thickBot="1" x14ac:dyDescent="0.3">
      <c r="C49" s="22"/>
      <c r="D49" s="22"/>
      <c r="E49" s="60"/>
      <c r="F49" s="61"/>
      <c r="G49" s="17"/>
      <c r="H49" s="61"/>
      <c r="I49" s="61"/>
      <c r="J49" s="61"/>
      <c r="K49" s="17"/>
      <c r="L49" s="61"/>
      <c r="M49" s="17"/>
      <c r="N49" s="61"/>
      <c r="O49" s="17"/>
      <c r="P49" s="61"/>
      <c r="Q49" s="17"/>
      <c r="R49" s="61"/>
      <c r="S49" s="17"/>
      <c r="T49" s="61"/>
      <c r="U49" s="17"/>
      <c r="V49" s="61"/>
      <c r="W49" s="17"/>
      <c r="X49" s="57"/>
      <c r="Y49" s="62"/>
      <c r="Z49" s="57"/>
      <c r="AA49" s="62"/>
      <c r="AB49" s="57"/>
      <c r="AC49" s="62"/>
      <c r="AD49" s="57"/>
      <c r="AE49" s="62"/>
      <c r="AF49" s="57"/>
      <c r="AG49" s="62"/>
    </row>
    <row r="50" spans="1:33" ht="15.75" customHeight="1" thickBot="1" x14ac:dyDescent="0.35">
      <c r="A50" s="32"/>
      <c r="B50" s="33" t="s">
        <v>23</v>
      </c>
      <c r="C50" s="34">
        <f>SUM(C7+C15+C22+C30+C37+C42)</f>
        <v>1</v>
      </c>
      <c r="D50" s="34"/>
      <c r="E50" s="35">
        <f>SUM(F50:AG50)</f>
        <v>0.39</v>
      </c>
      <c r="F50" s="58">
        <f t="shared" ref="F50:AG50" si="6">SUM(F8:F48)</f>
        <v>0.09</v>
      </c>
      <c r="G50" s="58">
        <f t="shared" si="6"/>
        <v>0.1225</v>
      </c>
      <c r="H50" s="58">
        <f t="shared" si="6"/>
        <v>0.09</v>
      </c>
      <c r="I50" s="58">
        <f t="shared" si="6"/>
        <v>8.7499999999999994E-2</v>
      </c>
      <c r="J50" s="58">
        <f t="shared" si="6"/>
        <v>0</v>
      </c>
      <c r="K50" s="58">
        <f t="shared" si="6"/>
        <v>0</v>
      </c>
      <c r="L50" s="58">
        <f t="shared" si="6"/>
        <v>0</v>
      </c>
      <c r="M50" s="58">
        <f t="shared" si="6"/>
        <v>0</v>
      </c>
      <c r="N50" s="58">
        <f t="shared" si="6"/>
        <v>0</v>
      </c>
      <c r="O50" s="58">
        <f t="shared" si="6"/>
        <v>0</v>
      </c>
      <c r="P50" s="58">
        <f t="shared" si="6"/>
        <v>0</v>
      </c>
      <c r="Q50" s="58">
        <f t="shared" si="6"/>
        <v>0</v>
      </c>
      <c r="R50" s="58">
        <f t="shared" si="6"/>
        <v>0</v>
      </c>
      <c r="S50" s="58">
        <f t="shared" si="6"/>
        <v>0</v>
      </c>
      <c r="T50" s="58">
        <f t="shared" si="6"/>
        <v>0</v>
      </c>
      <c r="U50" s="58">
        <f t="shared" si="6"/>
        <v>0</v>
      </c>
      <c r="V50" s="58">
        <f t="shared" si="6"/>
        <v>0</v>
      </c>
      <c r="W50" s="58">
        <f t="shared" si="6"/>
        <v>0</v>
      </c>
      <c r="X50" s="58">
        <f t="shared" si="6"/>
        <v>0</v>
      </c>
      <c r="Y50" s="58">
        <f t="shared" si="6"/>
        <v>0</v>
      </c>
      <c r="Z50" s="58">
        <f t="shared" si="6"/>
        <v>0</v>
      </c>
      <c r="AA50" s="58">
        <f t="shared" si="6"/>
        <v>0</v>
      </c>
      <c r="AB50" s="58">
        <f t="shared" si="6"/>
        <v>0</v>
      </c>
      <c r="AC50" s="58">
        <f t="shared" si="6"/>
        <v>0</v>
      </c>
      <c r="AD50" s="58">
        <f t="shared" si="6"/>
        <v>0</v>
      </c>
      <c r="AE50" s="58">
        <f t="shared" si="6"/>
        <v>0</v>
      </c>
      <c r="AF50" s="58">
        <f t="shared" si="6"/>
        <v>0</v>
      </c>
      <c r="AG50" s="58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92" t="s">
        <v>24</v>
      </c>
      <c r="B52" s="93"/>
      <c r="C52" s="93"/>
      <c r="D52" s="93"/>
      <c r="E52" s="94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03" t="s">
        <v>25</v>
      </c>
      <c r="B54" s="93"/>
      <c r="C54" s="93"/>
      <c r="D54" s="93"/>
      <c r="E54" s="94"/>
      <c r="F54" s="40">
        <f>C3+(C3*F52)</f>
        <v>94500000</v>
      </c>
      <c r="G54" s="40">
        <f t="shared" ref="G54:AG54" si="7">F54+(F54*G52)</f>
        <v>94500000</v>
      </c>
      <c r="H54" s="40">
        <f t="shared" si="7"/>
        <v>94500000</v>
      </c>
      <c r="I54" s="40">
        <f t="shared" si="7"/>
        <v>94500000</v>
      </c>
      <c r="J54" s="40">
        <f t="shared" si="7"/>
        <v>94500000</v>
      </c>
      <c r="K54" s="40">
        <f t="shared" si="7"/>
        <v>94500000</v>
      </c>
      <c r="L54" s="40">
        <f t="shared" si="7"/>
        <v>94500000</v>
      </c>
      <c r="M54" s="40">
        <f t="shared" si="7"/>
        <v>94500000</v>
      </c>
      <c r="N54" s="40">
        <f t="shared" si="7"/>
        <v>94500000</v>
      </c>
      <c r="O54" s="40">
        <f t="shared" si="7"/>
        <v>94500000</v>
      </c>
      <c r="P54" s="40">
        <f t="shared" si="7"/>
        <v>94500000</v>
      </c>
      <c r="Q54" s="40">
        <f t="shared" si="7"/>
        <v>94500000</v>
      </c>
      <c r="R54" s="40">
        <f t="shared" si="7"/>
        <v>94500000</v>
      </c>
      <c r="S54" s="40">
        <f t="shared" si="7"/>
        <v>94500000</v>
      </c>
      <c r="T54" s="40">
        <f t="shared" si="7"/>
        <v>94500000</v>
      </c>
      <c r="U54" s="40">
        <f t="shared" si="7"/>
        <v>94500000</v>
      </c>
      <c r="V54" s="40">
        <f t="shared" si="7"/>
        <v>94500000</v>
      </c>
      <c r="W54" s="40">
        <f t="shared" si="7"/>
        <v>94500000</v>
      </c>
      <c r="X54" s="40">
        <f t="shared" si="7"/>
        <v>94500000</v>
      </c>
      <c r="Y54" s="40">
        <f t="shared" si="7"/>
        <v>94500000</v>
      </c>
      <c r="Z54" s="40">
        <f t="shared" si="7"/>
        <v>94500000</v>
      </c>
      <c r="AA54" s="40">
        <f t="shared" si="7"/>
        <v>94500000</v>
      </c>
      <c r="AB54" s="40">
        <f t="shared" si="7"/>
        <v>94500000</v>
      </c>
      <c r="AC54" s="40">
        <f t="shared" si="7"/>
        <v>94500000</v>
      </c>
      <c r="AD54" s="40">
        <f t="shared" si="7"/>
        <v>94500000</v>
      </c>
      <c r="AE54" s="40">
        <f t="shared" si="7"/>
        <v>94500000</v>
      </c>
      <c r="AF54" s="40">
        <f t="shared" si="7"/>
        <v>94500000</v>
      </c>
      <c r="AG54" s="40">
        <f t="shared" si="7"/>
        <v>94500000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00" t="s">
        <v>26</v>
      </c>
      <c r="B56" s="93"/>
      <c r="C56" s="93"/>
      <c r="D56" s="93"/>
      <c r="E56" s="94"/>
      <c r="F56" s="41">
        <f t="shared" ref="F56:AG56" si="8">F50*F54</f>
        <v>8505000</v>
      </c>
      <c r="G56" s="41">
        <f t="shared" si="8"/>
        <v>11576250</v>
      </c>
      <c r="H56" s="41">
        <f t="shared" si="8"/>
        <v>8505000</v>
      </c>
      <c r="I56" s="41">
        <f t="shared" si="8"/>
        <v>8268749.9999999991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99" t="s">
        <v>27</v>
      </c>
      <c r="B58" s="93"/>
      <c r="C58" s="93"/>
      <c r="D58" s="93"/>
      <c r="E58" s="94"/>
      <c r="F58" s="42">
        <v>7264588</v>
      </c>
      <c r="G58" s="43">
        <v>8000000</v>
      </c>
      <c r="H58" s="43">
        <v>7000000</v>
      </c>
      <c r="I58" s="43">
        <f>I56-(I56*D4)</f>
        <v>6956249.9999999991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92" t="s">
        <v>28</v>
      </c>
      <c r="B60" s="93"/>
      <c r="C60" s="93"/>
      <c r="D60" s="93"/>
      <c r="E60" s="94"/>
      <c r="F60" s="45">
        <f>F54-F58-C4</f>
        <v>72235412</v>
      </c>
      <c r="G60" s="45">
        <f t="shared" ref="G60:AG60" si="9">(F60+(F60*G52))-G58</f>
        <v>64235412</v>
      </c>
      <c r="H60" s="46">
        <f t="shared" si="9"/>
        <v>57235412</v>
      </c>
      <c r="I60" s="46">
        <f t="shared" si="9"/>
        <v>50279162</v>
      </c>
      <c r="J60" s="45">
        <f t="shared" si="9"/>
        <v>50279162</v>
      </c>
      <c r="K60" s="45">
        <f t="shared" si="9"/>
        <v>50279162</v>
      </c>
      <c r="L60" s="45">
        <f t="shared" si="9"/>
        <v>50279162</v>
      </c>
      <c r="M60" s="45">
        <f t="shared" si="9"/>
        <v>50279162</v>
      </c>
      <c r="N60" s="45">
        <f t="shared" si="9"/>
        <v>50279162</v>
      </c>
      <c r="O60" s="45">
        <f t="shared" si="9"/>
        <v>50279162</v>
      </c>
      <c r="P60" s="45">
        <f t="shared" si="9"/>
        <v>50279162</v>
      </c>
      <c r="Q60" s="45">
        <f t="shared" si="9"/>
        <v>50279162</v>
      </c>
      <c r="R60" s="45">
        <f t="shared" si="9"/>
        <v>50279162</v>
      </c>
      <c r="S60" s="45">
        <f t="shared" si="9"/>
        <v>50279162</v>
      </c>
      <c r="T60" s="45">
        <f t="shared" si="9"/>
        <v>50279162</v>
      </c>
      <c r="U60" s="45">
        <f t="shared" si="9"/>
        <v>50279162</v>
      </c>
      <c r="V60" s="45">
        <f t="shared" si="9"/>
        <v>50279162</v>
      </c>
      <c r="W60" s="45">
        <f t="shared" si="9"/>
        <v>50279162</v>
      </c>
      <c r="X60" s="45">
        <f t="shared" si="9"/>
        <v>50279162</v>
      </c>
      <c r="Y60" s="45">
        <f t="shared" si="9"/>
        <v>50279162</v>
      </c>
      <c r="Z60" s="45">
        <f t="shared" si="9"/>
        <v>50279162</v>
      </c>
      <c r="AA60" s="45">
        <f t="shared" si="9"/>
        <v>50279162</v>
      </c>
      <c r="AB60" s="45">
        <f t="shared" si="9"/>
        <v>50279162</v>
      </c>
      <c r="AC60" s="45">
        <f t="shared" si="9"/>
        <v>50279162</v>
      </c>
      <c r="AD60" s="45">
        <f t="shared" si="9"/>
        <v>50279162</v>
      </c>
      <c r="AE60" s="45">
        <f t="shared" si="9"/>
        <v>50279162</v>
      </c>
      <c r="AF60" s="45">
        <f t="shared" si="9"/>
        <v>50279162</v>
      </c>
      <c r="AG60" s="45">
        <f t="shared" si="9"/>
        <v>50279162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G62" s="44"/>
      <c r="H62" s="44"/>
      <c r="V62" s="44"/>
      <c r="W62" s="49"/>
    </row>
    <row r="63" spans="1:33" ht="15.75" customHeight="1" x14ac:dyDescent="0.25">
      <c r="F63" s="53"/>
      <c r="Q63" s="44"/>
      <c r="W63" s="53"/>
    </row>
    <row r="64" spans="1:33" ht="15.75" customHeight="1" x14ac:dyDescent="0.25">
      <c r="G64" s="49"/>
      <c r="H64" s="49"/>
      <c r="I64" s="11"/>
      <c r="J64" s="44"/>
      <c r="K64" s="53"/>
    </row>
    <row r="65" spans="7:10" ht="15.75" customHeight="1" x14ac:dyDescent="0.25">
      <c r="G65" s="54"/>
      <c r="H65" s="54"/>
      <c r="I65" s="11"/>
      <c r="J65" s="44"/>
    </row>
    <row r="66" spans="7:10" ht="15.75" customHeight="1" x14ac:dyDescent="0.25">
      <c r="G66" s="54"/>
      <c r="H66" s="54"/>
    </row>
    <row r="67" spans="7:10" ht="15.75" customHeight="1" x14ac:dyDescent="0.25">
      <c r="G67" s="54"/>
      <c r="H67" s="54"/>
    </row>
    <row r="68" spans="7:10" ht="15.75" customHeight="1" x14ac:dyDescent="0.25">
      <c r="G68" s="54"/>
      <c r="H68" s="54"/>
      <c r="J68" s="53"/>
    </row>
    <row r="69" spans="7:10" ht="15.75" customHeight="1" x14ac:dyDescent="0.25">
      <c r="G69" s="54"/>
      <c r="H69" s="54"/>
    </row>
    <row r="70" spans="7:10" ht="15.75" customHeight="1" x14ac:dyDescent="0.25">
      <c r="G70" s="54"/>
      <c r="H70" s="54"/>
    </row>
    <row r="71" spans="7:10" ht="15.75" customHeight="1" x14ac:dyDescent="0.25">
      <c r="G71" s="54"/>
      <c r="H71" s="54"/>
    </row>
    <row r="72" spans="7:10" ht="15.75" customHeight="1" x14ac:dyDescent="0.25">
      <c r="G72" s="54"/>
      <c r="H72" s="54"/>
    </row>
    <row r="73" spans="7:10" ht="15.75" customHeight="1" x14ac:dyDescent="0.25"/>
    <row r="74" spans="7:10" ht="15.75" customHeight="1" x14ac:dyDescent="0.25"/>
    <row r="75" spans="7:10" ht="15.75" customHeight="1" x14ac:dyDescent="0.25"/>
    <row r="76" spans="7:10" ht="15.75" customHeight="1" x14ac:dyDescent="0.25"/>
    <row r="77" spans="7:10" ht="15.75" customHeight="1" x14ac:dyDescent="0.25"/>
    <row r="78" spans="7:10" ht="15.75" customHeight="1" x14ac:dyDescent="0.25"/>
    <row r="79" spans="7:10" ht="15.75" customHeight="1" x14ac:dyDescent="0.25"/>
    <row r="80" spans="7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6"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  <mergeCell ref="J6:K6"/>
    <mergeCell ref="L6:M6"/>
    <mergeCell ref="N6:O6"/>
    <mergeCell ref="L5:M5"/>
    <mergeCell ref="N5:O5"/>
    <mergeCell ref="X5:Y5"/>
    <mergeCell ref="Z5:AA5"/>
    <mergeCell ref="AB5:AC5"/>
    <mergeCell ref="AD5:AE5"/>
    <mergeCell ref="AF5:AG5"/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</mergeCells>
  <printOptions horizontalCentered="1" verticalCentered="1" gridLines="1"/>
  <pageMargins left="0.25" right="0.25" top="0.75" bottom="0.75" header="0" footer="0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CASH FLOW A FULL</vt:lpstr>
      <vt:lpstr>OPCION PAGOS 7.000.000</vt:lpstr>
      <vt:lpstr>CERTIFICADO X AVANCE</vt:lpstr>
      <vt:lpstr>CERTIFICADO CON PAGOS HECHOS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ARROBA</cp:lastModifiedBy>
  <cp:lastPrinted>2026-06-30T18:54:02Z</cp:lastPrinted>
  <dcterms:created xsi:type="dcterms:W3CDTF">2015-06-05T18:19:34Z</dcterms:created>
  <dcterms:modified xsi:type="dcterms:W3CDTF">2026-07-02T15:55:51Z</dcterms:modified>
</cp:coreProperties>
</file>